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2managementas-my.sharepoint.com/personal/fna_k2management_com/Documents/Desktop/Personal/VBA Projects/"/>
    </mc:Choice>
  </mc:AlternateContent>
  <xr:revisionPtr revIDLastSave="931" documentId="13_ncr:1_{1E76C3F1-CDE6-43C2-A60D-2BCBF3AB1127}" xr6:coauthVersionLast="47" xr6:coauthVersionMax="47" xr10:uidLastSave="{32A7595D-5071-4F6F-A04B-22CCA8C5E61E}"/>
  <bookViews>
    <workbookView xWindow="-120" yWindow="-120" windowWidth="29040" windowHeight="15840" xr2:uid="{6E84B7FE-0CEA-45FC-8BDC-8A22F854ACB6}"/>
  </bookViews>
  <sheets>
    <sheet name="Info Sheet" sheetId="2" r:id="rId1"/>
    <sheet name="InsertModify" sheetId="7" r:id="rId2"/>
    <sheet name="KPI" sheetId="1" r:id="rId3"/>
    <sheet name="Graph" sheetId="5" r:id="rId4"/>
    <sheet name="Sheet4" sheetId="10" state="hidden" r:id="rId5"/>
    <sheet name="Table(related to graph)" sheetId="6" state="hidden" r:id="rId6"/>
    <sheet name="List(to hide)" sheetId="4" state="hidden" r:id="rId7"/>
    <sheet name="Sheet1" sheetId="3" state="hidden" r:id="rId8"/>
  </sheets>
  <functionGroups builtInGroupCount="19"/>
  <definedNames>
    <definedName name="ColumnNumber">InsertModify!$I$8</definedName>
    <definedName name="CommentData">KPI!$E$56:$LY$56</definedName>
    <definedName name="Contractor_name">'Info Sheet'!$D$12</definedName>
    <definedName name="email">'Info Sheet'!$D$45</definedName>
    <definedName name="End_Period">'Info Sheet'!$T$23</definedName>
    <definedName name="End_Period_Input">'Info Sheet'!$D$23</definedName>
    <definedName name="Hours_Input">KPI!$E$11:$LY$11</definedName>
    <definedName name="KPIs_input">KPI!$E$34:$LY$54</definedName>
    <definedName name="Len_Dropdown">'List(to hide)'!$L$1</definedName>
    <definedName name="Message">Sheet4!$A$17</definedName>
    <definedName name="Months_between_dates">'Info Sheet'!$D$26</definedName>
    <definedName name="OwnerModel">'Info Sheet'!$V$4</definedName>
    <definedName name="Reference_for_Contractor">'Info Sheet'!$D$44</definedName>
    <definedName name="Start_period">'Info Sheet'!$T$21</definedName>
    <definedName name="Start_Period_INPUT">'Info Sheet'!$D$21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" i="4" l="1" a="1"/>
  <c r="G2" i="4" s="1"/>
  <c r="L10" i="7"/>
  <c r="M10" i="7" s="1"/>
  <c r="C2" i="5"/>
  <c r="D2" i="4" l="1" a="1"/>
  <c r="D2" i="4" s="1"/>
  <c r="J19" i="6"/>
  <c r="I19" i="6"/>
  <c r="H19" i="6"/>
  <c r="G19" i="6"/>
  <c r="F19" i="6"/>
  <c r="E19" i="6"/>
  <c r="D19" i="6"/>
  <c r="C19" i="6"/>
  <c r="B19" i="6"/>
  <c r="C44" i="2"/>
  <c r="B4" i="2"/>
  <c r="R23" i="2"/>
  <c r="Q23" i="2"/>
  <c r="T23" i="2" s="1"/>
  <c r="R21" i="2"/>
  <c r="Q21" i="2"/>
  <c r="S21" i="2"/>
  <c r="F39" i="2"/>
  <c r="F37" i="2"/>
  <c r="F35" i="2"/>
  <c r="V5" i="2" a="1"/>
  <c r="D16" i="2" a="1"/>
  <c r="D16" i="2" l="1"/>
  <c r="V5" i="2"/>
  <c r="MA11" i="1"/>
  <c r="EW15" i="1"/>
  <c r="EX15" i="1"/>
  <c r="EY15" i="1"/>
  <c r="EZ15" i="1"/>
  <c r="FA15" i="1"/>
  <c r="FB15" i="1"/>
  <c r="FC15" i="1"/>
  <c r="FD15" i="1"/>
  <c r="FE15" i="1"/>
  <c r="FF15" i="1"/>
  <c r="FG15" i="1"/>
  <c r="FH15" i="1"/>
  <c r="FI15" i="1"/>
  <c r="FJ15" i="1"/>
  <c r="FK15" i="1"/>
  <c r="FL15" i="1"/>
  <c r="FM15" i="1"/>
  <c r="FN15" i="1"/>
  <c r="FO15" i="1"/>
  <c r="FP15" i="1"/>
  <c r="FQ15" i="1"/>
  <c r="FR15" i="1"/>
  <c r="FS15" i="1"/>
  <c r="FT15" i="1"/>
  <c r="FU15" i="1"/>
  <c r="FV15" i="1"/>
  <c r="FW15" i="1"/>
  <c r="FX15" i="1"/>
  <c r="FY15" i="1"/>
  <c r="FZ15" i="1"/>
  <c r="GA15" i="1"/>
  <c r="GB15" i="1"/>
  <c r="GC15" i="1"/>
  <c r="GD15" i="1"/>
  <c r="GE15" i="1"/>
  <c r="GF15" i="1"/>
  <c r="GG15" i="1"/>
  <c r="GH15" i="1"/>
  <c r="GI15" i="1"/>
  <c r="GJ15" i="1"/>
  <c r="GK15" i="1"/>
  <c r="GL15" i="1"/>
  <c r="GM15" i="1"/>
  <c r="GN15" i="1"/>
  <c r="GO15" i="1"/>
  <c r="GP15" i="1"/>
  <c r="GQ15" i="1"/>
  <c r="GR15" i="1"/>
  <c r="GS15" i="1"/>
  <c r="GT15" i="1"/>
  <c r="GU15" i="1"/>
  <c r="GV15" i="1"/>
  <c r="GW15" i="1"/>
  <c r="GX15" i="1"/>
  <c r="GY15" i="1"/>
  <c r="GZ15" i="1"/>
  <c r="HA15" i="1"/>
  <c r="HB15" i="1"/>
  <c r="HC15" i="1"/>
  <c r="HD15" i="1"/>
  <c r="HE15" i="1"/>
  <c r="HF15" i="1"/>
  <c r="HG15" i="1"/>
  <c r="HH15" i="1"/>
  <c r="HI15" i="1"/>
  <c r="HJ15" i="1"/>
  <c r="HK15" i="1"/>
  <c r="HL15" i="1"/>
  <c r="HM15" i="1"/>
  <c r="HN15" i="1"/>
  <c r="HO15" i="1"/>
  <c r="HP15" i="1"/>
  <c r="HQ15" i="1"/>
  <c r="HR15" i="1"/>
  <c r="HS15" i="1"/>
  <c r="HT15" i="1"/>
  <c r="HU15" i="1"/>
  <c r="HV15" i="1"/>
  <c r="HW15" i="1"/>
  <c r="HX15" i="1"/>
  <c r="HY15" i="1"/>
  <c r="HZ15" i="1"/>
  <c r="IA15" i="1"/>
  <c r="IB15" i="1"/>
  <c r="IC15" i="1"/>
  <c r="ID15" i="1"/>
  <c r="IE15" i="1"/>
  <c r="IF15" i="1"/>
  <c r="IG15" i="1"/>
  <c r="IH15" i="1"/>
  <c r="II15" i="1"/>
  <c r="IJ15" i="1"/>
  <c r="IK15" i="1"/>
  <c r="IL15" i="1"/>
  <c r="IM15" i="1"/>
  <c r="IN15" i="1"/>
  <c r="IO15" i="1"/>
  <c r="IP15" i="1"/>
  <c r="IQ15" i="1"/>
  <c r="IR15" i="1"/>
  <c r="IS15" i="1"/>
  <c r="IT15" i="1"/>
  <c r="IU15" i="1"/>
  <c r="IV15" i="1"/>
  <c r="IW15" i="1"/>
  <c r="IX15" i="1"/>
  <c r="IY15" i="1"/>
  <c r="IZ15" i="1"/>
  <c r="JA15" i="1"/>
  <c r="JB15" i="1"/>
  <c r="JC15" i="1"/>
  <c r="JD15" i="1"/>
  <c r="JE15" i="1"/>
  <c r="JF15" i="1"/>
  <c r="JG15" i="1"/>
  <c r="JH15" i="1"/>
  <c r="JI15" i="1"/>
  <c r="JJ15" i="1"/>
  <c r="JK15" i="1"/>
  <c r="JL15" i="1"/>
  <c r="JM15" i="1"/>
  <c r="JN15" i="1"/>
  <c r="JO15" i="1"/>
  <c r="JP15" i="1"/>
  <c r="JQ15" i="1"/>
  <c r="JR15" i="1"/>
  <c r="JS15" i="1"/>
  <c r="JT15" i="1"/>
  <c r="JU15" i="1"/>
  <c r="JV15" i="1"/>
  <c r="JW15" i="1"/>
  <c r="JX15" i="1"/>
  <c r="JY15" i="1"/>
  <c r="JZ15" i="1"/>
  <c r="KA15" i="1"/>
  <c r="KB15" i="1"/>
  <c r="KC15" i="1"/>
  <c r="KD15" i="1"/>
  <c r="KE15" i="1"/>
  <c r="KF15" i="1"/>
  <c r="KG15" i="1"/>
  <c r="KH15" i="1"/>
  <c r="KI15" i="1"/>
  <c r="KJ15" i="1"/>
  <c r="KK15" i="1"/>
  <c r="KL15" i="1"/>
  <c r="KM15" i="1"/>
  <c r="KN15" i="1"/>
  <c r="KO15" i="1"/>
  <c r="KP15" i="1"/>
  <c r="KQ15" i="1"/>
  <c r="KR15" i="1"/>
  <c r="KS15" i="1"/>
  <c r="KT15" i="1"/>
  <c r="KU15" i="1"/>
  <c r="KV15" i="1"/>
  <c r="KW15" i="1"/>
  <c r="KX15" i="1"/>
  <c r="KY15" i="1"/>
  <c r="KZ15" i="1"/>
  <c r="LA15" i="1"/>
  <c r="LB15" i="1"/>
  <c r="LC15" i="1"/>
  <c r="LD15" i="1"/>
  <c r="LE15" i="1"/>
  <c r="LF15" i="1"/>
  <c r="LG15" i="1"/>
  <c r="LH15" i="1"/>
  <c r="LI15" i="1"/>
  <c r="LJ15" i="1"/>
  <c r="LK15" i="1"/>
  <c r="LL15" i="1"/>
  <c r="LM15" i="1"/>
  <c r="LN15" i="1"/>
  <c r="LO15" i="1"/>
  <c r="LP15" i="1"/>
  <c r="LQ15" i="1"/>
  <c r="LR15" i="1"/>
  <c r="LS15" i="1"/>
  <c r="LT15" i="1"/>
  <c r="LU15" i="1"/>
  <c r="LV15" i="1"/>
  <c r="LW15" i="1"/>
  <c r="LX15" i="1"/>
  <c r="EW21" i="1"/>
  <c r="EX21" i="1"/>
  <c r="EY21" i="1"/>
  <c r="EZ21" i="1"/>
  <c r="FA21" i="1"/>
  <c r="FB21" i="1"/>
  <c r="FC21" i="1"/>
  <c r="FD21" i="1"/>
  <c r="FE21" i="1"/>
  <c r="FF21" i="1"/>
  <c r="FG21" i="1"/>
  <c r="FH21" i="1"/>
  <c r="FI21" i="1"/>
  <c r="FI22" i="1" s="1"/>
  <c r="FJ21" i="1"/>
  <c r="FJ22" i="1" s="1"/>
  <c r="FK21" i="1"/>
  <c r="FK22" i="1" s="1"/>
  <c r="FL21" i="1"/>
  <c r="FL22" i="1" s="1"/>
  <c r="FM21" i="1"/>
  <c r="FM22" i="1" s="1"/>
  <c r="FN21" i="1"/>
  <c r="FN22" i="1" s="1"/>
  <c r="FO21" i="1"/>
  <c r="FO22" i="1" s="1"/>
  <c r="FP21" i="1"/>
  <c r="FP22" i="1" s="1"/>
  <c r="FQ21" i="1"/>
  <c r="FQ22" i="1" s="1"/>
  <c r="FR21" i="1"/>
  <c r="FR22" i="1" s="1"/>
  <c r="FS21" i="1"/>
  <c r="FS22" i="1" s="1"/>
  <c r="FT21" i="1"/>
  <c r="FT22" i="1" s="1"/>
  <c r="FU21" i="1"/>
  <c r="FU22" i="1" s="1"/>
  <c r="FV21" i="1"/>
  <c r="FV22" i="1" s="1"/>
  <c r="FW21" i="1"/>
  <c r="FW22" i="1" s="1"/>
  <c r="FX21" i="1"/>
  <c r="FX22" i="1" s="1"/>
  <c r="FY21" i="1"/>
  <c r="FY22" i="1" s="1"/>
  <c r="FZ21" i="1"/>
  <c r="FZ22" i="1" s="1"/>
  <c r="GA21" i="1"/>
  <c r="GA22" i="1" s="1"/>
  <c r="GB21" i="1"/>
  <c r="GB22" i="1" s="1"/>
  <c r="GC21" i="1"/>
  <c r="GC22" i="1" s="1"/>
  <c r="GD21" i="1"/>
  <c r="GD22" i="1" s="1"/>
  <c r="GE21" i="1"/>
  <c r="GE22" i="1" s="1"/>
  <c r="GF21" i="1"/>
  <c r="GF22" i="1" s="1"/>
  <c r="GG21" i="1"/>
  <c r="GG22" i="1" s="1"/>
  <c r="GH21" i="1"/>
  <c r="GH22" i="1" s="1"/>
  <c r="GI21" i="1"/>
  <c r="GI22" i="1" s="1"/>
  <c r="GJ21" i="1"/>
  <c r="GJ22" i="1" s="1"/>
  <c r="GK21" i="1"/>
  <c r="GK22" i="1" s="1"/>
  <c r="GL21" i="1"/>
  <c r="GL22" i="1" s="1"/>
  <c r="GM21" i="1"/>
  <c r="GM22" i="1" s="1"/>
  <c r="GN21" i="1"/>
  <c r="GN22" i="1" s="1"/>
  <c r="GO21" i="1"/>
  <c r="GO22" i="1" s="1"/>
  <c r="GP21" i="1"/>
  <c r="GP22" i="1" s="1"/>
  <c r="GQ21" i="1"/>
  <c r="GQ22" i="1" s="1"/>
  <c r="GR21" i="1"/>
  <c r="GR22" i="1" s="1"/>
  <c r="GS21" i="1"/>
  <c r="GS22" i="1" s="1"/>
  <c r="GT21" i="1"/>
  <c r="GT22" i="1" s="1"/>
  <c r="GU21" i="1"/>
  <c r="GU22" i="1" s="1"/>
  <c r="GV21" i="1"/>
  <c r="GV22" i="1" s="1"/>
  <c r="GW21" i="1"/>
  <c r="GW22" i="1" s="1"/>
  <c r="GX21" i="1"/>
  <c r="GX22" i="1" s="1"/>
  <c r="GY21" i="1"/>
  <c r="GY22" i="1" s="1"/>
  <c r="GZ21" i="1"/>
  <c r="GZ22" i="1" s="1"/>
  <c r="HA21" i="1"/>
  <c r="HA22" i="1" s="1"/>
  <c r="HB21" i="1"/>
  <c r="HB22" i="1" s="1"/>
  <c r="HC21" i="1"/>
  <c r="HC22" i="1" s="1"/>
  <c r="HD21" i="1"/>
  <c r="HD22" i="1" s="1"/>
  <c r="HE21" i="1"/>
  <c r="HE22" i="1" s="1"/>
  <c r="HF21" i="1"/>
  <c r="HF22" i="1" s="1"/>
  <c r="HG21" i="1"/>
  <c r="HG22" i="1" s="1"/>
  <c r="HH21" i="1"/>
  <c r="HH22" i="1" s="1"/>
  <c r="HI21" i="1"/>
  <c r="HI22" i="1" s="1"/>
  <c r="HJ21" i="1"/>
  <c r="HJ22" i="1" s="1"/>
  <c r="HK21" i="1"/>
  <c r="HK22" i="1" s="1"/>
  <c r="HL21" i="1"/>
  <c r="HL22" i="1" s="1"/>
  <c r="HM21" i="1"/>
  <c r="HM22" i="1" s="1"/>
  <c r="HN21" i="1"/>
  <c r="HN22" i="1" s="1"/>
  <c r="HO21" i="1"/>
  <c r="HO22" i="1" s="1"/>
  <c r="HP21" i="1"/>
  <c r="HP22" i="1" s="1"/>
  <c r="HQ21" i="1"/>
  <c r="HQ22" i="1" s="1"/>
  <c r="HR21" i="1"/>
  <c r="HR22" i="1" s="1"/>
  <c r="HS21" i="1"/>
  <c r="HS22" i="1" s="1"/>
  <c r="HT21" i="1"/>
  <c r="HT22" i="1" s="1"/>
  <c r="HU21" i="1"/>
  <c r="HU22" i="1" s="1"/>
  <c r="HV21" i="1"/>
  <c r="HV22" i="1" s="1"/>
  <c r="HW21" i="1"/>
  <c r="HW22" i="1" s="1"/>
  <c r="HX21" i="1"/>
  <c r="HX22" i="1" s="1"/>
  <c r="HY21" i="1"/>
  <c r="HY22" i="1" s="1"/>
  <c r="HZ21" i="1"/>
  <c r="HZ22" i="1" s="1"/>
  <c r="IA21" i="1"/>
  <c r="IA22" i="1" s="1"/>
  <c r="IB21" i="1"/>
  <c r="IB22" i="1" s="1"/>
  <c r="IC21" i="1"/>
  <c r="IC22" i="1" s="1"/>
  <c r="ID21" i="1"/>
  <c r="ID22" i="1" s="1"/>
  <c r="IE21" i="1"/>
  <c r="IE22" i="1" s="1"/>
  <c r="IF21" i="1"/>
  <c r="IF22" i="1" s="1"/>
  <c r="IG21" i="1"/>
  <c r="IG22" i="1" s="1"/>
  <c r="IH21" i="1"/>
  <c r="IH22" i="1" s="1"/>
  <c r="II21" i="1"/>
  <c r="II22" i="1" s="1"/>
  <c r="IJ21" i="1"/>
  <c r="IJ22" i="1" s="1"/>
  <c r="IK21" i="1"/>
  <c r="IK22" i="1" s="1"/>
  <c r="IL21" i="1"/>
  <c r="IL22" i="1" s="1"/>
  <c r="IM21" i="1"/>
  <c r="IM22" i="1" s="1"/>
  <c r="IN21" i="1"/>
  <c r="IN22" i="1" s="1"/>
  <c r="IO21" i="1"/>
  <c r="IO22" i="1" s="1"/>
  <c r="IP21" i="1"/>
  <c r="IP22" i="1" s="1"/>
  <c r="IQ21" i="1"/>
  <c r="IQ22" i="1" s="1"/>
  <c r="IR21" i="1"/>
  <c r="IR22" i="1" s="1"/>
  <c r="IS21" i="1"/>
  <c r="IS22" i="1" s="1"/>
  <c r="IT21" i="1"/>
  <c r="IT22" i="1" s="1"/>
  <c r="IU21" i="1"/>
  <c r="IU22" i="1" s="1"/>
  <c r="IV21" i="1"/>
  <c r="IV22" i="1" s="1"/>
  <c r="IW21" i="1"/>
  <c r="IW22" i="1" s="1"/>
  <c r="IX21" i="1"/>
  <c r="IX22" i="1" s="1"/>
  <c r="IY21" i="1"/>
  <c r="IY22" i="1" s="1"/>
  <c r="IZ21" i="1"/>
  <c r="IZ22" i="1" s="1"/>
  <c r="JA21" i="1"/>
  <c r="JA22" i="1" s="1"/>
  <c r="JB21" i="1"/>
  <c r="JB22" i="1" s="1"/>
  <c r="JC21" i="1"/>
  <c r="JC22" i="1" s="1"/>
  <c r="JD21" i="1"/>
  <c r="JD22" i="1" s="1"/>
  <c r="JE21" i="1"/>
  <c r="JE22" i="1" s="1"/>
  <c r="JF21" i="1"/>
  <c r="JF22" i="1" s="1"/>
  <c r="JG21" i="1"/>
  <c r="JG22" i="1" s="1"/>
  <c r="JH21" i="1"/>
  <c r="JH22" i="1" s="1"/>
  <c r="JI21" i="1"/>
  <c r="JI22" i="1" s="1"/>
  <c r="JJ21" i="1"/>
  <c r="JJ22" i="1" s="1"/>
  <c r="JK21" i="1"/>
  <c r="JK22" i="1" s="1"/>
  <c r="JL21" i="1"/>
  <c r="JL22" i="1" s="1"/>
  <c r="JM21" i="1"/>
  <c r="JM22" i="1" s="1"/>
  <c r="JN21" i="1"/>
  <c r="JN22" i="1" s="1"/>
  <c r="JO21" i="1"/>
  <c r="JO22" i="1" s="1"/>
  <c r="JP21" i="1"/>
  <c r="JP22" i="1" s="1"/>
  <c r="JQ21" i="1"/>
  <c r="JQ22" i="1" s="1"/>
  <c r="JR21" i="1"/>
  <c r="JR22" i="1" s="1"/>
  <c r="JS21" i="1"/>
  <c r="JS22" i="1" s="1"/>
  <c r="JT21" i="1"/>
  <c r="JT22" i="1" s="1"/>
  <c r="JU21" i="1"/>
  <c r="JU22" i="1" s="1"/>
  <c r="JV21" i="1"/>
  <c r="JV22" i="1" s="1"/>
  <c r="JW21" i="1"/>
  <c r="JW22" i="1" s="1"/>
  <c r="JX21" i="1"/>
  <c r="JX22" i="1" s="1"/>
  <c r="JY21" i="1"/>
  <c r="JY22" i="1" s="1"/>
  <c r="JZ21" i="1"/>
  <c r="JZ22" i="1" s="1"/>
  <c r="KA21" i="1"/>
  <c r="KA22" i="1" s="1"/>
  <c r="KB21" i="1"/>
  <c r="KB22" i="1" s="1"/>
  <c r="KC21" i="1"/>
  <c r="KC22" i="1" s="1"/>
  <c r="KD21" i="1"/>
  <c r="KD22" i="1" s="1"/>
  <c r="KE21" i="1"/>
  <c r="KE22" i="1" s="1"/>
  <c r="KF21" i="1"/>
  <c r="KF22" i="1" s="1"/>
  <c r="KG21" i="1"/>
  <c r="KG22" i="1" s="1"/>
  <c r="KH21" i="1"/>
  <c r="KH22" i="1" s="1"/>
  <c r="KI21" i="1"/>
  <c r="KI22" i="1" s="1"/>
  <c r="KJ21" i="1"/>
  <c r="KJ22" i="1" s="1"/>
  <c r="KK21" i="1"/>
  <c r="KK22" i="1" s="1"/>
  <c r="KL21" i="1"/>
  <c r="KL22" i="1" s="1"/>
  <c r="KM21" i="1"/>
  <c r="KM22" i="1" s="1"/>
  <c r="KN21" i="1"/>
  <c r="KN22" i="1" s="1"/>
  <c r="KO21" i="1"/>
  <c r="KO22" i="1" s="1"/>
  <c r="KP21" i="1"/>
  <c r="KP22" i="1" s="1"/>
  <c r="KQ21" i="1"/>
  <c r="KQ22" i="1" s="1"/>
  <c r="KR21" i="1"/>
  <c r="KR22" i="1" s="1"/>
  <c r="KS21" i="1"/>
  <c r="KS22" i="1" s="1"/>
  <c r="KT21" i="1"/>
  <c r="KT22" i="1" s="1"/>
  <c r="KU21" i="1"/>
  <c r="KU22" i="1" s="1"/>
  <c r="KV21" i="1"/>
  <c r="KV22" i="1" s="1"/>
  <c r="KW21" i="1"/>
  <c r="KW22" i="1" s="1"/>
  <c r="KX21" i="1"/>
  <c r="KX22" i="1" s="1"/>
  <c r="KY21" i="1"/>
  <c r="KY22" i="1" s="1"/>
  <c r="KZ21" i="1"/>
  <c r="KZ22" i="1" s="1"/>
  <c r="LA21" i="1"/>
  <c r="LA22" i="1" s="1"/>
  <c r="LB21" i="1"/>
  <c r="LB22" i="1" s="1"/>
  <c r="LC21" i="1"/>
  <c r="LC22" i="1" s="1"/>
  <c r="LD21" i="1"/>
  <c r="LD22" i="1" s="1"/>
  <c r="LE21" i="1"/>
  <c r="LE22" i="1" s="1"/>
  <c r="LF21" i="1"/>
  <c r="LF22" i="1" s="1"/>
  <c r="LG21" i="1"/>
  <c r="LG22" i="1" s="1"/>
  <c r="LH21" i="1"/>
  <c r="LH22" i="1" s="1"/>
  <c r="LI21" i="1"/>
  <c r="LI22" i="1" s="1"/>
  <c r="LJ21" i="1"/>
  <c r="LJ22" i="1" s="1"/>
  <c r="LK21" i="1"/>
  <c r="LK22" i="1" s="1"/>
  <c r="LL21" i="1"/>
  <c r="LL22" i="1" s="1"/>
  <c r="LM21" i="1"/>
  <c r="LM22" i="1" s="1"/>
  <c r="LN21" i="1"/>
  <c r="LN22" i="1" s="1"/>
  <c r="LO21" i="1"/>
  <c r="LO22" i="1" s="1"/>
  <c r="LP21" i="1"/>
  <c r="LP22" i="1" s="1"/>
  <c r="LQ21" i="1"/>
  <c r="LR21" i="1"/>
  <c r="LS21" i="1"/>
  <c r="LT21" i="1"/>
  <c r="LU21" i="1"/>
  <c r="LV21" i="1"/>
  <c r="LW21" i="1"/>
  <c r="LX21" i="1"/>
  <c r="EW27" i="1"/>
  <c r="EX27" i="1"/>
  <c r="EY27" i="1"/>
  <c r="EZ27" i="1"/>
  <c r="FA27" i="1"/>
  <c r="FB27" i="1"/>
  <c r="FC27" i="1"/>
  <c r="FD27" i="1"/>
  <c r="FE27" i="1"/>
  <c r="FF27" i="1"/>
  <c r="FG27" i="1"/>
  <c r="FH27" i="1"/>
  <c r="FI27" i="1"/>
  <c r="FI28" i="1" s="1"/>
  <c r="FJ27" i="1"/>
  <c r="FJ28" i="1" s="1"/>
  <c r="FK27" i="1"/>
  <c r="FK28" i="1" s="1"/>
  <c r="FL27" i="1"/>
  <c r="FL28" i="1" s="1"/>
  <c r="FM27" i="1"/>
  <c r="FN27" i="1"/>
  <c r="FN28" i="1" s="1"/>
  <c r="FO27" i="1"/>
  <c r="FO28" i="1" s="1"/>
  <c r="FP27" i="1"/>
  <c r="FP28" i="1" s="1"/>
  <c r="FQ27" i="1"/>
  <c r="FQ28" i="1" s="1"/>
  <c r="FR27" i="1"/>
  <c r="FR28" i="1" s="1"/>
  <c r="FS27" i="1"/>
  <c r="FS28" i="1" s="1"/>
  <c r="FT27" i="1"/>
  <c r="FT28" i="1" s="1"/>
  <c r="FU27" i="1"/>
  <c r="FU28" i="1" s="1"/>
  <c r="FV27" i="1"/>
  <c r="FV28" i="1" s="1"/>
  <c r="FW27" i="1"/>
  <c r="FW28" i="1" s="1"/>
  <c r="FX27" i="1"/>
  <c r="FX28" i="1" s="1"/>
  <c r="FY27" i="1"/>
  <c r="FY28" i="1" s="1"/>
  <c r="FZ27" i="1"/>
  <c r="FZ28" i="1" s="1"/>
  <c r="GA27" i="1"/>
  <c r="GA28" i="1" s="1"/>
  <c r="GB27" i="1"/>
  <c r="GB28" i="1" s="1"/>
  <c r="GC27" i="1"/>
  <c r="GC28" i="1" s="1"/>
  <c r="GD27" i="1"/>
  <c r="GD28" i="1" s="1"/>
  <c r="GE27" i="1"/>
  <c r="GE28" i="1" s="1"/>
  <c r="GF27" i="1"/>
  <c r="GF28" i="1" s="1"/>
  <c r="GG27" i="1"/>
  <c r="GG28" i="1" s="1"/>
  <c r="GH27" i="1"/>
  <c r="GH28" i="1" s="1"/>
  <c r="GI27" i="1"/>
  <c r="GI28" i="1" s="1"/>
  <c r="GJ27" i="1"/>
  <c r="GJ28" i="1" s="1"/>
  <c r="GK27" i="1"/>
  <c r="GK28" i="1" s="1"/>
  <c r="GL27" i="1"/>
  <c r="GL28" i="1" s="1"/>
  <c r="GM27" i="1"/>
  <c r="GM28" i="1" s="1"/>
  <c r="GN27" i="1"/>
  <c r="GN28" i="1" s="1"/>
  <c r="GO27" i="1"/>
  <c r="GO28" i="1" s="1"/>
  <c r="GP27" i="1"/>
  <c r="GP28" i="1" s="1"/>
  <c r="GQ27" i="1"/>
  <c r="GQ28" i="1" s="1"/>
  <c r="GR27" i="1"/>
  <c r="GR28" i="1" s="1"/>
  <c r="GS27" i="1"/>
  <c r="GS28" i="1" s="1"/>
  <c r="GT27" i="1"/>
  <c r="GT28" i="1" s="1"/>
  <c r="GU27" i="1"/>
  <c r="GU28" i="1" s="1"/>
  <c r="GV27" i="1"/>
  <c r="GV28" i="1" s="1"/>
  <c r="GW27" i="1"/>
  <c r="GW28" i="1" s="1"/>
  <c r="GX27" i="1"/>
  <c r="GX28" i="1" s="1"/>
  <c r="GY27" i="1"/>
  <c r="GY28" i="1" s="1"/>
  <c r="GZ27" i="1"/>
  <c r="GZ28" i="1" s="1"/>
  <c r="HA27" i="1"/>
  <c r="HA28" i="1" s="1"/>
  <c r="HB27" i="1"/>
  <c r="HB28" i="1" s="1"/>
  <c r="HC27" i="1"/>
  <c r="HC28" i="1" s="1"/>
  <c r="HD27" i="1"/>
  <c r="HD28" i="1" s="1"/>
  <c r="HE27" i="1"/>
  <c r="HE28" i="1" s="1"/>
  <c r="HF27" i="1"/>
  <c r="HF28" i="1" s="1"/>
  <c r="HG27" i="1"/>
  <c r="HG28" i="1" s="1"/>
  <c r="HH27" i="1"/>
  <c r="HH28" i="1" s="1"/>
  <c r="HI27" i="1"/>
  <c r="HI28" i="1" s="1"/>
  <c r="HJ27" i="1"/>
  <c r="HJ28" i="1" s="1"/>
  <c r="HK27" i="1"/>
  <c r="HK28" i="1" s="1"/>
  <c r="HL27" i="1"/>
  <c r="HL28" i="1" s="1"/>
  <c r="HM27" i="1"/>
  <c r="HM28" i="1" s="1"/>
  <c r="HN27" i="1"/>
  <c r="HN28" i="1" s="1"/>
  <c r="HO27" i="1"/>
  <c r="HO28" i="1" s="1"/>
  <c r="HP27" i="1"/>
  <c r="HP28" i="1" s="1"/>
  <c r="HQ27" i="1"/>
  <c r="HQ28" i="1" s="1"/>
  <c r="HR27" i="1"/>
  <c r="HR28" i="1" s="1"/>
  <c r="HS27" i="1"/>
  <c r="HS28" i="1" s="1"/>
  <c r="HT27" i="1"/>
  <c r="HT28" i="1" s="1"/>
  <c r="HU27" i="1"/>
  <c r="HU28" i="1" s="1"/>
  <c r="HV27" i="1"/>
  <c r="HV28" i="1" s="1"/>
  <c r="HW27" i="1"/>
  <c r="HW28" i="1" s="1"/>
  <c r="HX27" i="1"/>
  <c r="HX28" i="1" s="1"/>
  <c r="HY27" i="1"/>
  <c r="HY28" i="1" s="1"/>
  <c r="HZ27" i="1"/>
  <c r="HZ28" i="1" s="1"/>
  <c r="IA27" i="1"/>
  <c r="IA28" i="1" s="1"/>
  <c r="IB27" i="1"/>
  <c r="IB28" i="1" s="1"/>
  <c r="IC27" i="1"/>
  <c r="IC28" i="1" s="1"/>
  <c r="ID27" i="1"/>
  <c r="ID28" i="1" s="1"/>
  <c r="IE27" i="1"/>
  <c r="IE28" i="1" s="1"/>
  <c r="IF27" i="1"/>
  <c r="IF28" i="1" s="1"/>
  <c r="IG27" i="1"/>
  <c r="IG28" i="1" s="1"/>
  <c r="IH27" i="1"/>
  <c r="IH28" i="1" s="1"/>
  <c r="II27" i="1"/>
  <c r="II28" i="1" s="1"/>
  <c r="IJ27" i="1"/>
  <c r="IJ28" i="1" s="1"/>
  <c r="IK27" i="1"/>
  <c r="IK28" i="1" s="1"/>
  <c r="IL27" i="1"/>
  <c r="IL28" i="1" s="1"/>
  <c r="IM27" i="1"/>
  <c r="IM28" i="1" s="1"/>
  <c r="IN27" i="1"/>
  <c r="IN28" i="1" s="1"/>
  <c r="IO27" i="1"/>
  <c r="IO28" i="1" s="1"/>
  <c r="IP27" i="1"/>
  <c r="IP28" i="1" s="1"/>
  <c r="IQ27" i="1"/>
  <c r="IQ28" i="1" s="1"/>
  <c r="IR27" i="1"/>
  <c r="IR28" i="1" s="1"/>
  <c r="IS27" i="1"/>
  <c r="IS28" i="1" s="1"/>
  <c r="IT27" i="1"/>
  <c r="IT28" i="1" s="1"/>
  <c r="IU27" i="1"/>
  <c r="IU28" i="1" s="1"/>
  <c r="IV27" i="1"/>
  <c r="IV28" i="1" s="1"/>
  <c r="IW27" i="1"/>
  <c r="IW28" i="1" s="1"/>
  <c r="IX27" i="1"/>
  <c r="IX28" i="1" s="1"/>
  <c r="IY27" i="1"/>
  <c r="IY28" i="1" s="1"/>
  <c r="IZ27" i="1"/>
  <c r="IZ28" i="1" s="1"/>
  <c r="JA27" i="1"/>
  <c r="JA28" i="1" s="1"/>
  <c r="JB27" i="1"/>
  <c r="JB28" i="1" s="1"/>
  <c r="JC27" i="1"/>
  <c r="JC28" i="1" s="1"/>
  <c r="JD27" i="1"/>
  <c r="JD28" i="1" s="1"/>
  <c r="JE27" i="1"/>
  <c r="JE28" i="1" s="1"/>
  <c r="JF27" i="1"/>
  <c r="JF28" i="1" s="1"/>
  <c r="JG27" i="1"/>
  <c r="JG28" i="1" s="1"/>
  <c r="JH27" i="1"/>
  <c r="JH28" i="1" s="1"/>
  <c r="JI27" i="1"/>
  <c r="JI28" i="1" s="1"/>
  <c r="JJ27" i="1"/>
  <c r="JJ28" i="1" s="1"/>
  <c r="JK27" i="1"/>
  <c r="JK28" i="1" s="1"/>
  <c r="JL27" i="1"/>
  <c r="JL28" i="1" s="1"/>
  <c r="JM27" i="1"/>
  <c r="JM28" i="1" s="1"/>
  <c r="JN27" i="1"/>
  <c r="JN28" i="1" s="1"/>
  <c r="JO27" i="1"/>
  <c r="JO28" i="1" s="1"/>
  <c r="JP27" i="1"/>
  <c r="JP28" i="1" s="1"/>
  <c r="JQ27" i="1"/>
  <c r="JQ28" i="1" s="1"/>
  <c r="JR27" i="1"/>
  <c r="JR28" i="1" s="1"/>
  <c r="JS27" i="1"/>
  <c r="JS28" i="1" s="1"/>
  <c r="JT27" i="1"/>
  <c r="JT28" i="1" s="1"/>
  <c r="JU27" i="1"/>
  <c r="JU28" i="1" s="1"/>
  <c r="JV27" i="1"/>
  <c r="JV28" i="1" s="1"/>
  <c r="JW27" i="1"/>
  <c r="JW28" i="1" s="1"/>
  <c r="JX27" i="1"/>
  <c r="JX28" i="1" s="1"/>
  <c r="JY27" i="1"/>
  <c r="JY28" i="1" s="1"/>
  <c r="JZ27" i="1"/>
  <c r="JZ28" i="1" s="1"/>
  <c r="KA27" i="1"/>
  <c r="KA28" i="1" s="1"/>
  <c r="KB27" i="1"/>
  <c r="KB28" i="1" s="1"/>
  <c r="KC27" i="1"/>
  <c r="KC28" i="1" s="1"/>
  <c r="KD27" i="1"/>
  <c r="KD28" i="1" s="1"/>
  <c r="KE27" i="1"/>
  <c r="KE28" i="1" s="1"/>
  <c r="KF27" i="1"/>
  <c r="KF28" i="1" s="1"/>
  <c r="KG27" i="1"/>
  <c r="KG28" i="1" s="1"/>
  <c r="KH27" i="1"/>
  <c r="KH28" i="1" s="1"/>
  <c r="KI27" i="1"/>
  <c r="KI28" i="1" s="1"/>
  <c r="KJ27" i="1"/>
  <c r="KJ28" i="1" s="1"/>
  <c r="KK27" i="1"/>
  <c r="KK28" i="1" s="1"/>
  <c r="KL27" i="1"/>
  <c r="KL28" i="1" s="1"/>
  <c r="KM27" i="1"/>
  <c r="KM28" i="1" s="1"/>
  <c r="KN27" i="1"/>
  <c r="KN28" i="1" s="1"/>
  <c r="KO27" i="1"/>
  <c r="KO28" i="1" s="1"/>
  <c r="KP27" i="1"/>
  <c r="KP28" i="1" s="1"/>
  <c r="KQ27" i="1"/>
  <c r="KQ28" i="1" s="1"/>
  <c r="KR27" i="1"/>
  <c r="KR28" i="1" s="1"/>
  <c r="KS27" i="1"/>
  <c r="KS28" i="1" s="1"/>
  <c r="KT27" i="1"/>
  <c r="KT28" i="1" s="1"/>
  <c r="KU27" i="1"/>
  <c r="KU28" i="1" s="1"/>
  <c r="KV27" i="1"/>
  <c r="KV28" i="1" s="1"/>
  <c r="KW27" i="1"/>
  <c r="KW28" i="1" s="1"/>
  <c r="KX27" i="1"/>
  <c r="KX28" i="1" s="1"/>
  <c r="KY27" i="1"/>
  <c r="KY28" i="1" s="1"/>
  <c r="KZ27" i="1"/>
  <c r="KZ28" i="1" s="1"/>
  <c r="LA27" i="1"/>
  <c r="LA28" i="1" s="1"/>
  <c r="LB27" i="1"/>
  <c r="LB28" i="1" s="1"/>
  <c r="LC27" i="1"/>
  <c r="LC28" i="1" s="1"/>
  <c r="LD27" i="1"/>
  <c r="LD28" i="1" s="1"/>
  <c r="LE27" i="1"/>
  <c r="LE28" i="1" s="1"/>
  <c r="LF27" i="1"/>
  <c r="LF28" i="1" s="1"/>
  <c r="LG27" i="1"/>
  <c r="LG28" i="1" s="1"/>
  <c r="LH27" i="1"/>
  <c r="LH28" i="1" s="1"/>
  <c r="LI27" i="1"/>
  <c r="LI28" i="1" s="1"/>
  <c r="LJ27" i="1"/>
  <c r="LJ28" i="1" s="1"/>
  <c r="LK27" i="1"/>
  <c r="LK28" i="1" s="1"/>
  <c r="LL27" i="1"/>
  <c r="LL28" i="1" s="1"/>
  <c r="LM27" i="1"/>
  <c r="LM28" i="1" s="1"/>
  <c r="LN27" i="1"/>
  <c r="LN28" i="1" s="1"/>
  <c r="LO27" i="1"/>
  <c r="LO28" i="1" s="1"/>
  <c r="LP27" i="1"/>
  <c r="LP28" i="1" s="1"/>
  <c r="LQ27" i="1"/>
  <c r="LR27" i="1"/>
  <c r="LS27" i="1"/>
  <c r="LT27" i="1"/>
  <c r="LU27" i="1"/>
  <c r="LV27" i="1"/>
  <c r="LW27" i="1"/>
  <c r="LX27" i="1"/>
  <c r="FM28" i="1"/>
  <c r="MA49" i="1"/>
  <c r="MA48" i="1"/>
  <c r="MA54" i="1"/>
  <c r="MA53" i="1"/>
  <c r="MA52" i="1"/>
  <c r="MA51" i="1"/>
  <c r="MA50" i="1"/>
  <c r="MA46" i="1"/>
  <c r="MA45" i="1"/>
  <c r="MA44" i="1"/>
  <c r="MA43" i="1"/>
  <c r="MA42" i="1"/>
  <c r="MA41" i="1"/>
  <c r="MA40" i="1"/>
  <c r="MA39" i="1"/>
  <c r="MA38" i="1"/>
  <c r="MA34" i="1"/>
  <c r="MA36" i="1"/>
  <c r="MA35" i="1"/>
  <c r="I15" i="1"/>
  <c r="LY15" i="1"/>
  <c r="LY21" i="1"/>
  <c r="LY27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DA15" i="1"/>
  <c r="DB15" i="1"/>
  <c r="DC15" i="1"/>
  <c r="DD15" i="1"/>
  <c r="DE15" i="1"/>
  <c r="DF15" i="1"/>
  <c r="DG15" i="1"/>
  <c r="DH15" i="1"/>
  <c r="DI15" i="1"/>
  <c r="DJ15" i="1"/>
  <c r="DK15" i="1"/>
  <c r="DL15" i="1"/>
  <c r="DM15" i="1"/>
  <c r="DN15" i="1"/>
  <c r="DO15" i="1"/>
  <c r="DP15" i="1"/>
  <c r="DQ15" i="1"/>
  <c r="DR15" i="1"/>
  <c r="DS15" i="1"/>
  <c r="DT15" i="1"/>
  <c r="DU15" i="1"/>
  <c r="DV15" i="1"/>
  <c r="DW15" i="1"/>
  <c r="DX15" i="1"/>
  <c r="DY15" i="1"/>
  <c r="DZ15" i="1"/>
  <c r="EA15" i="1"/>
  <c r="EB15" i="1"/>
  <c r="EC15" i="1"/>
  <c r="ED15" i="1"/>
  <c r="EE15" i="1"/>
  <c r="EF15" i="1"/>
  <c r="EG15" i="1"/>
  <c r="EH15" i="1"/>
  <c r="EI15" i="1"/>
  <c r="EJ15" i="1"/>
  <c r="EK15" i="1"/>
  <c r="EL15" i="1"/>
  <c r="EM15" i="1"/>
  <c r="EN15" i="1"/>
  <c r="EO15" i="1"/>
  <c r="EP15" i="1"/>
  <c r="EQ15" i="1"/>
  <c r="ER15" i="1"/>
  <c r="ES15" i="1"/>
  <c r="ET15" i="1"/>
  <c r="EU15" i="1"/>
  <c r="EV15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DA21" i="1"/>
  <c r="DB21" i="1"/>
  <c r="DC21" i="1"/>
  <c r="DD21" i="1"/>
  <c r="DE21" i="1"/>
  <c r="DF21" i="1"/>
  <c r="DG21" i="1"/>
  <c r="DH21" i="1"/>
  <c r="DI21" i="1"/>
  <c r="DJ21" i="1"/>
  <c r="DK21" i="1"/>
  <c r="DL21" i="1"/>
  <c r="DM21" i="1"/>
  <c r="DN21" i="1"/>
  <c r="DO21" i="1"/>
  <c r="DP21" i="1"/>
  <c r="DQ21" i="1"/>
  <c r="DR21" i="1"/>
  <c r="DS21" i="1"/>
  <c r="DT21" i="1"/>
  <c r="DU21" i="1"/>
  <c r="DV21" i="1"/>
  <c r="DW21" i="1"/>
  <c r="DX21" i="1"/>
  <c r="DY21" i="1"/>
  <c r="DZ21" i="1"/>
  <c r="EA21" i="1"/>
  <c r="EB21" i="1"/>
  <c r="EC21" i="1"/>
  <c r="ED21" i="1"/>
  <c r="EE21" i="1"/>
  <c r="EF21" i="1"/>
  <c r="EG21" i="1"/>
  <c r="EH21" i="1"/>
  <c r="EI21" i="1"/>
  <c r="EJ21" i="1"/>
  <c r="EK21" i="1"/>
  <c r="EL21" i="1"/>
  <c r="EM21" i="1"/>
  <c r="EN21" i="1"/>
  <c r="EO21" i="1"/>
  <c r="EP21" i="1"/>
  <c r="EQ21" i="1"/>
  <c r="ER21" i="1"/>
  <c r="ES21" i="1"/>
  <c r="ET21" i="1"/>
  <c r="EU21" i="1"/>
  <c r="EV21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CQ27" i="1"/>
  <c r="CR27" i="1"/>
  <c r="CS27" i="1"/>
  <c r="CT27" i="1"/>
  <c r="CU27" i="1"/>
  <c r="CV27" i="1"/>
  <c r="CW27" i="1"/>
  <c r="CX27" i="1"/>
  <c r="CY27" i="1"/>
  <c r="CZ27" i="1"/>
  <c r="DA27" i="1"/>
  <c r="DB27" i="1"/>
  <c r="DC27" i="1"/>
  <c r="DD27" i="1"/>
  <c r="DE27" i="1"/>
  <c r="DF27" i="1"/>
  <c r="DG27" i="1"/>
  <c r="DH27" i="1"/>
  <c r="DI27" i="1"/>
  <c r="DJ27" i="1"/>
  <c r="DK27" i="1"/>
  <c r="DL27" i="1"/>
  <c r="DM27" i="1"/>
  <c r="DN27" i="1"/>
  <c r="DO27" i="1"/>
  <c r="DP27" i="1"/>
  <c r="DQ27" i="1"/>
  <c r="DR27" i="1"/>
  <c r="DS27" i="1"/>
  <c r="DT27" i="1"/>
  <c r="DU27" i="1"/>
  <c r="DV27" i="1"/>
  <c r="DW27" i="1"/>
  <c r="DX27" i="1"/>
  <c r="DY27" i="1"/>
  <c r="DZ27" i="1"/>
  <c r="EA27" i="1"/>
  <c r="EB27" i="1"/>
  <c r="EC27" i="1"/>
  <c r="ED27" i="1"/>
  <c r="EE27" i="1"/>
  <c r="EF27" i="1"/>
  <c r="EG27" i="1"/>
  <c r="EH27" i="1"/>
  <c r="EI27" i="1"/>
  <c r="EJ27" i="1"/>
  <c r="EK27" i="1"/>
  <c r="EL27" i="1"/>
  <c r="EM27" i="1"/>
  <c r="EN27" i="1"/>
  <c r="EO27" i="1"/>
  <c r="EP27" i="1"/>
  <c r="EQ27" i="1"/>
  <c r="ER27" i="1"/>
  <c r="ES27" i="1"/>
  <c r="ET27" i="1"/>
  <c r="EU27" i="1"/>
  <c r="EV27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C37" i="2"/>
  <c r="C39" i="2"/>
  <c r="C35" i="2"/>
  <c r="F15" i="1"/>
  <c r="G15" i="1"/>
  <c r="H15" i="1"/>
  <c r="J15" i="1"/>
  <c r="K15" i="1"/>
  <c r="L15" i="1"/>
  <c r="M15" i="1"/>
  <c r="N15" i="1"/>
  <c r="O15" i="1"/>
  <c r="P15" i="1"/>
  <c r="Q15" i="1"/>
  <c r="F21" i="1"/>
  <c r="G21" i="1"/>
  <c r="H21" i="1"/>
  <c r="I21" i="1"/>
  <c r="J21" i="1"/>
  <c r="K21" i="1"/>
  <c r="L21" i="1"/>
  <c r="M21" i="1"/>
  <c r="N21" i="1"/>
  <c r="O21" i="1"/>
  <c r="P21" i="1"/>
  <c r="Q21" i="1"/>
  <c r="F27" i="1"/>
  <c r="G27" i="1"/>
  <c r="H27" i="1"/>
  <c r="I27" i="1"/>
  <c r="J27" i="1"/>
  <c r="K27" i="1"/>
  <c r="L27" i="1"/>
  <c r="M27" i="1"/>
  <c r="N27" i="1"/>
  <c r="O27" i="1"/>
  <c r="P27" i="1"/>
  <c r="Q27" i="1"/>
  <c r="E27" i="1"/>
  <c r="E15" i="1"/>
  <c r="C3" i="6"/>
  <c r="C2" i="6"/>
  <c r="B2" i="1"/>
  <c r="D10" i="2" a="1"/>
  <c r="B12" i="6" l="1"/>
  <c r="MA27" i="1"/>
  <c r="MA28" i="1" s="1"/>
  <c r="MA15" i="1"/>
  <c r="MA16" i="1" s="1"/>
  <c r="A6" i="6"/>
  <c r="B14" i="6"/>
  <c r="B13" i="6"/>
  <c r="D10" i="2"/>
  <c r="E21" i="1" l="1"/>
  <c r="MA21" i="1" s="1"/>
  <c r="MA22" i="1" s="1"/>
  <c r="D24" i="2"/>
  <c r="T21" i="2" l="1"/>
  <c r="D28" i="2" s="1"/>
  <c r="D26" i="2" l="1"/>
  <c r="D22" i="2"/>
  <c r="E5" i="1" l="1" a="1"/>
  <c r="J4" i="1" s="1"/>
  <c r="KM7" i="1" l="1"/>
  <c r="KM8" i="1" s="1"/>
  <c r="LH7" i="1"/>
  <c r="LH9" i="1" s="1"/>
  <c r="KU7" i="1"/>
  <c r="KU9" i="1" s="1"/>
  <c r="KZ7" i="1"/>
  <c r="KZ9" i="1" s="1"/>
  <c r="LI7" i="1"/>
  <c r="LN7" i="1"/>
  <c r="KX7" i="1"/>
  <c r="KX8" i="1" s="1"/>
  <c r="KW7" i="1"/>
  <c r="KW9" i="1" s="1"/>
  <c r="KM9" i="1"/>
  <c r="FE4" i="1"/>
  <c r="DW7" i="1"/>
  <c r="DW8" i="1" s="1"/>
  <c r="EE7" i="1"/>
  <c r="EE9" i="1" s="1"/>
  <c r="EM4" i="1"/>
  <c r="CE4" i="1"/>
  <c r="CK4" i="1"/>
  <c r="CK28" i="1" s="1"/>
  <c r="GB7" i="1"/>
  <c r="GB9" i="1" s="1"/>
  <c r="BE4" i="1"/>
  <c r="BE22" i="1" s="1"/>
  <c r="IC7" i="1"/>
  <c r="IC8" i="1" s="1"/>
  <c r="CM7" i="1"/>
  <c r="FL7" i="1"/>
  <c r="FL8" i="1" s="1"/>
  <c r="FL6" i="1" s="1"/>
  <c r="FB7" i="1"/>
  <c r="GO7" i="1"/>
  <c r="DN4" i="1"/>
  <c r="DD4" i="1"/>
  <c r="DD22" i="1" s="1"/>
  <c r="FX7" i="1"/>
  <c r="DN7" i="1"/>
  <c r="GK7" i="1"/>
  <c r="GK8" i="1" s="1"/>
  <c r="FQ7" i="1"/>
  <c r="FQ9" i="1" s="1"/>
  <c r="KG7" i="1"/>
  <c r="HW7" i="1"/>
  <c r="EZ7" i="1"/>
  <c r="BE7" i="1"/>
  <c r="FO7" i="1"/>
  <c r="FO9" i="1" s="1"/>
  <c r="DY4" i="1"/>
  <c r="GF7" i="1"/>
  <c r="GF9" i="1" s="1"/>
  <c r="IX7" i="1"/>
  <c r="IX9" i="1" s="1"/>
  <c r="HL7" i="1"/>
  <c r="HL8" i="1" s="1"/>
  <c r="HL6" i="1" s="1"/>
  <c r="HB7" i="1"/>
  <c r="FC7" i="1"/>
  <c r="ET7" i="1"/>
  <c r="EV4" i="1"/>
  <c r="DJ7" i="1"/>
  <c r="CU7" i="1"/>
  <c r="CU8" i="1" s="1"/>
  <c r="HS7" i="1"/>
  <c r="FI7" i="1"/>
  <c r="HM7" i="1"/>
  <c r="DI4" i="1"/>
  <c r="BX7" i="1"/>
  <c r="BX9" i="1" s="1"/>
  <c r="DG4" i="1"/>
  <c r="J22" i="1"/>
  <c r="J28" i="1"/>
  <c r="AR7" i="1"/>
  <c r="AH7" i="1"/>
  <c r="S7" i="1"/>
  <c r="AH4" i="1"/>
  <c r="AS7" i="1"/>
  <c r="AS9" i="1" s="1"/>
  <c r="AM7" i="1"/>
  <c r="AW4" i="1"/>
  <c r="H7" i="1"/>
  <c r="H8" i="1" s="1"/>
  <c r="H6" i="1" s="1"/>
  <c r="AV7" i="1"/>
  <c r="AK7" i="1"/>
  <c r="AK9" i="1" s="1"/>
  <c r="O4" i="1"/>
  <c r="Q7" i="1"/>
  <c r="AD7" i="1"/>
  <c r="AG7" i="1"/>
  <c r="AG8" i="1" s="1"/>
  <c r="AG6" i="1" s="1"/>
  <c r="AF7" i="1"/>
  <c r="M7" i="1"/>
  <c r="AY4" i="1"/>
  <c r="AC7" i="1"/>
  <c r="F4" i="1"/>
  <c r="V4" i="1"/>
  <c r="Q4" i="1"/>
  <c r="Q28" i="1" s="1"/>
  <c r="AU4" i="1"/>
  <c r="I7" i="1"/>
  <c r="P4" i="1"/>
  <c r="Z7" i="1"/>
  <c r="BA4" i="1"/>
  <c r="AP7" i="1"/>
  <c r="T7" i="1"/>
  <c r="AN7" i="1"/>
  <c r="AZ4" i="1"/>
  <c r="AB4" i="1"/>
  <c r="K4" i="1"/>
  <c r="G4" i="1"/>
  <c r="G28" i="1" s="1"/>
  <c r="U7" i="1"/>
  <c r="X4" i="1"/>
  <c r="AR4" i="1"/>
  <c r="AR28" i="1" s="1"/>
  <c r="AI4" i="1"/>
  <c r="R7" i="1"/>
  <c r="AO4" i="1"/>
  <c r="W7" i="1"/>
  <c r="W8" i="1" s="1"/>
  <c r="W6" i="1" s="1"/>
  <c r="K7" i="1"/>
  <c r="K9" i="1" s="1"/>
  <c r="AO7" i="1"/>
  <c r="AF4" i="1"/>
  <c r="AK4" i="1"/>
  <c r="AK28" i="1" s="1"/>
  <c r="Y4" i="1"/>
  <c r="H4" i="1"/>
  <c r="AX4" i="1"/>
  <c r="AV4" i="1"/>
  <c r="S4" i="1"/>
  <c r="S28" i="1" s="1"/>
  <c r="J7" i="1"/>
  <c r="AS4" i="1"/>
  <c r="AY7" i="1"/>
  <c r="AZ7" i="1"/>
  <c r="AZ8" i="1" s="1"/>
  <c r="AZ6" i="1" s="1"/>
  <c r="P7" i="1"/>
  <c r="AL7" i="1"/>
  <c r="AX7" i="1"/>
  <c r="AD4" i="1"/>
  <c r="L4" i="1"/>
  <c r="AQ4" i="1"/>
  <c r="N4" i="1"/>
  <c r="AA7" i="1"/>
  <c r="AL4" i="1"/>
  <c r="N7" i="1"/>
  <c r="BA7" i="1"/>
  <c r="BA8" i="1" s="1"/>
  <c r="BA6" i="1" s="1"/>
  <c r="AT7" i="1"/>
  <c r="AB7" i="1"/>
  <c r="AI7" i="1"/>
  <c r="G7" i="1"/>
  <c r="G8" i="1" s="1"/>
  <c r="G6" i="1" s="1"/>
  <c r="O7" i="1"/>
  <c r="O9" i="1" s="1"/>
  <c r="X7" i="1"/>
  <c r="X9" i="1" s="1"/>
  <c r="L7" i="1"/>
  <c r="T4" i="1"/>
  <c r="AJ7" i="1"/>
  <c r="AQ7" i="1"/>
  <c r="V7" i="1"/>
  <c r="V9" i="1" s="1"/>
  <c r="Y7" i="1"/>
  <c r="AE7" i="1"/>
  <c r="AP4" i="1"/>
  <c r="BE28" i="1"/>
  <c r="LI9" i="1"/>
  <c r="LI8" i="1"/>
  <c r="HW8" i="1"/>
  <c r="HW6" i="1" s="1"/>
  <c r="HB9" i="1"/>
  <c r="DW9" i="1"/>
  <c r="HB8" i="1"/>
  <c r="HW9" i="1"/>
  <c r="F22" i="1"/>
  <c r="F28" i="1"/>
  <c r="IC9" i="1"/>
  <c r="DD28" i="1"/>
  <c r="CK22" i="1"/>
  <c r="L1" i="4"/>
  <c r="E5" i="1"/>
  <c r="LU7" i="1"/>
  <c r="LV7" i="1"/>
  <c r="LW7" i="1"/>
  <c r="LX7" i="1"/>
  <c r="LY7" i="1"/>
  <c r="LS7" i="1"/>
  <c r="LR7" i="1"/>
  <c r="LT7" i="1"/>
  <c r="LR4" i="1"/>
  <c r="LT4" i="1"/>
  <c r="LU4" i="1"/>
  <c r="LV4" i="1"/>
  <c r="LW4" i="1"/>
  <c r="LY4" i="1"/>
  <c r="LX4" i="1"/>
  <c r="LS4" i="1"/>
  <c r="F7" i="1"/>
  <c r="BR4" i="1"/>
  <c r="IO7" i="1"/>
  <c r="AN4" i="1"/>
  <c r="IG7" i="1"/>
  <c r="R4" i="1"/>
  <c r="CQ4" i="1"/>
  <c r="EU4" i="1"/>
  <c r="FS7" i="1"/>
  <c r="EE4" i="1"/>
  <c r="DL4" i="1"/>
  <c r="CF7" i="1"/>
  <c r="HX7" i="1"/>
  <c r="BU4" i="1"/>
  <c r="BN7" i="1"/>
  <c r="JY7" i="1"/>
  <c r="BF7" i="1"/>
  <c r="DP4" i="1"/>
  <c r="EJ4" i="1"/>
  <c r="GW7" i="1"/>
  <c r="LQ7" i="1"/>
  <c r="FK7" i="1"/>
  <c r="DE4" i="1"/>
  <c r="EC7" i="1"/>
  <c r="JG7" i="1"/>
  <c r="KC7" i="1"/>
  <c r="JT7" i="1"/>
  <c r="CQ7" i="1"/>
  <c r="EN4" i="1"/>
  <c r="ER4" i="1"/>
  <c r="DT7" i="1"/>
  <c r="FF7" i="1"/>
  <c r="LB7" i="1"/>
  <c r="JS7" i="1"/>
  <c r="CP7" i="1"/>
  <c r="CA4" i="1"/>
  <c r="EC4" i="1"/>
  <c r="DL7" i="1"/>
  <c r="EX7" i="1"/>
  <c r="KT7" i="1"/>
  <c r="JK7" i="1"/>
  <c r="CH7" i="1"/>
  <c r="CG4" i="1"/>
  <c r="DA4" i="1"/>
  <c r="DE7" i="1"/>
  <c r="II7" i="1"/>
  <c r="JE7" i="1"/>
  <c r="IV7" i="1"/>
  <c r="BS7" i="1"/>
  <c r="DC4" i="1"/>
  <c r="FB4" i="1"/>
  <c r="CW7" i="1"/>
  <c r="IA7" i="1"/>
  <c r="IW7" i="1"/>
  <c r="IN7" i="1"/>
  <c r="BK7" i="1"/>
  <c r="GI7" i="1"/>
  <c r="GT7" i="1"/>
  <c r="BV7" i="1"/>
  <c r="JA7" i="1"/>
  <c r="BG4" i="1"/>
  <c r="GQ7" i="1"/>
  <c r="HJ7" i="1"/>
  <c r="CD7" i="1"/>
  <c r="JQ7" i="1"/>
  <c r="CV4" i="1"/>
  <c r="HF7" i="1"/>
  <c r="BT7" i="1"/>
  <c r="CC7" i="1"/>
  <c r="BG7" i="1"/>
  <c r="IJ7" i="1"/>
  <c r="FH4" i="1"/>
  <c r="DB4" i="1"/>
  <c r="HN7" i="1"/>
  <c r="CB7" i="1"/>
  <c r="CK7" i="1"/>
  <c r="BO7" i="1"/>
  <c r="IR7" i="1"/>
  <c r="FA4" i="1"/>
  <c r="HO7" i="1"/>
  <c r="IP7" i="1"/>
  <c r="DB7" i="1"/>
  <c r="BP7" i="1"/>
  <c r="EI4" i="1"/>
  <c r="DF7" i="1"/>
  <c r="KI7" i="1"/>
  <c r="IS7" i="1"/>
  <c r="GL7" i="1"/>
  <c r="EJ7" i="1"/>
  <c r="EK4" i="1"/>
  <c r="DR4" i="1"/>
  <c r="DZ4" i="1"/>
  <c r="EX4" i="1"/>
  <c r="BQ4" i="1"/>
  <c r="KY7" i="1"/>
  <c r="DO7" i="1"/>
  <c r="HZ7" i="1"/>
  <c r="AU7" i="1"/>
  <c r="JV7" i="1"/>
  <c r="BV4" i="1"/>
  <c r="BT4" i="1"/>
  <c r="W4" i="1"/>
  <c r="HK7" i="1"/>
  <c r="AE4" i="1"/>
  <c r="CO7" i="1"/>
  <c r="EG4" i="1"/>
  <c r="BR7" i="1"/>
  <c r="IU7" i="1"/>
  <c r="KD7" i="1"/>
  <c r="EH7" i="1"/>
  <c r="CV7" i="1"/>
  <c r="DV4" i="1"/>
  <c r="CH4" i="1"/>
  <c r="BZ7" i="1"/>
  <c r="JC7" i="1"/>
  <c r="KL7" i="1"/>
  <c r="EP7" i="1"/>
  <c r="DD7" i="1"/>
  <c r="FD4" i="1"/>
  <c r="CZ4" i="1"/>
  <c r="CX4" i="1"/>
  <c r="JR7" i="1"/>
  <c r="EF7" i="1"/>
  <c r="EO7" i="1"/>
  <c r="DS7" i="1"/>
  <c r="KV7" i="1"/>
  <c r="CL4" i="1"/>
  <c r="EO4" i="1"/>
  <c r="JZ7" i="1"/>
  <c r="EN7" i="1"/>
  <c r="EW7" i="1"/>
  <c r="EA7" i="1"/>
  <c r="LD7" i="1"/>
  <c r="CX7" i="1"/>
  <c r="KA7" i="1"/>
  <c r="HE7" i="1"/>
  <c r="FV7" i="1"/>
  <c r="EB7" i="1"/>
  <c r="EZ4" i="1"/>
  <c r="FR7" i="1"/>
  <c r="GV7" i="1"/>
  <c r="EA4" i="1"/>
  <c r="FC4" i="1"/>
  <c r="BB7" i="1"/>
  <c r="JP7" i="1"/>
  <c r="DX4" i="1"/>
  <c r="BJ7" i="1"/>
  <c r="JX7" i="1"/>
  <c r="CF4" i="1"/>
  <c r="JW7" i="1"/>
  <c r="DH7" i="1"/>
  <c r="EB4" i="1"/>
  <c r="DF4" i="1"/>
  <c r="GC7" i="1"/>
  <c r="AG4" i="1"/>
  <c r="IM7" i="1"/>
  <c r="AJ4" i="1"/>
  <c r="ER7" i="1"/>
  <c r="AT4" i="1"/>
  <c r="U4" i="1"/>
  <c r="AA4" i="1"/>
  <c r="ED7" i="1"/>
  <c r="ED8" i="1" s="1"/>
  <c r="ED6" i="1" s="1"/>
  <c r="LG7" i="1"/>
  <c r="LG9" i="1" s="1"/>
  <c r="LE7" i="1"/>
  <c r="LE9" i="1" s="1"/>
  <c r="JN7" i="1"/>
  <c r="JN9" i="1" s="1"/>
  <c r="FH7" i="1"/>
  <c r="FH9" i="1" s="1"/>
  <c r="EH4" i="1"/>
  <c r="EH22" i="1" s="1"/>
  <c r="CT4" i="1"/>
  <c r="CT28" i="1" s="1"/>
  <c r="EL7" i="1"/>
  <c r="EL8" i="1" s="1"/>
  <c r="EL6" i="1" s="1"/>
  <c r="LO7" i="1"/>
  <c r="LO9" i="1" s="1"/>
  <c r="LJ7" i="1"/>
  <c r="LJ8" i="1" s="1"/>
  <c r="LJ6" i="1" s="1"/>
  <c r="FP7" i="1"/>
  <c r="FP9" i="1" s="1"/>
  <c r="EW4" i="1"/>
  <c r="EW22" i="1" s="1"/>
  <c r="BB4" i="1"/>
  <c r="BB28" i="1" s="1"/>
  <c r="FZ7" i="1"/>
  <c r="FZ9" i="1" s="1"/>
  <c r="GR7" i="1"/>
  <c r="GR9" i="1" s="1"/>
  <c r="HA7" i="1"/>
  <c r="HA9" i="1" s="1"/>
  <c r="GE7" i="1"/>
  <c r="GE9" i="1" s="1"/>
  <c r="ED4" i="1"/>
  <c r="ED28" i="1" s="1"/>
  <c r="IL7" i="1"/>
  <c r="IL9" i="1" s="1"/>
  <c r="GZ7" i="1"/>
  <c r="GZ8" i="1" s="1"/>
  <c r="GZ6" i="1" s="1"/>
  <c r="HI7" i="1"/>
  <c r="HI8" i="1" s="1"/>
  <c r="HI6" i="1" s="1"/>
  <c r="GM7" i="1"/>
  <c r="GM9" i="1" s="1"/>
  <c r="BI7" i="1"/>
  <c r="BI9" i="1" s="1"/>
  <c r="BL4" i="1"/>
  <c r="BL22" i="1" s="1"/>
  <c r="FJ7" i="1"/>
  <c r="FJ9" i="1" s="1"/>
  <c r="GN7" i="1"/>
  <c r="GN8" i="1" s="1"/>
  <c r="GN6" i="1" s="1"/>
  <c r="DW4" i="1"/>
  <c r="DW22" i="1" s="1"/>
  <c r="ID7" i="1"/>
  <c r="ID9" i="1" s="1"/>
  <c r="CR7" i="1"/>
  <c r="CR9" i="1" s="1"/>
  <c r="DA7" i="1"/>
  <c r="DA9" i="1" s="1"/>
  <c r="CE7" i="1"/>
  <c r="CE9" i="1" s="1"/>
  <c r="JH7" i="1"/>
  <c r="JH9" i="1" s="1"/>
  <c r="EQ4" i="1"/>
  <c r="BS4" i="1"/>
  <c r="BC7" i="1"/>
  <c r="HU7" i="1"/>
  <c r="IF7" i="1"/>
  <c r="DG7" i="1"/>
  <c r="IK7" i="1"/>
  <c r="BO4" i="1"/>
  <c r="JF7" i="1"/>
  <c r="CB4" i="1"/>
  <c r="FA7" i="1"/>
  <c r="DZ7" i="1"/>
  <c r="BH4" i="1"/>
  <c r="GH7" i="1"/>
  <c r="CG7" i="1"/>
  <c r="I4" i="1"/>
  <c r="Z4" i="1"/>
  <c r="KE7" i="1"/>
  <c r="GP7" i="1"/>
  <c r="BD7" i="1"/>
  <c r="BM7" i="1"/>
  <c r="HT7" i="1"/>
  <c r="FF4" i="1"/>
  <c r="BF4" i="1"/>
  <c r="GX7" i="1"/>
  <c r="BL7" i="1"/>
  <c r="BU7" i="1"/>
  <c r="IB7" i="1"/>
  <c r="ET4" i="1"/>
  <c r="KJ7" i="1"/>
  <c r="CA7" i="1"/>
  <c r="JD7" i="1"/>
  <c r="JM7" i="1"/>
  <c r="IQ7" i="1"/>
  <c r="DM7" i="1"/>
  <c r="BC4" i="1"/>
  <c r="IE7" i="1"/>
  <c r="CI7" i="1"/>
  <c r="JL7" i="1"/>
  <c r="JU7" i="1"/>
  <c r="IY7" i="1"/>
  <c r="DU7" i="1"/>
  <c r="BD4" i="1"/>
  <c r="HV7" i="1"/>
  <c r="CJ7" i="1"/>
  <c r="CS7" i="1"/>
  <c r="BW7" i="1"/>
  <c r="IZ7" i="1"/>
  <c r="CY4" i="1"/>
  <c r="KP7" i="1"/>
  <c r="FD7" i="1"/>
  <c r="FM7" i="1"/>
  <c r="EQ7" i="1"/>
  <c r="CP4" i="1"/>
  <c r="ES4" i="1"/>
  <c r="CM4" i="1"/>
  <c r="ES7" i="1"/>
  <c r="CZ7" i="1"/>
  <c r="EF4" i="1"/>
  <c r="BX4" i="1"/>
  <c r="FU7" i="1"/>
  <c r="EP4" i="1"/>
  <c r="AM4" i="1"/>
  <c r="DM4" i="1"/>
  <c r="FG7" i="1"/>
  <c r="M4" i="1"/>
  <c r="BN4" i="1"/>
  <c r="GA7" i="1"/>
  <c r="DQ4" i="1"/>
  <c r="AC4" i="1"/>
  <c r="AW7" i="1"/>
  <c r="CS4" i="1"/>
  <c r="JB7" i="1"/>
  <c r="JB9" i="1" s="1"/>
  <c r="DP7" i="1"/>
  <c r="DY7" i="1"/>
  <c r="DC7" i="1"/>
  <c r="KF7" i="1"/>
  <c r="BW4" i="1"/>
  <c r="JJ7" i="1"/>
  <c r="DX7" i="1"/>
  <c r="EG7" i="1"/>
  <c r="DK7" i="1"/>
  <c r="KN7" i="1"/>
  <c r="BK4" i="1"/>
  <c r="CO4" i="1"/>
  <c r="LQ4" i="1"/>
  <c r="EM7" i="1"/>
  <c r="LP7" i="1"/>
  <c r="LC7" i="1"/>
  <c r="FY7" i="1"/>
  <c r="BM4" i="1"/>
  <c r="KQ7" i="1"/>
  <c r="EU7" i="1"/>
  <c r="KS7" i="1"/>
  <c r="LK7" i="1"/>
  <c r="GG7" i="1"/>
  <c r="FG4" i="1"/>
  <c r="KH7" i="1"/>
  <c r="EV7" i="1"/>
  <c r="FE7" i="1"/>
  <c r="EI7" i="1"/>
  <c r="LL7" i="1"/>
  <c r="DH4" i="1"/>
  <c r="HP7" i="1"/>
  <c r="HY7" i="1"/>
  <c r="HC7" i="1"/>
  <c r="BY7" i="1"/>
  <c r="CJ4" i="1"/>
  <c r="BJ4" i="1"/>
  <c r="FN7" i="1"/>
  <c r="FN9" i="1" s="1"/>
  <c r="CD4" i="1"/>
  <c r="CD28" i="1" s="1"/>
  <c r="GD7" i="1"/>
  <c r="GD8" i="1" s="1"/>
  <c r="GD6" i="1" s="1"/>
  <c r="BY4" i="1"/>
  <c r="BY22" i="1" s="1"/>
  <c r="DJ4" i="1"/>
  <c r="DJ28" i="1" s="1"/>
  <c r="KR7" i="1"/>
  <c r="KR8" i="1" s="1"/>
  <c r="KR6" i="1" s="1"/>
  <c r="DR7" i="1"/>
  <c r="DR8" i="1" s="1"/>
  <c r="DR6" i="1" s="1"/>
  <c r="LF7" i="1"/>
  <c r="CN7" i="1"/>
  <c r="LA7" i="1"/>
  <c r="FT7" i="1"/>
  <c r="FT9" i="1" s="1"/>
  <c r="EY4" i="1"/>
  <c r="HD7" i="1"/>
  <c r="HD9" i="1" s="1"/>
  <c r="DO4" i="1"/>
  <c r="DO22" i="1" s="1"/>
  <c r="DU4" i="1"/>
  <c r="GJ7" i="1"/>
  <c r="GS7" i="1"/>
  <c r="GS8" i="1" s="1"/>
  <c r="GS6" i="1" s="1"/>
  <c r="FW7" i="1"/>
  <c r="FW8" i="1" s="1"/>
  <c r="FW6" i="1" s="1"/>
  <c r="CC4" i="1"/>
  <c r="CC28" i="1" s="1"/>
  <c r="DK4" i="1"/>
  <c r="GY7" i="1"/>
  <c r="GY9" i="1" s="1"/>
  <c r="HR7" i="1"/>
  <c r="HR9" i="1" s="1"/>
  <c r="CL7" i="1"/>
  <c r="CL8" i="1" s="1"/>
  <c r="CL6" i="1" s="1"/>
  <c r="KO7" i="1"/>
  <c r="EL4" i="1"/>
  <c r="EL28" i="1" s="1"/>
  <c r="HG7" i="1"/>
  <c r="HG9" i="1" s="1"/>
  <c r="IH7" i="1"/>
  <c r="IH8" i="1" s="1"/>
  <c r="IH6" i="1" s="1"/>
  <c r="CT7" i="1"/>
  <c r="CT9" i="1" s="1"/>
  <c r="BH7" i="1"/>
  <c r="BH9" i="1" s="1"/>
  <c r="LM7" i="1"/>
  <c r="LM9" i="1" s="1"/>
  <c r="CU4" i="1"/>
  <c r="CU28" i="1" s="1"/>
  <c r="HH7" i="1"/>
  <c r="HQ7" i="1"/>
  <c r="GU7" i="1"/>
  <c r="GU8" i="1" s="1"/>
  <c r="GU6" i="1" s="1"/>
  <c r="BQ7" i="1"/>
  <c r="BQ9" i="1" s="1"/>
  <c r="DS4" i="1"/>
  <c r="DS28" i="1" s="1"/>
  <c r="CY7" i="1"/>
  <c r="KB7" i="1"/>
  <c r="KB9" i="1" s="1"/>
  <c r="KK7" i="1"/>
  <c r="JO7" i="1"/>
  <c r="EK7" i="1"/>
  <c r="EK9" i="1" s="1"/>
  <c r="CN4" i="1"/>
  <c r="CN28" i="1" s="1"/>
  <c r="DI7" i="1"/>
  <c r="CI4" i="1"/>
  <c r="DT4" i="1"/>
  <c r="CW4" i="1"/>
  <c r="DQ7" i="1"/>
  <c r="CR4" i="1"/>
  <c r="BI4" i="1"/>
  <c r="EY7" i="1"/>
  <c r="DV7" i="1"/>
  <c r="BP4" i="1"/>
  <c r="JI7" i="1"/>
  <c r="BZ4" i="1"/>
  <c r="IT7" i="1"/>
  <c r="KU8" i="1"/>
  <c r="KU6" i="1" s="1"/>
  <c r="GK9" i="1"/>
  <c r="GB8" i="1"/>
  <c r="GB6" i="1" s="1"/>
  <c r="V8" i="1"/>
  <c r="V6" i="1" s="1"/>
  <c r="LN8" i="1"/>
  <c r="LN6" i="1" s="1"/>
  <c r="LN9" i="1"/>
  <c r="BA9" i="1"/>
  <c r="ED22" i="1"/>
  <c r="I9" i="1"/>
  <c r="I8" i="1"/>
  <c r="I6" i="1" s="1"/>
  <c r="IL8" i="1"/>
  <c r="IL6" i="1" s="1"/>
  <c r="K8" i="1"/>
  <c r="K6" i="1" s="1"/>
  <c r="CU6" i="1"/>
  <c r="KM6" i="1"/>
  <c r="KX6" i="1"/>
  <c r="HB6" i="1"/>
  <c r="LI6" i="1"/>
  <c r="DW6" i="1"/>
  <c r="GK6" i="1"/>
  <c r="IC6" i="1"/>
  <c r="O8" i="1" l="1"/>
  <c r="O6" i="1" s="1"/>
  <c r="AS8" i="1"/>
  <c r="AS6" i="1" s="1"/>
  <c r="W9" i="1"/>
  <c r="FP8" i="1"/>
  <c r="FP6" i="1" s="1"/>
  <c r="Q22" i="1"/>
  <c r="GM8" i="1"/>
  <c r="GM6" i="1" s="1"/>
  <c r="G9" i="1"/>
  <c r="LE8" i="1"/>
  <c r="LE6" i="1" s="1"/>
  <c r="KZ8" i="1"/>
  <c r="KZ6" i="1" s="1"/>
  <c r="LH8" i="1"/>
  <c r="LH6" i="1" s="1"/>
  <c r="KX9" i="1"/>
  <c r="LJ9" i="1"/>
  <c r="LG8" i="1"/>
  <c r="LG6" i="1" s="1"/>
  <c r="GN9" i="1"/>
  <c r="BX8" i="1"/>
  <c r="BX6" i="1" s="1"/>
  <c r="GR8" i="1"/>
  <c r="GR6" i="1" s="1"/>
  <c r="KW8" i="1"/>
  <c r="KW6" i="1" s="1"/>
  <c r="HI9" i="1"/>
  <c r="GE8" i="1"/>
  <c r="GE6" i="1" s="1"/>
  <c r="KR9" i="1"/>
  <c r="AG9" i="1"/>
  <c r="BI8" i="1"/>
  <c r="BI6" i="1" s="1"/>
  <c r="S22" i="1"/>
  <c r="CT22" i="1"/>
  <c r="ID8" i="1"/>
  <c r="ID6" i="1" s="1"/>
  <c r="IX8" i="1"/>
  <c r="IX6" i="1" s="1"/>
  <c r="JH8" i="1"/>
  <c r="JH6" i="1" s="1"/>
  <c r="AK22" i="1"/>
  <c r="FL9" i="1"/>
  <c r="DW28" i="1"/>
  <c r="CT8" i="1"/>
  <c r="CT6" i="1" s="1"/>
  <c r="BB22" i="1"/>
  <c r="FZ8" i="1"/>
  <c r="FZ6" i="1" s="1"/>
  <c r="DA8" i="1"/>
  <c r="DA6" i="1" s="1"/>
  <c r="FQ8" i="1"/>
  <c r="FQ6" i="1" s="1"/>
  <c r="CE8" i="1"/>
  <c r="CE6" i="1" s="1"/>
  <c r="EL9" i="1"/>
  <c r="EE8" i="1"/>
  <c r="EE6" i="1" s="1"/>
  <c r="CR8" i="1"/>
  <c r="CR6" i="1" s="1"/>
  <c r="BL28" i="1"/>
  <c r="G22" i="1"/>
  <c r="GU9" i="1"/>
  <c r="GF8" i="1"/>
  <c r="GF6" i="1" s="1"/>
  <c r="KB8" i="1"/>
  <c r="KB6" i="1" s="1"/>
  <c r="HG8" i="1"/>
  <c r="HG6" i="1" s="1"/>
  <c r="EH28" i="1"/>
  <c r="HA8" i="1"/>
  <c r="HA6" i="1" s="1"/>
  <c r="BH8" i="1"/>
  <c r="BH6" i="1" s="1"/>
  <c r="EK8" i="1"/>
  <c r="EK6" i="1" s="1"/>
  <c r="FJ8" i="1"/>
  <c r="FJ6" i="1" s="1"/>
  <c r="DO28" i="1"/>
  <c r="HL9" i="1"/>
  <c r="LO8" i="1"/>
  <c r="LO6" i="1" s="1"/>
  <c r="FW9" i="1"/>
  <c r="CU9" i="1"/>
  <c r="H9" i="1"/>
  <c r="ED9" i="1"/>
  <c r="CN22" i="1"/>
  <c r="CD22" i="1"/>
  <c r="AK8" i="1"/>
  <c r="AK6" i="1" s="1"/>
  <c r="EL22" i="1"/>
  <c r="AR22" i="1"/>
  <c r="DG22" i="1"/>
  <c r="DG28" i="1"/>
  <c r="EV28" i="1"/>
  <c r="EV22" i="1"/>
  <c r="FX9" i="1"/>
  <c r="FX8" i="1"/>
  <c r="FX6" i="1" s="1"/>
  <c r="GZ9" i="1"/>
  <c r="CL9" i="1"/>
  <c r="FO8" i="1"/>
  <c r="FO6" i="1" s="1"/>
  <c r="BY28" i="1"/>
  <c r="ET9" i="1"/>
  <c r="ET8" i="1"/>
  <c r="ET6" i="1" s="1"/>
  <c r="BE9" i="1"/>
  <c r="BE8" i="1"/>
  <c r="BE6" i="1" s="1"/>
  <c r="JN8" i="1"/>
  <c r="JN6" i="1" s="1"/>
  <c r="DI28" i="1"/>
  <c r="DI22" i="1"/>
  <c r="FC9" i="1"/>
  <c r="FC8" i="1"/>
  <c r="FC6" i="1" s="1"/>
  <c r="EZ9" i="1"/>
  <c r="EZ8" i="1"/>
  <c r="EZ6" i="1" s="1"/>
  <c r="DN28" i="1"/>
  <c r="DN22" i="1"/>
  <c r="X8" i="1"/>
  <c r="X6" i="1" s="1"/>
  <c r="FT8" i="1"/>
  <c r="FT6" i="1" s="1"/>
  <c r="HM8" i="1"/>
  <c r="HM6" i="1" s="1"/>
  <c r="HM9" i="1"/>
  <c r="GO9" i="1"/>
  <c r="GO8" i="1"/>
  <c r="GO6" i="1" s="1"/>
  <c r="CE22" i="1"/>
  <c r="CE28" i="1"/>
  <c r="FI9" i="1"/>
  <c r="FI8" i="1"/>
  <c r="FI6" i="1" s="1"/>
  <c r="KG9" i="1"/>
  <c r="KG8" i="1"/>
  <c r="KG6" i="1" s="1"/>
  <c r="FB8" i="1"/>
  <c r="FB6" i="1" s="1"/>
  <c r="FB9" i="1"/>
  <c r="EM22" i="1"/>
  <c r="EM28" i="1"/>
  <c r="GY8" i="1"/>
  <c r="GY6" i="1" s="1"/>
  <c r="EW28" i="1"/>
  <c r="DS22" i="1"/>
  <c r="IH9" i="1"/>
  <c r="CC22" i="1"/>
  <c r="HS9" i="1"/>
  <c r="HS8" i="1"/>
  <c r="HS6" i="1" s="1"/>
  <c r="CM9" i="1"/>
  <c r="CM8" i="1"/>
  <c r="CM6" i="1" s="1"/>
  <c r="CU22" i="1"/>
  <c r="DJ22" i="1"/>
  <c r="DJ9" i="1"/>
  <c r="DJ8" i="1"/>
  <c r="DJ6" i="1" s="1"/>
  <c r="DY22" i="1"/>
  <c r="DY28" i="1"/>
  <c r="DN9" i="1"/>
  <c r="DN8" i="1"/>
  <c r="DN6" i="1" s="1"/>
  <c r="FE28" i="1"/>
  <c r="FE22" i="1"/>
  <c r="AE9" i="1"/>
  <c r="AE8" i="1"/>
  <c r="AE6" i="1" s="1"/>
  <c r="AA9" i="1"/>
  <c r="AA8" i="1"/>
  <c r="AA6" i="1" s="1"/>
  <c r="AZ9" i="1"/>
  <c r="Y28" i="1"/>
  <c r="Y22" i="1"/>
  <c r="AI22" i="1"/>
  <c r="AI28" i="1"/>
  <c r="AN9" i="1"/>
  <c r="AN8" i="1"/>
  <c r="AN6" i="1" s="1"/>
  <c r="AD8" i="1"/>
  <c r="AD6" i="1" s="1"/>
  <c r="AD9" i="1"/>
  <c r="Y9" i="1"/>
  <c r="Y8" i="1"/>
  <c r="Y6" i="1" s="1"/>
  <c r="N22" i="1"/>
  <c r="N28" i="1"/>
  <c r="AY8" i="1"/>
  <c r="AY6" i="1" s="1"/>
  <c r="AY9" i="1"/>
  <c r="T8" i="1"/>
  <c r="T6" i="1" s="1"/>
  <c r="T9" i="1"/>
  <c r="V28" i="1"/>
  <c r="V22" i="1"/>
  <c r="Q9" i="1"/>
  <c r="Q8" i="1"/>
  <c r="Q6" i="1" s="1"/>
  <c r="AH28" i="1"/>
  <c r="AH22" i="1"/>
  <c r="AI8" i="1"/>
  <c r="AI6" i="1" s="1"/>
  <c r="AI9" i="1"/>
  <c r="AQ22" i="1"/>
  <c r="AQ28" i="1"/>
  <c r="AS22" i="1"/>
  <c r="AS28" i="1"/>
  <c r="AF22" i="1"/>
  <c r="AF28" i="1"/>
  <c r="X22" i="1"/>
  <c r="X28" i="1"/>
  <c r="AP9" i="1"/>
  <c r="AP8" i="1"/>
  <c r="AP6" i="1" s="1"/>
  <c r="O28" i="1"/>
  <c r="O22" i="1"/>
  <c r="S9" i="1"/>
  <c r="S8" i="1"/>
  <c r="S6" i="1" s="1"/>
  <c r="AQ8" i="1"/>
  <c r="AQ6" i="1" s="1"/>
  <c r="AQ9" i="1"/>
  <c r="AB8" i="1"/>
  <c r="AB6" i="1" s="1"/>
  <c r="AB9" i="1"/>
  <c r="L22" i="1"/>
  <c r="L28" i="1"/>
  <c r="J9" i="1"/>
  <c r="J8" i="1"/>
  <c r="J6" i="1" s="1"/>
  <c r="AO8" i="1"/>
  <c r="AO6" i="1" s="1"/>
  <c r="AO9" i="1"/>
  <c r="U8" i="1"/>
  <c r="U6" i="1" s="1"/>
  <c r="U9" i="1"/>
  <c r="BA28" i="1"/>
  <c r="BA22" i="1"/>
  <c r="AC9" i="1"/>
  <c r="AC8" i="1"/>
  <c r="AC6" i="1" s="1"/>
  <c r="AH8" i="1"/>
  <c r="AH6" i="1" s="1"/>
  <c r="AH9" i="1"/>
  <c r="AJ8" i="1"/>
  <c r="AJ6" i="1" s="1"/>
  <c r="AJ9" i="1"/>
  <c r="AT8" i="1"/>
  <c r="AT6" i="1" s="1"/>
  <c r="AT9" i="1"/>
  <c r="AD28" i="1"/>
  <c r="AD22" i="1"/>
  <c r="Z9" i="1"/>
  <c r="Z8" i="1"/>
  <c r="Z6" i="1" s="1"/>
  <c r="AY22" i="1"/>
  <c r="AY28" i="1"/>
  <c r="AV9" i="1"/>
  <c r="AV8" i="1"/>
  <c r="AV6" i="1" s="1"/>
  <c r="AR8" i="1"/>
  <c r="AR6" i="1" s="1"/>
  <c r="AR9" i="1"/>
  <c r="T22" i="1"/>
  <c r="T28" i="1"/>
  <c r="AX8" i="1"/>
  <c r="AX6" i="1" s="1"/>
  <c r="AX9" i="1"/>
  <c r="AV22" i="1"/>
  <c r="AV28" i="1"/>
  <c r="K22" i="1"/>
  <c r="K28" i="1"/>
  <c r="P22" i="1"/>
  <c r="P28" i="1"/>
  <c r="M8" i="1"/>
  <c r="M6" i="1" s="1"/>
  <c r="M9" i="1"/>
  <c r="L9" i="1"/>
  <c r="L8" i="1"/>
  <c r="L6" i="1" s="1"/>
  <c r="N8" i="1"/>
  <c r="N6" i="1" s="1"/>
  <c r="N9" i="1"/>
  <c r="AL9" i="1"/>
  <c r="AL8" i="1"/>
  <c r="AL6" i="1" s="1"/>
  <c r="AX22" i="1"/>
  <c r="AX28" i="1"/>
  <c r="AO22" i="1"/>
  <c r="AO28" i="1"/>
  <c r="AB28" i="1"/>
  <c r="AB22" i="1"/>
  <c r="AF9" i="1"/>
  <c r="AF8" i="1"/>
  <c r="AF6" i="1" s="1"/>
  <c r="AW22" i="1"/>
  <c r="AW28" i="1"/>
  <c r="AP22" i="1"/>
  <c r="AP28" i="1"/>
  <c r="AL28" i="1"/>
  <c r="AL22" i="1"/>
  <c r="P9" i="1"/>
  <c r="P8" i="1"/>
  <c r="P6" i="1" s="1"/>
  <c r="H28" i="1"/>
  <c r="H22" i="1"/>
  <c r="R8" i="1"/>
  <c r="R6" i="1" s="1"/>
  <c r="R9" i="1"/>
  <c r="AZ28" i="1"/>
  <c r="AZ22" i="1"/>
  <c r="AU28" i="1"/>
  <c r="AU22" i="1"/>
  <c r="AM9" i="1"/>
  <c r="AM8" i="1"/>
  <c r="AM6" i="1" s="1"/>
  <c r="CR28" i="1"/>
  <c r="CR22" i="1"/>
  <c r="JO8" i="1"/>
  <c r="JO6" i="1" s="1"/>
  <c r="JO9" i="1"/>
  <c r="HH9" i="1"/>
  <c r="HH8" i="1"/>
  <c r="HH6" i="1" s="1"/>
  <c r="KO9" i="1"/>
  <c r="KO8" i="1"/>
  <c r="KO6" i="1" s="1"/>
  <c r="GJ8" i="1"/>
  <c r="GJ6" i="1" s="1"/>
  <c r="GJ9" i="1"/>
  <c r="LF9" i="1"/>
  <c r="LF8" i="1"/>
  <c r="LF6" i="1" s="1"/>
  <c r="BJ28" i="1"/>
  <c r="BJ22" i="1"/>
  <c r="EI9" i="1"/>
  <c r="EI8" i="1"/>
  <c r="EI6" i="1" s="1"/>
  <c r="EU8" i="1"/>
  <c r="EU6" i="1" s="1"/>
  <c r="EU9" i="1"/>
  <c r="CO28" i="1"/>
  <c r="CO22" i="1"/>
  <c r="KF8" i="1"/>
  <c r="KF6" i="1" s="1"/>
  <c r="KF9" i="1"/>
  <c r="DQ28" i="1"/>
  <c r="DQ22" i="1"/>
  <c r="FU9" i="1"/>
  <c r="FU8" i="1"/>
  <c r="FU6" i="1" s="1"/>
  <c r="EQ9" i="1"/>
  <c r="EQ8" i="1"/>
  <c r="EQ6" i="1" s="1"/>
  <c r="CJ8" i="1"/>
  <c r="CJ6" i="1" s="1"/>
  <c r="CJ9" i="1"/>
  <c r="IE9" i="1"/>
  <c r="IE8" i="1"/>
  <c r="IE6" i="1" s="1"/>
  <c r="ET22" i="1"/>
  <c r="ET28" i="1"/>
  <c r="BM9" i="1"/>
  <c r="BM8" i="1"/>
  <c r="BM6" i="1" s="1"/>
  <c r="BH28" i="1"/>
  <c r="BH22" i="1"/>
  <c r="IF8" i="1"/>
  <c r="IF6" i="1" s="1"/>
  <c r="IF9" i="1"/>
  <c r="FH8" i="1"/>
  <c r="FH6" i="1" s="1"/>
  <c r="ER8" i="1"/>
  <c r="ER6" i="1" s="1"/>
  <c r="ER9" i="1"/>
  <c r="JW8" i="1"/>
  <c r="JW6" i="1" s="1"/>
  <c r="JW9" i="1"/>
  <c r="EA22" i="1"/>
  <c r="EA28" i="1"/>
  <c r="CX8" i="1"/>
  <c r="CX6" i="1" s="1"/>
  <c r="CX9" i="1"/>
  <c r="KV9" i="1"/>
  <c r="KV8" i="1"/>
  <c r="KV6" i="1" s="1"/>
  <c r="DD9" i="1"/>
  <c r="DD8" i="1"/>
  <c r="DD6" i="1" s="1"/>
  <c r="EH9" i="1"/>
  <c r="EH8" i="1"/>
  <c r="EH6" i="1" s="1"/>
  <c r="W22" i="1"/>
  <c r="W28" i="1"/>
  <c r="BQ22" i="1"/>
  <c r="BQ28" i="1"/>
  <c r="KI9" i="1"/>
  <c r="KI8" i="1"/>
  <c r="KI6" i="1" s="1"/>
  <c r="IR8" i="1"/>
  <c r="IR6" i="1" s="1"/>
  <c r="IR9" i="1"/>
  <c r="BG9" i="1"/>
  <c r="BG8" i="1"/>
  <c r="BG6" i="1" s="1"/>
  <c r="GQ8" i="1"/>
  <c r="GQ6" i="1" s="1"/>
  <c r="GQ9" i="1"/>
  <c r="IW8" i="1"/>
  <c r="IW6" i="1" s="1"/>
  <c r="IW9" i="1"/>
  <c r="II9" i="1"/>
  <c r="II8" i="1"/>
  <c r="II6" i="1" s="1"/>
  <c r="DL9" i="1"/>
  <c r="DL8" i="1"/>
  <c r="DL6" i="1" s="1"/>
  <c r="ER22" i="1"/>
  <c r="ER28" i="1"/>
  <c r="FK9" i="1"/>
  <c r="FK8" i="1"/>
  <c r="FK6" i="1" s="1"/>
  <c r="BU22" i="1"/>
  <c r="BU28" i="1"/>
  <c r="R22" i="1"/>
  <c r="R28" i="1"/>
  <c r="LY28" i="1"/>
  <c r="LY22" i="1"/>
  <c r="LS9" i="1"/>
  <c r="LS8" i="1"/>
  <c r="LS6" i="1" s="1"/>
  <c r="DR9" i="1"/>
  <c r="BQ8" i="1"/>
  <c r="BQ6" i="1" s="1"/>
  <c r="EY9" i="1"/>
  <c r="EY8" i="1"/>
  <c r="EY6" i="1" s="1"/>
  <c r="LA9" i="1"/>
  <c r="LA8" i="1"/>
  <c r="LA6" i="1" s="1"/>
  <c r="DH28" i="1"/>
  <c r="DH22" i="1"/>
  <c r="LK9" i="1"/>
  <c r="LK8" i="1"/>
  <c r="LK6" i="1" s="1"/>
  <c r="EM9" i="1"/>
  <c r="EM8" i="1"/>
  <c r="EM6" i="1" s="1"/>
  <c r="JJ9" i="1"/>
  <c r="JJ8" i="1"/>
  <c r="JJ6" i="1" s="1"/>
  <c r="AW9" i="1"/>
  <c r="AW8" i="1"/>
  <c r="AW6" i="1" s="1"/>
  <c r="AM28" i="1"/>
  <c r="AM22" i="1"/>
  <c r="ES28" i="1"/>
  <c r="ES22" i="1"/>
  <c r="BW8" i="1"/>
  <c r="BW6" i="1" s="1"/>
  <c r="BW9" i="1"/>
  <c r="JL9" i="1"/>
  <c r="JL8" i="1"/>
  <c r="JL6" i="1" s="1"/>
  <c r="CA9" i="1"/>
  <c r="CA8" i="1"/>
  <c r="CA6" i="1" s="1"/>
  <c r="FF22" i="1"/>
  <c r="FF28" i="1"/>
  <c r="CG9" i="1"/>
  <c r="CG8" i="1"/>
  <c r="CG6" i="1" s="1"/>
  <c r="IK9" i="1"/>
  <c r="IK8" i="1"/>
  <c r="IK6" i="1" s="1"/>
  <c r="U22" i="1"/>
  <c r="U28" i="1"/>
  <c r="EB22" i="1"/>
  <c r="EB28" i="1"/>
  <c r="BB8" i="1"/>
  <c r="BB6" i="1" s="1"/>
  <c r="BB9" i="1"/>
  <c r="HE9" i="1"/>
  <c r="HE8" i="1"/>
  <c r="HE6" i="1" s="1"/>
  <c r="EO28" i="1"/>
  <c r="EO22" i="1"/>
  <c r="CZ22" i="1"/>
  <c r="CZ28" i="1"/>
  <c r="DV22" i="1"/>
  <c r="DV28" i="1"/>
  <c r="AE22" i="1"/>
  <c r="AE28" i="1"/>
  <c r="DO9" i="1"/>
  <c r="DO8" i="1"/>
  <c r="DO6" i="1" s="1"/>
  <c r="GL8" i="1"/>
  <c r="GL6" i="1" s="1"/>
  <c r="GL9" i="1"/>
  <c r="HO8" i="1"/>
  <c r="HO6" i="1" s="1"/>
  <c r="HO9" i="1"/>
  <c r="FH28" i="1"/>
  <c r="FH22" i="1"/>
  <c r="CD8" i="1"/>
  <c r="CD6" i="1" s="1"/>
  <c r="CD9" i="1"/>
  <c r="BK8" i="1"/>
  <c r="BK6" i="1" s="1"/>
  <c r="BK9" i="1"/>
  <c r="IV9" i="1"/>
  <c r="IV8" i="1"/>
  <c r="IV6" i="1" s="1"/>
  <c r="KT8" i="1"/>
  <c r="KT6" i="1" s="1"/>
  <c r="KT9" i="1"/>
  <c r="FF8" i="1"/>
  <c r="FF6" i="1" s="1"/>
  <c r="FF9" i="1"/>
  <c r="EC9" i="1"/>
  <c r="EC8" i="1"/>
  <c r="EC6" i="1" s="1"/>
  <c r="JY8" i="1"/>
  <c r="JY6" i="1" s="1"/>
  <c r="JY9" i="1"/>
  <c r="EU28" i="1"/>
  <c r="EU22" i="1"/>
  <c r="LS22" i="1"/>
  <c r="LS28" i="1"/>
  <c r="LT8" i="1"/>
  <c r="LT6" i="1" s="1"/>
  <c r="LT9" i="1"/>
  <c r="E7" i="1"/>
  <c r="E4" i="1"/>
  <c r="BI22" i="1"/>
  <c r="BI28" i="1"/>
  <c r="HQ9" i="1"/>
  <c r="HQ8" i="1"/>
  <c r="HQ6" i="1" s="1"/>
  <c r="GS9" i="1"/>
  <c r="CN9" i="1"/>
  <c r="CN8" i="1"/>
  <c r="CN6" i="1" s="1"/>
  <c r="LL8" i="1"/>
  <c r="LL6" i="1" s="1"/>
  <c r="LL9" i="1"/>
  <c r="KS9" i="1"/>
  <c r="KS8" i="1"/>
  <c r="KS6" i="1" s="1"/>
  <c r="LQ22" i="1"/>
  <c r="LQ28" i="1"/>
  <c r="BW22" i="1"/>
  <c r="BW28" i="1"/>
  <c r="AC22" i="1"/>
  <c r="AC28" i="1"/>
  <c r="EP28" i="1"/>
  <c r="EP22" i="1"/>
  <c r="CP22" i="1"/>
  <c r="CP28" i="1"/>
  <c r="CS9" i="1"/>
  <c r="CS8" i="1"/>
  <c r="CS6" i="1" s="1"/>
  <c r="CI9" i="1"/>
  <c r="CI8" i="1"/>
  <c r="CI6" i="1" s="1"/>
  <c r="KJ8" i="1"/>
  <c r="KJ6" i="1" s="1"/>
  <c r="KJ9" i="1"/>
  <c r="HT9" i="1"/>
  <c r="HT8" i="1"/>
  <c r="HT6" i="1" s="1"/>
  <c r="GH9" i="1"/>
  <c r="GH8" i="1"/>
  <c r="GH6" i="1" s="1"/>
  <c r="DG8" i="1"/>
  <c r="DG6" i="1" s="1"/>
  <c r="DG9" i="1"/>
  <c r="AT22" i="1"/>
  <c r="AT28" i="1"/>
  <c r="DH8" i="1"/>
  <c r="DH6" i="1" s="1"/>
  <c r="DH9" i="1"/>
  <c r="FC28" i="1"/>
  <c r="FC22" i="1"/>
  <c r="KA9" i="1"/>
  <c r="KA8" i="1"/>
  <c r="KA6" i="1" s="1"/>
  <c r="CL28" i="1"/>
  <c r="CL22" i="1"/>
  <c r="FD28" i="1"/>
  <c r="FD22" i="1"/>
  <c r="CV9" i="1"/>
  <c r="CV8" i="1"/>
  <c r="CV6" i="1" s="1"/>
  <c r="HK9" i="1"/>
  <c r="HK8" i="1"/>
  <c r="HK6" i="1" s="1"/>
  <c r="KY9" i="1"/>
  <c r="KY8" i="1"/>
  <c r="KY6" i="1" s="1"/>
  <c r="IS9" i="1"/>
  <c r="IS8" i="1"/>
  <c r="IS6" i="1" s="1"/>
  <c r="FA22" i="1"/>
  <c r="FA28" i="1"/>
  <c r="IJ9" i="1"/>
  <c r="IJ8" i="1"/>
  <c r="IJ6" i="1" s="1"/>
  <c r="HJ9" i="1"/>
  <c r="HJ8" i="1"/>
  <c r="HJ6" i="1" s="1"/>
  <c r="IN9" i="1"/>
  <c r="IN8" i="1"/>
  <c r="IN6" i="1" s="1"/>
  <c r="JE9" i="1"/>
  <c r="JE8" i="1"/>
  <c r="JE6" i="1" s="1"/>
  <c r="EX8" i="1"/>
  <c r="EX6" i="1" s="1"/>
  <c r="EX9" i="1"/>
  <c r="DT9" i="1"/>
  <c r="DT8" i="1"/>
  <c r="DT6" i="1" s="1"/>
  <c r="DE28" i="1"/>
  <c r="DE22" i="1"/>
  <c r="BN9" i="1"/>
  <c r="BN8" i="1"/>
  <c r="BN6" i="1" s="1"/>
  <c r="CQ28" i="1"/>
  <c r="CQ22" i="1"/>
  <c r="LX22" i="1"/>
  <c r="LX28" i="1"/>
  <c r="LR8" i="1"/>
  <c r="LR6" i="1" s="1"/>
  <c r="LR9" i="1"/>
  <c r="IT9" i="1"/>
  <c r="IT8" i="1"/>
  <c r="IT6" i="1" s="1"/>
  <c r="DQ8" i="1"/>
  <c r="DQ6" i="1" s="1"/>
  <c r="DQ9" i="1"/>
  <c r="KK9" i="1"/>
  <c r="DU28" i="1"/>
  <c r="DU22" i="1"/>
  <c r="CJ22" i="1"/>
  <c r="CJ28" i="1"/>
  <c r="FE9" i="1"/>
  <c r="FE8" i="1"/>
  <c r="FE6" i="1" s="1"/>
  <c r="KQ9" i="1"/>
  <c r="KQ8" i="1"/>
  <c r="KQ6" i="1" s="1"/>
  <c r="BK28" i="1"/>
  <c r="BK22" i="1"/>
  <c r="DC9" i="1"/>
  <c r="DC8" i="1"/>
  <c r="DC6" i="1" s="1"/>
  <c r="GA8" i="1"/>
  <c r="GA6" i="1" s="1"/>
  <c r="GA9" i="1"/>
  <c r="BX22" i="1"/>
  <c r="BX28" i="1"/>
  <c r="FM9" i="1"/>
  <c r="FM8" i="1"/>
  <c r="FM6" i="1" s="1"/>
  <c r="HV8" i="1"/>
  <c r="HV6" i="1" s="1"/>
  <c r="HV9" i="1"/>
  <c r="BC28" i="1"/>
  <c r="BC22" i="1"/>
  <c r="IB8" i="1"/>
  <c r="IB6" i="1" s="1"/>
  <c r="IB9" i="1"/>
  <c r="BD9" i="1"/>
  <c r="BD8" i="1"/>
  <c r="BD6" i="1" s="1"/>
  <c r="DZ9" i="1"/>
  <c r="DZ8" i="1"/>
  <c r="DZ6" i="1" s="1"/>
  <c r="HU9" i="1"/>
  <c r="HU8" i="1"/>
  <c r="HU6" i="1" s="1"/>
  <c r="AJ28" i="1"/>
  <c r="AJ22" i="1"/>
  <c r="CF22" i="1"/>
  <c r="CF28" i="1"/>
  <c r="GV8" i="1"/>
  <c r="GV6" i="1" s="1"/>
  <c r="GV9" i="1"/>
  <c r="LD8" i="1"/>
  <c r="LD6" i="1" s="1"/>
  <c r="LD9" i="1"/>
  <c r="DS9" i="1"/>
  <c r="DS8" i="1"/>
  <c r="DS6" i="1" s="1"/>
  <c r="EP9" i="1"/>
  <c r="EP8" i="1"/>
  <c r="EP6" i="1" s="1"/>
  <c r="KD9" i="1"/>
  <c r="KD8" i="1"/>
  <c r="KD6" i="1" s="1"/>
  <c r="BT22" i="1"/>
  <c r="BT28" i="1"/>
  <c r="EX22" i="1"/>
  <c r="EX28" i="1"/>
  <c r="DF9" i="1"/>
  <c r="DF8" i="1"/>
  <c r="DF6" i="1" s="1"/>
  <c r="BO8" i="1"/>
  <c r="BO6" i="1" s="1"/>
  <c r="BO9" i="1"/>
  <c r="CC9" i="1"/>
  <c r="CC8" i="1"/>
  <c r="CC6" i="1" s="1"/>
  <c r="BG22" i="1"/>
  <c r="BG28" i="1"/>
  <c r="IA9" i="1"/>
  <c r="IA8" i="1"/>
  <c r="IA6" i="1" s="1"/>
  <c r="DE9" i="1"/>
  <c r="DE8" i="1"/>
  <c r="DE6" i="1" s="1"/>
  <c r="EC28" i="1"/>
  <c r="EC22" i="1"/>
  <c r="EN22" i="1"/>
  <c r="EN28" i="1"/>
  <c r="LQ8" i="1"/>
  <c r="LQ6" i="1" s="1"/>
  <c r="LQ9" i="1"/>
  <c r="HX9" i="1"/>
  <c r="HX8" i="1"/>
  <c r="HX6" i="1" s="1"/>
  <c r="IG8" i="1"/>
  <c r="IG6" i="1" s="1"/>
  <c r="IG9" i="1"/>
  <c r="LW28" i="1"/>
  <c r="LW22" i="1"/>
  <c r="LY9" i="1"/>
  <c r="LY8" i="1"/>
  <c r="LY6" i="1" s="1"/>
  <c r="KK8" i="1"/>
  <c r="KK6" i="1" s="1"/>
  <c r="FN8" i="1"/>
  <c r="FN6" i="1" s="1"/>
  <c r="HD8" i="1"/>
  <c r="HD6" i="1" s="1"/>
  <c r="CY8" i="1"/>
  <c r="CY6" i="1" s="1"/>
  <c r="BZ22" i="1"/>
  <c r="BZ28" i="1"/>
  <c r="CW28" i="1"/>
  <c r="CW22" i="1"/>
  <c r="LM8" i="1"/>
  <c r="LM6" i="1" s="1"/>
  <c r="HR8" i="1"/>
  <c r="HR6" i="1" s="1"/>
  <c r="BY8" i="1"/>
  <c r="BY6" i="1" s="1"/>
  <c r="BY9" i="1"/>
  <c r="EV9" i="1"/>
  <c r="EV8" i="1"/>
  <c r="EV6" i="1" s="1"/>
  <c r="BM28" i="1"/>
  <c r="BM22" i="1"/>
  <c r="KN9" i="1"/>
  <c r="KN8" i="1"/>
  <c r="KN6" i="1" s="1"/>
  <c r="DY8" i="1"/>
  <c r="DY6" i="1" s="1"/>
  <c r="DY9" i="1"/>
  <c r="BN28" i="1"/>
  <c r="BN22" i="1"/>
  <c r="EF22" i="1"/>
  <c r="EF28" i="1"/>
  <c r="FD9" i="1"/>
  <c r="FD8" i="1"/>
  <c r="FD6" i="1" s="1"/>
  <c r="BD28" i="1"/>
  <c r="BD22" i="1"/>
  <c r="DM9" i="1"/>
  <c r="DM8" i="1"/>
  <c r="DM6" i="1" s="1"/>
  <c r="BU8" i="1"/>
  <c r="BU6" i="1" s="1"/>
  <c r="BU9" i="1"/>
  <c r="GP8" i="1"/>
  <c r="GP6" i="1" s="1"/>
  <c r="GP9" i="1"/>
  <c r="FA9" i="1"/>
  <c r="FA8" i="1"/>
  <c r="FA6" i="1" s="1"/>
  <c r="BC9" i="1"/>
  <c r="BC8" i="1"/>
  <c r="BC6" i="1" s="1"/>
  <c r="IM9" i="1"/>
  <c r="IM8" i="1"/>
  <c r="IM6" i="1" s="1"/>
  <c r="JX9" i="1"/>
  <c r="JX8" i="1"/>
  <c r="JX6" i="1" s="1"/>
  <c r="FR9" i="1"/>
  <c r="FR8" i="1"/>
  <c r="FR6" i="1" s="1"/>
  <c r="EA9" i="1"/>
  <c r="EA8" i="1"/>
  <c r="EA6" i="1" s="1"/>
  <c r="EO9" i="1"/>
  <c r="EO8" i="1"/>
  <c r="EO6" i="1" s="1"/>
  <c r="KL8" i="1"/>
  <c r="KL6" i="1" s="1"/>
  <c r="KL9" i="1"/>
  <c r="IU9" i="1"/>
  <c r="IU8" i="1"/>
  <c r="IU6" i="1" s="1"/>
  <c r="BV22" i="1"/>
  <c r="BV28" i="1"/>
  <c r="DZ28" i="1"/>
  <c r="DZ22" i="1"/>
  <c r="EI22" i="1"/>
  <c r="EI28" i="1"/>
  <c r="CK9" i="1"/>
  <c r="CK8" i="1"/>
  <c r="CK6" i="1" s="1"/>
  <c r="BT9" i="1"/>
  <c r="BT8" i="1"/>
  <c r="BT6" i="1" s="1"/>
  <c r="JA9" i="1"/>
  <c r="JA8" i="1"/>
  <c r="JA6" i="1" s="1"/>
  <c r="CW9" i="1"/>
  <c r="CW8" i="1"/>
  <c r="CW6" i="1" s="1"/>
  <c r="DA28" i="1"/>
  <c r="DA22" i="1"/>
  <c r="CA22" i="1"/>
  <c r="CA28" i="1"/>
  <c r="CQ8" i="1"/>
  <c r="CQ6" i="1" s="1"/>
  <c r="CQ9" i="1"/>
  <c r="GW9" i="1"/>
  <c r="GW8" i="1"/>
  <c r="GW6" i="1" s="1"/>
  <c r="CF9" i="1"/>
  <c r="CF8" i="1"/>
  <c r="CF6" i="1" s="1"/>
  <c r="AN28" i="1"/>
  <c r="AN22" i="1"/>
  <c r="LV22" i="1"/>
  <c r="LV28" i="1"/>
  <c r="LX8" i="1"/>
  <c r="LX6" i="1" s="1"/>
  <c r="LX9" i="1"/>
  <c r="JI9" i="1"/>
  <c r="JI8" i="1"/>
  <c r="JI6" i="1" s="1"/>
  <c r="DT22" i="1"/>
  <c r="DT28" i="1"/>
  <c r="HC9" i="1"/>
  <c r="HC8" i="1"/>
  <c r="HC6" i="1" s="1"/>
  <c r="KH9" i="1"/>
  <c r="KH8" i="1"/>
  <c r="KH6" i="1" s="1"/>
  <c r="FY9" i="1"/>
  <c r="FY8" i="1"/>
  <c r="FY6" i="1" s="1"/>
  <c r="DK9" i="1"/>
  <c r="DK8" i="1"/>
  <c r="DK6" i="1" s="1"/>
  <c r="DP9" i="1"/>
  <c r="DP8" i="1"/>
  <c r="DP6" i="1" s="1"/>
  <c r="M28" i="1"/>
  <c r="M22" i="1"/>
  <c r="CZ8" i="1"/>
  <c r="CZ6" i="1" s="1"/>
  <c r="CZ9" i="1"/>
  <c r="KP8" i="1"/>
  <c r="KP6" i="1" s="1"/>
  <c r="KP9" i="1"/>
  <c r="DU9" i="1"/>
  <c r="DU8" i="1"/>
  <c r="DU6" i="1" s="1"/>
  <c r="IQ8" i="1"/>
  <c r="IQ6" i="1" s="1"/>
  <c r="IQ9" i="1"/>
  <c r="BL9" i="1"/>
  <c r="BL8" i="1"/>
  <c r="BL6" i="1" s="1"/>
  <c r="KE8" i="1"/>
  <c r="KE6" i="1" s="1"/>
  <c r="KE9" i="1"/>
  <c r="CB22" i="1"/>
  <c r="CB28" i="1"/>
  <c r="BS22" i="1"/>
  <c r="BS28" i="1"/>
  <c r="AG28" i="1"/>
  <c r="AG22" i="1"/>
  <c r="BJ8" i="1"/>
  <c r="BJ6" i="1" s="1"/>
  <c r="BJ9" i="1"/>
  <c r="EZ22" i="1"/>
  <c r="EZ28" i="1"/>
  <c r="EW9" i="1"/>
  <c r="EW8" i="1"/>
  <c r="EW6" i="1" s="1"/>
  <c r="EF9" i="1"/>
  <c r="EF8" i="1"/>
  <c r="EF6" i="1" s="1"/>
  <c r="JC9" i="1"/>
  <c r="JC8" i="1"/>
  <c r="JC6" i="1" s="1"/>
  <c r="BR8" i="1"/>
  <c r="BR6" i="1" s="1"/>
  <c r="BR9" i="1"/>
  <c r="JV8" i="1"/>
  <c r="JV6" i="1" s="1"/>
  <c r="JV9" i="1"/>
  <c r="DR22" i="1"/>
  <c r="DR28" i="1"/>
  <c r="BP9" i="1"/>
  <c r="BP8" i="1"/>
  <c r="BP6" i="1" s="1"/>
  <c r="CB9" i="1"/>
  <c r="CB8" i="1"/>
  <c r="CB6" i="1" s="1"/>
  <c r="HF9" i="1"/>
  <c r="HF8" i="1"/>
  <c r="HF6" i="1" s="1"/>
  <c r="BV9" i="1"/>
  <c r="BV8" i="1"/>
  <c r="BV6" i="1" s="1"/>
  <c r="FB22" i="1"/>
  <c r="FB28" i="1"/>
  <c r="CG22" i="1"/>
  <c r="CG28" i="1"/>
  <c r="CP9" i="1"/>
  <c r="CP8" i="1"/>
  <c r="CP6" i="1" s="1"/>
  <c r="JT8" i="1"/>
  <c r="JT6" i="1" s="1"/>
  <c r="JT9" i="1"/>
  <c r="EJ28" i="1"/>
  <c r="EJ22" i="1"/>
  <c r="DL22" i="1"/>
  <c r="DL28" i="1"/>
  <c r="IO9" i="1"/>
  <c r="IO8" i="1"/>
  <c r="IO6" i="1" s="1"/>
  <c r="LU28" i="1"/>
  <c r="LU22" i="1"/>
  <c r="LW9" i="1"/>
  <c r="LW8" i="1"/>
  <c r="LW6" i="1" s="1"/>
  <c r="BP28" i="1"/>
  <c r="BP22" i="1"/>
  <c r="CI28" i="1"/>
  <c r="CI22" i="1"/>
  <c r="DK22" i="1"/>
  <c r="DK28" i="1"/>
  <c r="EY28" i="1"/>
  <c r="EY22" i="1"/>
  <c r="HY9" i="1"/>
  <c r="HY8" i="1"/>
  <c r="HY6" i="1" s="1"/>
  <c r="FG22" i="1"/>
  <c r="FG28" i="1"/>
  <c r="LC8" i="1"/>
  <c r="LC6" i="1" s="1"/>
  <c r="LC9" i="1"/>
  <c r="EG9" i="1"/>
  <c r="EG8" i="1"/>
  <c r="EG6" i="1" s="1"/>
  <c r="JB8" i="1"/>
  <c r="JB6" i="1" s="1"/>
  <c r="FG9" i="1"/>
  <c r="FG8" i="1"/>
  <c r="FG6" i="1" s="1"/>
  <c r="ES9" i="1"/>
  <c r="ES8" i="1"/>
  <c r="ES6" i="1" s="1"/>
  <c r="CY28" i="1"/>
  <c r="CY22" i="1"/>
  <c r="IY8" i="1"/>
  <c r="IY6" i="1" s="1"/>
  <c r="IY9" i="1"/>
  <c r="JM9" i="1"/>
  <c r="JM8" i="1"/>
  <c r="JM6" i="1" s="1"/>
  <c r="GX9" i="1"/>
  <c r="GX8" i="1"/>
  <c r="GX6" i="1" s="1"/>
  <c r="Z22" i="1"/>
  <c r="Z28" i="1"/>
  <c r="JF9" i="1"/>
  <c r="JF8" i="1"/>
  <c r="JF6" i="1" s="1"/>
  <c r="EQ22" i="1"/>
  <c r="EQ28" i="1"/>
  <c r="GC9" i="1"/>
  <c r="GC8" i="1"/>
  <c r="GC6" i="1" s="1"/>
  <c r="DX22" i="1"/>
  <c r="DX28" i="1"/>
  <c r="EB9" i="1"/>
  <c r="EB8" i="1"/>
  <c r="EB6" i="1" s="1"/>
  <c r="EN9" i="1"/>
  <c r="EN8" i="1"/>
  <c r="EN6" i="1" s="1"/>
  <c r="JR9" i="1"/>
  <c r="JR8" i="1"/>
  <c r="JR6" i="1" s="1"/>
  <c r="BZ9" i="1"/>
  <c r="BZ8" i="1"/>
  <c r="BZ6" i="1" s="1"/>
  <c r="EG28" i="1"/>
  <c r="EG22" i="1"/>
  <c r="AU9" i="1"/>
  <c r="AU8" i="1"/>
  <c r="AU6" i="1" s="1"/>
  <c r="EK28" i="1"/>
  <c r="EK22" i="1"/>
  <c r="DB8" i="1"/>
  <c r="DB6" i="1" s="1"/>
  <c r="DB9" i="1"/>
  <c r="HN8" i="1"/>
  <c r="HN6" i="1" s="1"/>
  <c r="HN9" i="1"/>
  <c r="CV22" i="1"/>
  <c r="CV28" i="1"/>
  <c r="GT9" i="1"/>
  <c r="GT8" i="1"/>
  <c r="GT6" i="1" s="1"/>
  <c r="DC22" i="1"/>
  <c r="DC28" i="1"/>
  <c r="CH8" i="1"/>
  <c r="CH6" i="1" s="1"/>
  <c r="CH9" i="1"/>
  <c r="JS8" i="1"/>
  <c r="JS6" i="1" s="1"/>
  <c r="JS9" i="1"/>
  <c r="KC9" i="1"/>
  <c r="KC8" i="1"/>
  <c r="KC6" i="1" s="1"/>
  <c r="DP22" i="1"/>
  <c r="DP28" i="1"/>
  <c r="EE28" i="1"/>
  <c r="EE22" i="1"/>
  <c r="BR22" i="1"/>
  <c r="BR28" i="1"/>
  <c r="LT22" i="1"/>
  <c r="LT28" i="1"/>
  <c r="LV8" i="1"/>
  <c r="LV6" i="1" s="1"/>
  <c r="LV9" i="1"/>
  <c r="CY9" i="1"/>
  <c r="DV9" i="1"/>
  <c r="DV8" i="1"/>
  <c r="DV6" i="1" s="1"/>
  <c r="DI9" i="1"/>
  <c r="DI8" i="1"/>
  <c r="DI6" i="1" s="1"/>
  <c r="GD9" i="1"/>
  <c r="HP8" i="1"/>
  <c r="HP6" i="1" s="1"/>
  <c r="HP9" i="1"/>
  <c r="GG9" i="1"/>
  <c r="GG8" i="1"/>
  <c r="GG6" i="1" s="1"/>
  <c r="LP8" i="1"/>
  <c r="LP6" i="1" s="1"/>
  <c r="LP9" i="1"/>
  <c r="DX8" i="1"/>
  <c r="DX6" i="1" s="1"/>
  <c r="DX9" i="1"/>
  <c r="CS22" i="1"/>
  <c r="CS28" i="1"/>
  <c r="DM22" i="1"/>
  <c r="DM28" i="1"/>
  <c r="CM22" i="1"/>
  <c r="CM28" i="1"/>
  <c r="IZ9" i="1"/>
  <c r="IZ8" i="1"/>
  <c r="IZ6" i="1" s="1"/>
  <c r="JU9" i="1"/>
  <c r="JU8" i="1"/>
  <c r="JU6" i="1" s="1"/>
  <c r="JD8" i="1"/>
  <c r="JD6" i="1" s="1"/>
  <c r="JD9" i="1"/>
  <c r="BF28" i="1"/>
  <c r="BF22" i="1"/>
  <c r="I28" i="1"/>
  <c r="I22" i="1"/>
  <c r="BO28" i="1"/>
  <c r="BO22" i="1"/>
  <c r="AA22" i="1"/>
  <c r="AA28" i="1"/>
  <c r="DF28" i="1"/>
  <c r="DF22" i="1"/>
  <c r="JP8" i="1"/>
  <c r="JP6" i="1" s="1"/>
  <c r="JP9" i="1"/>
  <c r="FV9" i="1"/>
  <c r="FV8" i="1"/>
  <c r="FV6" i="1" s="1"/>
  <c r="JZ9" i="1"/>
  <c r="JZ8" i="1"/>
  <c r="JZ6" i="1" s="1"/>
  <c r="CX22" i="1"/>
  <c r="CX28" i="1"/>
  <c r="CH22" i="1"/>
  <c r="CH28" i="1"/>
  <c r="CO8" i="1"/>
  <c r="CO6" i="1" s="1"/>
  <c r="CO9" i="1"/>
  <c r="HZ9" i="1"/>
  <c r="HZ8" i="1"/>
  <c r="HZ6" i="1" s="1"/>
  <c r="EJ9" i="1"/>
  <c r="EJ8" i="1"/>
  <c r="EJ6" i="1" s="1"/>
  <c r="IP8" i="1"/>
  <c r="IP6" i="1" s="1"/>
  <c r="IP9" i="1"/>
  <c r="DB28" i="1"/>
  <c r="DB22" i="1"/>
  <c r="JQ8" i="1"/>
  <c r="JQ6" i="1" s="1"/>
  <c r="JQ9" i="1"/>
  <c r="GI9" i="1"/>
  <c r="GI8" i="1"/>
  <c r="GI6" i="1" s="1"/>
  <c r="BS9" i="1"/>
  <c r="BS8" i="1"/>
  <c r="BS6" i="1" s="1"/>
  <c r="JK9" i="1"/>
  <c r="JK8" i="1"/>
  <c r="JK6" i="1" s="1"/>
  <c r="LB8" i="1"/>
  <c r="LB6" i="1" s="1"/>
  <c r="LB9" i="1"/>
  <c r="JG8" i="1"/>
  <c r="JG6" i="1" s="1"/>
  <c r="JG9" i="1"/>
  <c r="BF8" i="1"/>
  <c r="BF6" i="1" s="1"/>
  <c r="BF9" i="1"/>
  <c r="FS8" i="1"/>
  <c r="FS6" i="1" s="1"/>
  <c r="FS9" i="1"/>
  <c r="F19" i="1"/>
  <c r="F9" i="1"/>
  <c r="F8" i="1"/>
  <c r="F6" i="1" s="1"/>
  <c r="LR22" i="1"/>
  <c r="LR28" i="1"/>
  <c r="LU9" i="1"/>
  <c r="LU8" i="1"/>
  <c r="LU6" i="1" s="1"/>
  <c r="F25" i="1" l="1"/>
  <c r="I8" i="7"/>
  <c r="E2" i="4" a="1"/>
  <c r="E2" i="4" s="1"/>
  <c r="A20" i="6" a="1"/>
  <c r="A20" i="6" s="1"/>
  <c r="H31" i="1"/>
  <c r="DN13" i="1"/>
  <c r="H13" i="1"/>
  <c r="EN25" i="1"/>
  <c r="FB31" i="1"/>
  <c r="DT19" i="1"/>
  <c r="GR31" i="1"/>
  <c r="DN25" i="1"/>
  <c r="S19" i="1"/>
  <c r="ID25" i="1"/>
  <c r="LO19" i="1"/>
  <c r="DN19" i="1"/>
  <c r="AD25" i="1"/>
  <c r="DC13" i="1"/>
  <c r="AK19" i="1"/>
  <c r="FR13" i="1"/>
  <c r="FA19" i="1"/>
  <c r="JV13" i="1"/>
  <c r="DE19" i="1"/>
  <c r="IA31" i="1"/>
  <c r="AF25" i="1"/>
  <c r="IH19" i="1"/>
  <c r="DU13" i="1"/>
  <c r="DE31" i="1"/>
  <c r="GW25" i="1"/>
  <c r="LK13" i="1"/>
  <c r="EG19" i="1"/>
  <c r="DV25" i="1"/>
  <c r="CF25" i="1"/>
  <c r="T31" i="1"/>
  <c r="CL19" i="1"/>
  <c r="BE13" i="1"/>
  <c r="CQ13" i="1"/>
  <c r="CH25" i="1"/>
  <c r="KC25" i="1"/>
  <c r="LC25" i="1"/>
  <c r="H19" i="1"/>
  <c r="LG19" i="1"/>
  <c r="JT31" i="1"/>
  <c r="HC13" i="1"/>
  <c r="FZ13" i="1"/>
  <c r="EF19" i="1"/>
  <c r="V13" i="1"/>
  <c r="FQ25" i="1"/>
  <c r="KQ19" i="1"/>
  <c r="EK25" i="1"/>
  <c r="IH31" i="1"/>
  <c r="KG19" i="1"/>
  <c r="EP31" i="1"/>
  <c r="R31" i="1"/>
  <c r="CT25" i="1"/>
  <c r="DJ13" i="1"/>
  <c r="KB31" i="1"/>
  <c r="LM25" i="1"/>
  <c r="KT19" i="1"/>
  <c r="IT25" i="1"/>
  <c r="IZ13" i="1"/>
  <c r="BY13" i="1"/>
  <c r="CC13" i="1"/>
  <c r="FN31" i="1"/>
  <c r="KH25" i="1"/>
  <c r="LC31" i="1"/>
  <c r="GH19" i="1"/>
  <c r="G13" i="1"/>
  <c r="GR13" i="1"/>
  <c r="AG13" i="1"/>
  <c r="GP19" i="1"/>
  <c r="KM25" i="1"/>
  <c r="AZ31" i="1"/>
  <c r="AM13" i="1"/>
  <c r="DY19" i="1"/>
  <c r="CT19" i="1"/>
  <c r="KB25" i="1"/>
  <c r="AP13" i="1"/>
  <c r="IO13" i="1"/>
  <c r="JL19" i="1"/>
  <c r="L13" i="1"/>
  <c r="KQ13" i="1"/>
  <c r="EV19" i="1"/>
  <c r="FA31" i="1"/>
  <c r="AR19" i="1"/>
  <c r="HG19" i="1"/>
  <c r="FO13" i="1"/>
  <c r="FY13" i="1"/>
  <c r="KG31" i="1"/>
  <c r="DE13" i="1"/>
  <c r="JA25" i="1"/>
  <c r="JF31" i="1"/>
  <c r="GU25" i="1"/>
  <c r="G19" i="1"/>
  <c r="W31" i="1"/>
  <c r="BA13" i="1"/>
  <c r="W25" i="1"/>
  <c r="AB31" i="1"/>
  <c r="GK25" i="1"/>
  <c r="JN25" i="1"/>
  <c r="EC19" i="1"/>
  <c r="CQ31" i="1"/>
  <c r="JL31" i="1"/>
  <c r="JQ31" i="1"/>
  <c r="KQ31" i="1"/>
  <c r="EV25" i="1"/>
  <c r="CV31" i="1"/>
  <c r="BZ13" i="1"/>
  <c r="KA25" i="1"/>
  <c r="DY13" i="1"/>
  <c r="CH19" i="1"/>
  <c r="DH31" i="1"/>
  <c r="I19" i="1"/>
  <c r="EE19" i="1"/>
  <c r="EB31" i="1"/>
  <c r="L31" i="1"/>
  <c r="ET31" i="1"/>
  <c r="AP31" i="1"/>
  <c r="JC25" i="1"/>
  <c r="IO31" i="1"/>
  <c r="AR13" i="1"/>
  <c r="DJ25" i="1"/>
  <c r="IV31" i="1"/>
  <c r="JU25" i="1"/>
  <c r="CZ19" i="1"/>
  <c r="AH31" i="1"/>
  <c r="DZ25" i="1"/>
  <c r="JV25" i="1"/>
  <c r="FR19" i="1"/>
  <c r="KT13" i="1"/>
  <c r="JU19" i="1"/>
  <c r="FB13" i="1"/>
  <c r="HM19" i="1"/>
  <c r="DZ13" i="1"/>
  <c r="LD31" i="1"/>
  <c r="FV19" i="1"/>
  <c r="BH19" i="1"/>
  <c r="DB19" i="1"/>
  <c r="HE19" i="1"/>
  <c r="DI31" i="1"/>
  <c r="BV25" i="1"/>
  <c r="CF13" i="1"/>
  <c r="LI25" i="1"/>
  <c r="HB19" i="1"/>
  <c r="CD31" i="1"/>
  <c r="IH13" i="1"/>
  <c r="HD19" i="1"/>
  <c r="G31" i="1"/>
  <c r="X19" i="1"/>
  <c r="J25" i="1"/>
  <c r="BA19" i="1"/>
  <c r="W13" i="1"/>
  <c r="EO25" i="1"/>
  <c r="DZ19" i="1"/>
  <c r="FZ25" i="1"/>
  <c r="IG31" i="1"/>
  <c r="FW25" i="1"/>
  <c r="JN19" i="1"/>
  <c r="BS13" i="1"/>
  <c r="BP19" i="1"/>
  <c r="IU13" i="1"/>
  <c r="BZ31" i="1"/>
  <c r="GA19" i="1"/>
  <c r="BT31" i="1"/>
  <c r="EK19" i="1"/>
  <c r="KT31" i="1"/>
  <c r="AR25" i="1"/>
  <c r="BU19" i="1"/>
  <c r="BE25" i="1"/>
  <c r="JA31" i="1"/>
  <c r="AF19" i="1"/>
  <c r="HY13" i="1"/>
  <c r="FB19" i="1"/>
  <c r="IB19" i="1"/>
  <c r="LD13" i="1"/>
  <c r="LG31" i="1"/>
  <c r="GR19" i="1"/>
  <c r="W19" i="1"/>
  <c r="CW25" i="1"/>
  <c r="LO25" i="1"/>
  <c r="FZ19" i="1"/>
  <c r="FZ20" i="1" s="1"/>
  <c r="BA25" i="1"/>
  <c r="DK13" i="1"/>
  <c r="GA25" i="1"/>
  <c r="ES25" i="1"/>
  <c r="DE25" i="1"/>
  <c r="IA19" i="1"/>
  <c r="HY19" i="1"/>
  <c r="EC25" i="1"/>
  <c r="JC19" i="1"/>
  <c r="IV13" i="1"/>
  <c r="HY31" i="1"/>
  <c r="KG25" i="1"/>
  <c r="GL13" i="1"/>
  <c r="DM31" i="1"/>
  <c r="JL13" i="1"/>
  <c r="FX25" i="1"/>
  <c r="BV31" i="1"/>
  <c r="CW31" i="1"/>
  <c r="AC19" i="1"/>
  <c r="AM31" i="1"/>
  <c r="EK13" i="1"/>
  <c r="KT25" i="1"/>
  <c r="G25" i="1"/>
  <c r="G26" i="1" s="1"/>
  <c r="E13" i="6" s="1" a="1"/>
  <c r="E13" i="6" s="1"/>
  <c r="GR25" i="1"/>
  <c r="BA31" i="1"/>
  <c r="JS13" i="1"/>
  <c r="AE19" i="1"/>
  <c r="JN13" i="1"/>
  <c r="DJ31" i="1"/>
  <c r="ET19" i="1"/>
  <c r="EP25" i="1"/>
  <c r="BK19" i="1"/>
  <c r="JU13" i="1"/>
  <c r="BS31" i="1"/>
  <c r="BP13" i="1"/>
  <c r="DM25" i="1"/>
  <c r="CB31" i="1"/>
  <c r="FX31" i="1"/>
  <c r="ET13" i="1"/>
  <c r="KH19" i="1"/>
  <c r="R13" i="1"/>
  <c r="JF13" i="1"/>
  <c r="IH25" i="1"/>
  <c r="Q25" i="1"/>
  <c r="HD31" i="1"/>
  <c r="LP13" i="1"/>
  <c r="ES31" i="1"/>
  <c r="KA31" i="1"/>
  <c r="DY31" i="1"/>
  <c r="DY32" i="1" s="1"/>
  <c r="DW14" i="6" s="1" a="1"/>
  <c r="DW14" i="6" s="1"/>
  <c r="HR19" i="1"/>
  <c r="FN25" i="1"/>
  <c r="IU25" i="1"/>
  <c r="IU26" i="1" s="1"/>
  <c r="IS13" i="6" s="1" a="1"/>
  <c r="IS13" i="6" s="1"/>
  <c r="CB25" i="1"/>
  <c r="Y19" i="1"/>
  <c r="JV19" i="1"/>
  <c r="CS13" i="1"/>
  <c r="DM13" i="1"/>
  <c r="LK25" i="1"/>
  <c r="HG25" i="1"/>
  <c r="BY31" i="1"/>
  <c r="HD13" i="1"/>
  <c r="AZ25" i="1"/>
  <c r="KA13" i="1"/>
  <c r="IU19" i="1"/>
  <c r="AF31" i="1"/>
  <c r="BR19" i="1"/>
  <c r="Q31" i="1"/>
  <c r="GC31" i="1"/>
  <c r="J31" i="1"/>
  <c r="AH25" i="1"/>
  <c r="JP19" i="1"/>
  <c r="S25" i="1"/>
  <c r="GS13" i="1"/>
  <c r="AJ13" i="1"/>
  <c r="IA25" i="1"/>
  <c r="JJ31" i="1"/>
  <c r="BH25" i="1"/>
  <c r="AU31" i="1"/>
  <c r="DW31" i="1"/>
  <c r="DM19" i="1"/>
  <c r="AO25" i="1"/>
  <c r="AF13" i="1"/>
  <c r="BT25" i="1"/>
  <c r="GW19" i="1"/>
  <c r="EG25" i="1"/>
  <c r="KG13" i="1"/>
  <c r="LC19" i="1"/>
  <c r="BZ25" i="1"/>
  <c r="CI25" i="1"/>
  <c r="CW19" i="1"/>
  <c r="GU19" i="1"/>
  <c r="AP19" i="1"/>
  <c r="GJ19" i="1"/>
  <c r="HG31" i="1"/>
  <c r="GF31" i="1"/>
  <c r="GG19" i="1"/>
  <c r="LC13" i="1"/>
  <c r="DK31" i="1"/>
  <c r="DK32" i="1" s="1"/>
  <c r="DI14" i="6" s="1" a="1"/>
  <c r="DI14" i="6" s="1"/>
  <c r="IM13" i="1"/>
  <c r="HQ13" i="1"/>
  <c r="AE31" i="1"/>
  <c r="DV19" i="1"/>
  <c r="FT25" i="1"/>
  <c r="AW31" i="1"/>
  <c r="GK19" i="1"/>
  <c r="AE13" i="1"/>
  <c r="I25" i="1"/>
  <c r="FD25" i="1"/>
  <c r="T13" i="1"/>
  <c r="T32" i="1" s="1"/>
  <c r="R14" i="6" s="1" a="1"/>
  <c r="R14" i="6" s="1"/>
  <c r="LI19" i="1"/>
  <c r="AA31" i="1"/>
  <c r="LA25" i="1"/>
  <c r="DO25" i="1"/>
  <c r="EJ25" i="1"/>
  <c r="HW13" i="1"/>
  <c r="FD13" i="1"/>
  <c r="AW19" i="1"/>
  <c r="LG25" i="1"/>
  <c r="CC31" i="1"/>
  <c r="DH19" i="1"/>
  <c r="JC31" i="1"/>
  <c r="AZ13" i="1"/>
  <c r="IT19" i="1"/>
  <c r="KA19" i="1"/>
  <c r="FA13" i="1"/>
  <c r="IZ19" i="1"/>
  <c r="FS31" i="1"/>
  <c r="JC13" i="1"/>
  <c r="FV25" i="1"/>
  <c r="GY19" i="1"/>
  <c r="BS25" i="1"/>
  <c r="LM19" i="1"/>
  <c r="IV25" i="1"/>
  <c r="HW19" i="1"/>
  <c r="JJ13" i="1"/>
  <c r="FG31" i="1"/>
  <c r="HW25" i="1"/>
  <c r="LD25" i="1"/>
  <c r="LD26" i="1" s="1"/>
  <c r="LB13" i="6" s="1" a="1"/>
  <c r="LB13" i="6" s="1"/>
  <c r="AV19" i="1"/>
  <c r="HZ19" i="1"/>
  <c r="DU31" i="1"/>
  <c r="FO31" i="1"/>
  <c r="II19" i="1"/>
  <c r="AA13" i="1"/>
  <c r="CA25" i="1"/>
  <c r="EJ19" i="1"/>
  <c r="BV19" i="1"/>
  <c r="DZ31" i="1"/>
  <c r="JO31" i="1"/>
  <c r="IN25" i="1"/>
  <c r="KX19" i="1"/>
  <c r="FW13" i="1"/>
  <c r="EU13" i="1"/>
  <c r="EQ13" i="1"/>
  <c r="I31" i="1"/>
  <c r="GG31" i="1"/>
  <c r="FC31" i="1"/>
  <c r="FQ19" i="1"/>
  <c r="CT13" i="1"/>
  <c r="AK13" i="1"/>
  <c r="DH13" i="1"/>
  <c r="CS25" i="1"/>
  <c r="BZ19" i="1"/>
  <c r="HK13" i="1"/>
  <c r="KB13" i="1"/>
  <c r="IO19" i="1"/>
  <c r="IT13" i="1"/>
  <c r="Q13" i="1"/>
  <c r="CF31" i="1"/>
  <c r="CF32" i="1" s="1"/>
  <c r="CD14" i="6" s="1" a="1"/>
  <c r="CD14" i="6" s="1"/>
  <c r="BO13" i="1"/>
  <c r="CQ19" i="1"/>
  <c r="JF25" i="1"/>
  <c r="I13" i="1"/>
  <c r="EE31" i="1"/>
  <c r="AC13" i="1"/>
  <c r="IS25" i="1"/>
  <c r="II25" i="1"/>
  <c r="AX13" i="1"/>
  <c r="BB19" i="1"/>
  <c r="EP19" i="1"/>
  <c r="IB31" i="1"/>
  <c r="U31" i="1"/>
  <c r="AV25" i="1"/>
  <c r="HZ31" i="1"/>
  <c r="CM31" i="1"/>
  <c r="CZ25" i="1"/>
  <c r="JM31" i="1"/>
  <c r="BH31" i="1"/>
  <c r="BG13" i="1"/>
  <c r="HB25" i="1"/>
  <c r="LB19" i="1"/>
  <c r="BW31" i="1"/>
  <c r="DW13" i="1"/>
  <c r="DF19" i="1"/>
  <c r="BE19" i="1"/>
  <c r="HR25" i="1"/>
  <c r="KB19" i="1"/>
  <c r="EP13" i="1"/>
  <c r="AZ19" i="1"/>
  <c r="GL19" i="1"/>
  <c r="CV13" i="1"/>
  <c r="DV13" i="1"/>
  <c r="EB19" i="1"/>
  <c r="DU19" i="1"/>
  <c r="LK31" i="1"/>
  <c r="IS31" i="1"/>
  <c r="KN25" i="1"/>
  <c r="LP31" i="1"/>
  <c r="GF13" i="1"/>
  <c r="IN31" i="1"/>
  <c r="LA31" i="1"/>
  <c r="FR31" i="1"/>
  <c r="KN13" i="1"/>
  <c r="IN19" i="1"/>
  <c r="BQ31" i="1"/>
  <c r="DO19" i="1"/>
  <c r="CH31" i="1"/>
  <c r="FV13" i="1"/>
  <c r="FG19" i="1"/>
  <c r="FM19" i="1"/>
  <c r="Z13" i="1"/>
  <c r="AV31" i="1"/>
  <c r="CD13" i="1"/>
  <c r="AJ25" i="1"/>
  <c r="AB25" i="1"/>
  <c r="IS13" i="1"/>
  <c r="LP25" i="1"/>
  <c r="JP13" i="1"/>
  <c r="AX25" i="1"/>
  <c r="HS19" i="1"/>
  <c r="CB13" i="1"/>
  <c r="FO19" i="1"/>
  <c r="FG13" i="1"/>
  <c r="IN13" i="1"/>
  <c r="AX19" i="1"/>
  <c r="GS31" i="1"/>
  <c r="BW13" i="1"/>
  <c r="Y13" i="1"/>
  <c r="GY25" i="1"/>
  <c r="U19" i="1"/>
  <c r="HC19" i="1"/>
  <c r="FI25" i="1"/>
  <c r="KM19" i="1"/>
  <c r="GH31" i="1"/>
  <c r="IQ25" i="1"/>
  <c r="FB25" i="1"/>
  <c r="DQ19" i="1"/>
  <c r="AW25" i="1"/>
  <c r="HE25" i="1"/>
  <c r="KM13" i="1"/>
  <c r="GH25" i="1"/>
  <c r="IL19" i="1"/>
  <c r="JI13" i="1"/>
  <c r="FA25" i="1"/>
  <c r="HA25" i="1"/>
  <c r="IW13" i="1"/>
  <c r="FV31" i="1"/>
  <c r="GE19" i="1"/>
  <c r="EN13" i="1"/>
  <c r="JT13" i="1"/>
  <c r="AJ19" i="1"/>
  <c r="IS19" i="1"/>
  <c r="IG13" i="1"/>
  <c r="HI25" i="1"/>
  <c r="BI31" i="1"/>
  <c r="K19" i="1"/>
  <c r="DA25" i="1"/>
  <c r="GN13" i="1"/>
  <c r="CE25" i="1"/>
  <c r="DA13" i="1"/>
  <c r="LB13" i="1"/>
  <c r="FK13" i="1"/>
  <c r="DF31" i="1"/>
  <c r="LM31" i="1"/>
  <c r="AY25" i="1"/>
  <c r="LM13" i="1"/>
  <c r="IT31" i="1"/>
  <c r="GU31" i="1"/>
  <c r="FR25" i="1"/>
  <c r="FR26" i="1" s="1"/>
  <c r="FP13" i="6" s="1" a="1"/>
  <c r="FP13" i="6" s="1"/>
  <c r="BK13" i="1"/>
  <c r="IJ25" i="1"/>
  <c r="GF25" i="1"/>
  <c r="FD31" i="1"/>
  <c r="FS19" i="1"/>
  <c r="R25" i="1"/>
  <c r="AR31" i="1"/>
  <c r="CI19" i="1"/>
  <c r="AI25" i="1"/>
  <c r="T25" i="1"/>
  <c r="JJ25" i="1"/>
  <c r="Z31" i="1"/>
  <c r="FW19" i="1"/>
  <c r="EU25" i="1"/>
  <c r="JW19" i="1"/>
  <c r="CW13" i="1"/>
  <c r="JP25" i="1"/>
  <c r="BD19" i="1"/>
  <c r="CJ25" i="1"/>
  <c r="JL25" i="1"/>
  <c r="EI25" i="1"/>
  <c r="J13" i="1"/>
  <c r="FT31" i="1"/>
  <c r="P19" i="1"/>
  <c r="S13" i="1"/>
  <c r="HQ19" i="1"/>
  <c r="V25" i="1"/>
  <c r="V26" i="1" s="1"/>
  <c r="T13" i="6" s="1" a="1"/>
  <c r="T13" i="6" s="1"/>
  <c r="JN31" i="1"/>
  <c r="BK25" i="1"/>
  <c r="GC13" i="1"/>
  <c r="EV31" i="1"/>
  <c r="EC13" i="1"/>
  <c r="EC20" i="1" s="1"/>
  <c r="JA19" i="1"/>
  <c r="JU31" i="1"/>
  <c r="JU32" i="1" s="1"/>
  <c r="JS14" i="6" s="1" a="1"/>
  <c r="JS14" i="6" s="1"/>
  <c r="BU31" i="1"/>
  <c r="EV13" i="1"/>
  <c r="CB19" i="1"/>
  <c r="Y25" i="1"/>
  <c r="HM25" i="1"/>
  <c r="DJ19" i="1"/>
  <c r="AM25" i="1"/>
  <c r="IO25" i="1"/>
  <c r="FX19" i="1"/>
  <c r="CZ13" i="1"/>
  <c r="EB25" i="1"/>
  <c r="AK25" i="1"/>
  <c r="EE13" i="1"/>
  <c r="P31" i="1"/>
  <c r="AS31" i="1"/>
  <c r="AT13" i="1"/>
  <c r="EG13" i="1"/>
  <c r="JM19" i="1"/>
  <c r="BG31" i="1"/>
  <c r="LA19" i="1"/>
  <c r="EU31" i="1"/>
  <c r="LK19" i="1"/>
  <c r="IB25" i="1"/>
  <c r="DQ13" i="1"/>
  <c r="II31" i="1"/>
  <c r="KD25" i="1"/>
  <c r="GX13" i="1"/>
  <c r="CA19" i="1"/>
  <c r="AD31" i="1"/>
  <c r="GP31" i="1"/>
  <c r="HM31" i="1"/>
  <c r="BO31" i="1"/>
  <c r="DH25" i="1"/>
  <c r="JM25" i="1"/>
  <c r="CV25" i="1"/>
  <c r="BO19" i="1"/>
  <c r="IA13" i="1"/>
  <c r="CL31" i="1"/>
  <c r="EK31" i="1"/>
  <c r="CH13" i="1"/>
  <c r="HW31" i="1"/>
  <c r="JJ19" i="1"/>
  <c r="AY13" i="1"/>
  <c r="GL25" i="1"/>
  <c r="GL26" i="1" s="1"/>
  <c r="GJ13" i="6" s="1" a="1"/>
  <c r="GJ13" i="6" s="1"/>
  <c r="GW13" i="1"/>
  <c r="DV31" i="1"/>
  <c r="FD19" i="1"/>
  <c r="BP25" i="1"/>
  <c r="AI19" i="1"/>
  <c r="HF19" i="1"/>
  <c r="FI19" i="1"/>
  <c r="IZ31" i="1"/>
  <c r="FG25" i="1"/>
  <c r="KD19" i="1"/>
  <c r="FW31" i="1"/>
  <c r="FW32" i="1" s="1"/>
  <c r="FU14" i="6" s="1" a="1"/>
  <c r="FU14" i="6" s="1"/>
  <c r="AU13" i="1"/>
  <c r="FY31" i="1"/>
  <c r="AC25" i="1"/>
  <c r="U13" i="1"/>
  <c r="HF25" i="1"/>
  <c r="BM19" i="1"/>
  <c r="HZ25" i="1"/>
  <c r="GB13" i="1"/>
  <c r="GJ25" i="1"/>
  <c r="HD25" i="1"/>
  <c r="FM31" i="1"/>
  <c r="KD31" i="1"/>
  <c r="AS19" i="1"/>
  <c r="FS25" i="1"/>
  <c r="Y31" i="1"/>
  <c r="AH13" i="1"/>
  <c r="BH13" i="1"/>
  <c r="DB31" i="1"/>
  <c r="JS19" i="1"/>
  <c r="HZ13" i="1"/>
  <c r="BU13" i="1"/>
  <c r="CZ31" i="1"/>
  <c r="GG13" i="1"/>
  <c r="Z19" i="1"/>
  <c r="GX25" i="1"/>
  <c r="HS25" i="1"/>
  <c r="AE25" i="1"/>
  <c r="GP13" i="1"/>
  <c r="HY25" i="1"/>
  <c r="BY19" i="1"/>
  <c r="KR13" i="1"/>
  <c r="KX13" i="1"/>
  <c r="CD25" i="1"/>
  <c r="GB25" i="1"/>
  <c r="KK31" i="1"/>
  <c r="IL13" i="1"/>
  <c r="IL20" i="1" s="1"/>
  <c r="IG19" i="1"/>
  <c r="JP31" i="1"/>
  <c r="ED25" i="1"/>
  <c r="FP19" i="1"/>
  <c r="GE31" i="1"/>
  <c r="LQ25" i="1"/>
  <c r="AB19" i="1"/>
  <c r="JI19" i="1"/>
  <c r="JT25" i="1"/>
  <c r="IW19" i="1"/>
  <c r="ID13" i="1"/>
  <c r="CE31" i="1"/>
  <c r="X13" i="1"/>
  <c r="IX13" i="1"/>
  <c r="BX25" i="1"/>
  <c r="DY25" i="1"/>
  <c r="FI31" i="1"/>
  <c r="BB13" i="1"/>
  <c r="JO25" i="1"/>
  <c r="HB31" i="1"/>
  <c r="DO13" i="1"/>
  <c r="HG13" i="1"/>
  <c r="CC25" i="1"/>
  <c r="EH25" i="1"/>
  <c r="AS25" i="1"/>
  <c r="HS31" i="1"/>
  <c r="DQ25" i="1"/>
  <c r="HF13" i="1"/>
  <c r="GS25" i="1"/>
  <c r="GS26" i="1" s="1"/>
  <c r="GQ13" i="6" s="1" a="1"/>
  <c r="GQ13" i="6" s="1"/>
  <c r="GQ31" i="1"/>
  <c r="LQ13" i="1"/>
  <c r="DF13" i="1"/>
  <c r="FC13" i="1"/>
  <c r="BQ13" i="1"/>
  <c r="V31" i="1"/>
  <c r="HH19" i="1"/>
  <c r="KK25" i="1"/>
  <c r="GZ31" i="1"/>
  <c r="O13" i="1"/>
  <c r="GZ19" i="1"/>
  <c r="GQ25" i="1"/>
  <c r="GQ19" i="1"/>
  <c r="CF19" i="1"/>
  <c r="CM25" i="1"/>
  <c r="BI13" i="1"/>
  <c r="K13" i="1"/>
  <c r="JH25" i="1"/>
  <c r="X31" i="1"/>
  <c r="JZ13" i="1"/>
  <c r="HT13" i="1"/>
  <c r="KV13" i="1"/>
  <c r="JD31" i="1"/>
  <c r="KZ25" i="1"/>
  <c r="EZ31" i="1"/>
  <c r="LX25" i="1"/>
  <c r="LX19" i="1"/>
  <c r="LW19" i="1"/>
  <c r="LS13" i="1"/>
  <c r="FJ25" i="1"/>
  <c r="JE13" i="1"/>
  <c r="LN31" i="1"/>
  <c r="JZ31" i="1"/>
  <c r="BF25" i="1"/>
  <c r="IR13" i="1"/>
  <c r="HO25" i="1"/>
  <c r="KV25" i="1"/>
  <c r="JK31" i="1"/>
  <c r="AO13" i="1"/>
  <c r="GT25" i="1"/>
  <c r="HN25" i="1"/>
  <c r="IR31" i="1"/>
  <c r="GW31" i="1"/>
  <c r="GC19" i="1"/>
  <c r="J19" i="1"/>
  <c r="V19" i="1"/>
  <c r="EO19" i="1"/>
  <c r="FT19" i="1"/>
  <c r="S31" i="1"/>
  <c r="AO31" i="1"/>
  <c r="GG25" i="1"/>
  <c r="KD13" i="1"/>
  <c r="LB31" i="1"/>
  <c r="CJ13" i="1"/>
  <c r="BV13" i="1"/>
  <c r="BX31" i="1"/>
  <c r="AA25" i="1"/>
  <c r="DI25" i="1"/>
  <c r="EO31" i="1"/>
  <c r="HH25" i="1"/>
  <c r="CI13" i="1"/>
  <c r="BG19" i="1"/>
  <c r="AX31" i="1"/>
  <c r="AD19" i="1"/>
  <c r="KY31" i="1"/>
  <c r="LE31" i="1"/>
  <c r="FM13" i="1"/>
  <c r="FM20" i="1" s="1"/>
  <c r="FP13" i="1"/>
  <c r="IQ13" i="1"/>
  <c r="BW19" i="1"/>
  <c r="GB19" i="1"/>
  <c r="EN19" i="1"/>
  <c r="T19" i="1"/>
  <c r="K31" i="1"/>
  <c r="AG31" i="1"/>
  <c r="JH19" i="1"/>
  <c r="CN31" i="1"/>
  <c r="KU19" i="1"/>
  <c r="KE31" i="1"/>
  <c r="JR25" i="1"/>
  <c r="EM31" i="1"/>
  <c r="JE31" i="1"/>
  <c r="LY31" i="1"/>
  <c r="LS19" i="1"/>
  <c r="LR31" i="1"/>
  <c r="LU31" i="1"/>
  <c r="FZ31" i="1"/>
  <c r="FZ32" i="1" s="1"/>
  <c r="FX14" i="6" s="1" a="1"/>
  <c r="FX14" i="6" s="1"/>
  <c r="CL25" i="1"/>
  <c r="DC25" i="1"/>
  <c r="AW13" i="1"/>
  <c r="IZ25" i="1"/>
  <c r="DT25" i="1"/>
  <c r="KR25" i="1"/>
  <c r="BM25" i="1"/>
  <c r="BT13" i="1"/>
  <c r="DF25" i="1"/>
  <c r="BX19" i="1"/>
  <c r="HC31" i="1"/>
  <c r="FI13" i="1"/>
  <c r="AT25" i="1"/>
  <c r="Q19" i="1"/>
  <c r="FT13" i="1"/>
  <c r="IM19" i="1"/>
  <c r="DO31" i="1"/>
  <c r="EJ13" i="1"/>
  <c r="IQ31" i="1"/>
  <c r="EI13" i="1"/>
  <c r="Z25" i="1"/>
  <c r="Z26" i="1" s="1"/>
  <c r="X13" i="6" s="1" a="1"/>
  <c r="X13" i="6" s="1"/>
  <c r="JS25" i="1"/>
  <c r="EO13" i="1"/>
  <c r="KL13" i="1"/>
  <c r="HA31" i="1"/>
  <c r="LE19" i="1"/>
  <c r="O19" i="1"/>
  <c r="O20" i="1" s="1"/>
  <c r="KL31" i="1"/>
  <c r="LO13" i="1"/>
  <c r="DI13" i="1"/>
  <c r="KK13" i="1"/>
  <c r="EB13" i="1"/>
  <c r="BI19" i="1"/>
  <c r="ID31" i="1"/>
  <c r="JH31" i="1"/>
  <c r="HI31" i="1"/>
  <c r="GZ25" i="1"/>
  <c r="KF25" i="1"/>
  <c r="BC19" i="1"/>
  <c r="KW31" i="1"/>
  <c r="GO19" i="1"/>
  <c r="LH19" i="1"/>
  <c r="LT25" i="1"/>
  <c r="LV25" i="1"/>
  <c r="LY19" i="1"/>
  <c r="LT19" i="1"/>
  <c r="LX13" i="1"/>
  <c r="IX19" i="1"/>
  <c r="HN19" i="1"/>
  <c r="CU19" i="1"/>
  <c r="CR31" i="1"/>
  <c r="KS25" i="1"/>
  <c r="BF19" i="1"/>
  <c r="GM19" i="1"/>
  <c r="L19" i="1"/>
  <c r="L20" i="1" s="1"/>
  <c r="CV19" i="1"/>
  <c r="KH13" i="1"/>
  <c r="GK31" i="1"/>
  <c r="AI13" i="1"/>
  <c r="BR13" i="1"/>
  <c r="LI31" i="1"/>
  <c r="HE13" i="1"/>
  <c r="HE20" i="1" s="1"/>
  <c r="BE31" i="1"/>
  <c r="BE32" i="1" s="1"/>
  <c r="BC14" i="6" s="1" a="1"/>
  <c r="BC14" i="6" s="1"/>
  <c r="EI31" i="1"/>
  <c r="DK25" i="1"/>
  <c r="IM25" i="1"/>
  <c r="GK13" i="1"/>
  <c r="KM31" i="1"/>
  <c r="BY25" i="1"/>
  <c r="II13" i="1"/>
  <c r="HB13" i="1"/>
  <c r="CJ31" i="1"/>
  <c r="DW25" i="1"/>
  <c r="DW26" i="1" s="1"/>
  <c r="DU13" i="6" s="1" a="1"/>
  <c r="DU13" i="6" s="1"/>
  <c r="JF19" i="1"/>
  <c r="JF20" i="1" s="1"/>
  <c r="GF19" i="1"/>
  <c r="EH13" i="1"/>
  <c r="AS13" i="1"/>
  <c r="EJ31" i="1"/>
  <c r="GP25" i="1"/>
  <c r="LE25" i="1"/>
  <c r="HA19" i="1"/>
  <c r="GY13" i="1"/>
  <c r="EL19" i="1"/>
  <c r="FP25" i="1"/>
  <c r="O25" i="1"/>
  <c r="CM13" i="1"/>
  <c r="IJ13" i="1"/>
  <c r="CD19" i="1"/>
  <c r="EN31" i="1"/>
  <c r="GE25" i="1"/>
  <c r="BI25" i="1"/>
  <c r="K25" i="1"/>
  <c r="AG19" i="1"/>
  <c r="DA31" i="1"/>
  <c r="KC19" i="1"/>
  <c r="FL19" i="1"/>
  <c r="KS13" i="1"/>
  <c r="BL13" i="1"/>
  <c r="IX31" i="1"/>
  <c r="CG13" i="1"/>
  <c r="JQ25" i="1"/>
  <c r="LS31" i="1"/>
  <c r="E19" i="1"/>
  <c r="LW25" i="1"/>
  <c r="E31" i="1"/>
  <c r="EM13" i="1"/>
  <c r="HV25" i="1"/>
  <c r="EX13" i="1"/>
  <c r="LJ19" i="1"/>
  <c r="JB25" i="1"/>
  <c r="KE25" i="1"/>
  <c r="CY25" i="1"/>
  <c r="EZ19" i="1"/>
  <c r="EA13" i="1"/>
  <c r="CN19" i="1"/>
  <c r="CU25" i="1"/>
  <c r="FE13" i="1"/>
  <c r="AY19" i="1"/>
  <c r="HK19" i="1"/>
  <c r="GO13" i="1"/>
  <c r="KS31" i="1"/>
  <c r="HL31" i="1"/>
  <c r="KO13" i="1"/>
  <c r="GI19" i="1"/>
  <c r="ET25" i="1"/>
  <c r="FQ13" i="1"/>
  <c r="HK31" i="1"/>
  <c r="CG25" i="1"/>
  <c r="JZ19" i="1"/>
  <c r="JD13" i="1"/>
  <c r="CU31" i="1"/>
  <c r="GI31" i="1"/>
  <c r="BJ19" i="1"/>
  <c r="HV13" i="1"/>
  <c r="KV31" i="1"/>
  <c r="HU25" i="1"/>
  <c r="HX31" i="1"/>
  <c r="EW13" i="1"/>
  <c r="BT19" i="1"/>
  <c r="JV31" i="1"/>
  <c r="AO19" i="1"/>
  <c r="KW19" i="1"/>
  <c r="GV13" i="1"/>
  <c r="EY19" i="1"/>
  <c r="FH19" i="1"/>
  <c r="CU13" i="1"/>
  <c r="FE31" i="1"/>
  <c r="FF19" i="1"/>
  <c r="CN13" i="1"/>
  <c r="DG25" i="1"/>
  <c r="CX13" i="1"/>
  <c r="KE19" i="1"/>
  <c r="AL31" i="1"/>
  <c r="AM19" i="1"/>
  <c r="EA19" i="1"/>
  <c r="CX25" i="1"/>
  <c r="AL13" i="1"/>
  <c r="EM19" i="1"/>
  <c r="HL19" i="1"/>
  <c r="ES19" i="1"/>
  <c r="CK25" i="1"/>
  <c r="M31" i="1"/>
  <c r="KE13" i="1"/>
  <c r="CP19" i="1"/>
  <c r="IK19" i="1"/>
  <c r="DP13" i="1"/>
  <c r="GI13" i="1"/>
  <c r="ES13" i="1"/>
  <c r="CK13" i="1"/>
  <c r="HX19" i="1"/>
  <c r="HR13" i="1"/>
  <c r="BK31" i="1"/>
  <c r="AD13" i="1"/>
  <c r="LP19" i="1"/>
  <c r="LP20" i="1" s="1"/>
  <c r="EI19" i="1"/>
  <c r="EH19" i="1"/>
  <c r="LB25" i="1"/>
  <c r="GL31" i="1"/>
  <c r="HM13" i="1"/>
  <c r="LD19" i="1"/>
  <c r="KX31" i="1"/>
  <c r="HQ31" i="1"/>
  <c r="HQ32" i="1" s="1"/>
  <c r="HO14" i="6" s="1" a="1"/>
  <c r="HO14" i="6" s="1"/>
  <c r="CL13" i="1"/>
  <c r="EE25" i="1"/>
  <c r="KR31" i="1"/>
  <c r="BQ25" i="1"/>
  <c r="AU19" i="1"/>
  <c r="IG25" i="1"/>
  <c r="FX13" i="1"/>
  <c r="KN31" i="1"/>
  <c r="AA19" i="1"/>
  <c r="AA20" i="1" s="1"/>
  <c r="HS13" i="1"/>
  <c r="EQ19" i="1"/>
  <c r="IL31" i="1"/>
  <c r="DA19" i="1"/>
  <c r="JH13" i="1"/>
  <c r="IV19" i="1"/>
  <c r="IV20" i="1" s="1"/>
  <c r="EL31" i="1"/>
  <c r="FP31" i="1"/>
  <c r="GE13" i="1"/>
  <c r="HH31" i="1"/>
  <c r="LQ19" i="1"/>
  <c r="EF13" i="1"/>
  <c r="GZ13" i="1"/>
  <c r="DR13" i="1"/>
  <c r="FJ31" i="1"/>
  <c r="GT13" i="1"/>
  <c r="IK25" i="1"/>
  <c r="N25" i="1"/>
  <c r="IF31" i="1"/>
  <c r="LN19" i="1"/>
  <c r="CX31" i="1"/>
  <c r="LR19" i="1"/>
  <c r="LV31" i="1"/>
  <c r="LT31" i="1"/>
  <c r="LT13" i="1"/>
  <c r="LR13" i="1"/>
  <c r="EZ13" i="1"/>
  <c r="KS19" i="1"/>
  <c r="JG25" i="1"/>
  <c r="AQ31" i="1"/>
  <c r="KU25" i="1"/>
  <c r="CO19" i="1"/>
  <c r="GV25" i="1"/>
  <c r="IP13" i="1"/>
  <c r="CP31" i="1"/>
  <c r="EZ25" i="1"/>
  <c r="FF13" i="1"/>
  <c r="DR25" i="1"/>
  <c r="BC31" i="1"/>
  <c r="CR19" i="1"/>
  <c r="M25" i="1"/>
  <c r="CY13" i="1"/>
  <c r="FF31" i="1"/>
  <c r="KF13" i="1"/>
  <c r="GD31" i="1"/>
  <c r="IP31" i="1"/>
  <c r="ER25" i="1"/>
  <c r="KO31" i="1"/>
  <c r="KQ25" i="1"/>
  <c r="DP25" i="1"/>
  <c r="FN13" i="1"/>
  <c r="IJ19" i="1"/>
  <c r="CI31" i="1"/>
  <c r="FC19" i="1"/>
  <c r="FY19" i="1"/>
  <c r="P25" i="1"/>
  <c r="GS19" i="1"/>
  <c r="CQ25" i="1"/>
  <c r="IB13" i="1"/>
  <c r="FM25" i="1"/>
  <c r="BQ19" i="1"/>
  <c r="CA31" i="1"/>
  <c r="AP25" i="1"/>
  <c r="KN19" i="1"/>
  <c r="LI13" i="1"/>
  <c r="BD13" i="1"/>
  <c r="AT19" i="1"/>
  <c r="AB13" i="1"/>
  <c r="IJ31" i="1"/>
  <c r="FY25" i="1"/>
  <c r="HC25" i="1"/>
  <c r="BW25" i="1"/>
  <c r="DW19" i="1"/>
  <c r="IL25" i="1"/>
  <c r="LE13" i="1"/>
  <c r="KY25" i="1"/>
  <c r="DN31" i="1"/>
  <c r="EF31" i="1"/>
  <c r="HE31" i="1"/>
  <c r="JI31" i="1"/>
  <c r="GN25" i="1"/>
  <c r="KW25" i="1"/>
  <c r="JG19" i="1"/>
  <c r="CK19" i="1"/>
  <c r="HV19" i="1"/>
  <c r="FL31" i="1"/>
  <c r="LJ31" i="1"/>
  <c r="BN31" i="1"/>
  <c r="LU19" i="1"/>
  <c r="LS25" i="1"/>
  <c r="LR25" i="1"/>
  <c r="LV13" i="1"/>
  <c r="E9" i="1"/>
  <c r="CO25" i="1"/>
  <c r="JX13" i="1"/>
  <c r="CN25" i="1"/>
  <c r="JR19" i="1"/>
  <c r="JK19" i="1"/>
  <c r="EW31" i="1"/>
  <c r="EW32" i="1" s="1"/>
  <c r="EU14" i="6" s="1" a="1"/>
  <c r="EU14" i="6" s="1"/>
  <c r="KP19" i="1"/>
  <c r="EY31" i="1"/>
  <c r="DP31" i="1"/>
  <c r="HP13" i="1"/>
  <c r="GI25" i="1"/>
  <c r="KC13" i="1"/>
  <c r="CG31" i="1"/>
  <c r="LL19" i="1"/>
  <c r="DS25" i="1"/>
  <c r="JY13" i="1"/>
  <c r="HX25" i="1"/>
  <c r="DC19" i="1"/>
  <c r="H25" i="1"/>
  <c r="CS31" i="1"/>
  <c r="IU31" i="1"/>
  <c r="IU32" i="1" s="1"/>
  <c r="IS14" i="6" s="1" a="1"/>
  <c r="IS14" i="6" s="1"/>
  <c r="FO25" i="1"/>
  <c r="FO26" i="1" s="1"/>
  <c r="FM13" i="6" s="1" a="1"/>
  <c r="FM13" i="6" s="1"/>
  <c r="BX13" i="1"/>
  <c r="DB13" i="1"/>
  <c r="AC31" i="1"/>
  <c r="IM31" i="1"/>
  <c r="HQ25" i="1"/>
  <c r="HQ26" i="1" s="1"/>
  <c r="HO13" i="6" s="1" a="1"/>
  <c r="HO13" i="6" s="1"/>
  <c r="HR31" i="1"/>
  <c r="GC25" i="1"/>
  <c r="KR19" i="1"/>
  <c r="BM31" i="1"/>
  <c r="BB31" i="1"/>
  <c r="JA13" i="1"/>
  <c r="CC19" i="1"/>
  <c r="EH31" i="1"/>
  <c r="LA13" i="1"/>
  <c r="AJ31" i="1"/>
  <c r="EF25" i="1"/>
  <c r="EG31" i="1"/>
  <c r="JO13" i="1"/>
  <c r="AV13" i="1"/>
  <c r="AU25" i="1"/>
  <c r="DT31" i="1"/>
  <c r="AH19" i="1"/>
  <c r="BB25" i="1"/>
  <c r="ED19" i="1"/>
  <c r="O31" i="1"/>
  <c r="O32" i="1" s="1"/>
  <c r="M14" i="6" s="1" a="1"/>
  <c r="M14" i="6" s="1"/>
  <c r="LQ31" i="1"/>
  <c r="KL19" i="1"/>
  <c r="GX19" i="1"/>
  <c r="GX20" i="1" s="1"/>
  <c r="DT13" i="1"/>
  <c r="HI13" i="1"/>
  <c r="GN19" i="1"/>
  <c r="CE13" i="1"/>
  <c r="HI19" i="1"/>
  <c r="HO13" i="1"/>
  <c r="HV31" i="1"/>
  <c r="KP31" i="1"/>
  <c r="HK25" i="1"/>
  <c r="DG19" i="1"/>
  <c r="LX31" i="1"/>
  <c r="LW31" i="1"/>
  <c r="E25" i="1"/>
  <c r="LW13" i="1"/>
  <c r="E13" i="1"/>
  <c r="JQ19" i="1"/>
  <c r="GV19" i="1"/>
  <c r="IK31" i="1"/>
  <c r="HU13" i="1"/>
  <c r="KF31" i="1"/>
  <c r="DL19" i="1"/>
  <c r="HN31" i="1"/>
  <c r="AQ19" i="1"/>
  <c r="HX13" i="1"/>
  <c r="CR25" i="1"/>
  <c r="KW13" i="1"/>
  <c r="EA25" i="1"/>
  <c r="AN13" i="1"/>
  <c r="IC25" i="1"/>
  <c r="L25" i="1"/>
  <c r="L26" i="1" s="1"/>
  <c r="J13" i="6" s="1" a="1"/>
  <c r="J13" i="6" s="1"/>
  <c r="IY25" i="1"/>
  <c r="HJ13" i="1"/>
  <c r="ER31" i="1"/>
  <c r="IC19" i="1"/>
  <c r="N31" i="1"/>
  <c r="CO31" i="1"/>
  <c r="CG19" i="1"/>
  <c r="EY25" i="1"/>
  <c r="BF31" i="1"/>
  <c r="AN19" i="1"/>
  <c r="DX31" i="1"/>
  <c r="AK31" i="1"/>
  <c r="KC31" i="1"/>
  <c r="BN25" i="1"/>
  <c r="DG13" i="1"/>
  <c r="HP31" i="1"/>
  <c r="CY31" i="1"/>
  <c r="KP13" i="1"/>
  <c r="KJ31" i="1"/>
  <c r="DR31" i="1"/>
  <c r="KF19" i="1"/>
  <c r="KU31" i="1"/>
  <c r="FN19" i="1"/>
  <c r="CT31" i="1"/>
  <c r="JM13" i="1"/>
  <c r="HF31" i="1"/>
  <c r="BD25" i="1"/>
  <c r="DK19" i="1"/>
  <c r="KX25" i="1"/>
  <c r="CA13" i="1"/>
  <c r="JW13" i="1"/>
  <c r="GY31" i="1"/>
  <c r="FC25" i="1"/>
  <c r="BD31" i="1"/>
  <c r="DI19" i="1"/>
  <c r="R19" i="1"/>
  <c r="AI31" i="1"/>
  <c r="P13" i="1"/>
  <c r="JS31" i="1"/>
  <c r="JS32" i="1" s="1"/>
  <c r="JQ14" i="6" s="1" a="1"/>
  <c r="JQ14" i="6" s="1"/>
  <c r="GB31" i="1"/>
  <c r="KY19" i="1"/>
  <c r="BR25" i="1"/>
  <c r="U25" i="1"/>
  <c r="GX31" i="1"/>
  <c r="AT31" i="1"/>
  <c r="JI25" i="1"/>
  <c r="HH13" i="1"/>
  <c r="BR31" i="1"/>
  <c r="BR32" i="1" s="1"/>
  <c r="BP14" i="6" s="1" a="1"/>
  <c r="BP14" i="6" s="1"/>
  <c r="HA13" i="1"/>
  <c r="GH13" i="1"/>
  <c r="GH20" i="1" s="1"/>
  <c r="FJ19" i="1"/>
  <c r="LL25" i="1"/>
  <c r="E8" i="1"/>
  <c r="GM31" i="1"/>
  <c r="EX31" i="1"/>
  <c r="IR19" i="1"/>
  <c r="IR20" i="1" s="1"/>
  <c r="GV31" i="1"/>
  <c r="DG31" i="1"/>
  <c r="GM25" i="1"/>
  <c r="CS19" i="1"/>
  <c r="FL13" i="1"/>
  <c r="DR19" i="1"/>
  <c r="GD13" i="1"/>
  <c r="GN31" i="1"/>
  <c r="GN32" i="1" s="1"/>
  <c r="GL14" i="6" s="1" a="1"/>
  <c r="GL14" i="6" s="1"/>
  <c r="GU13" i="1"/>
  <c r="IY31" i="1"/>
  <c r="IK13" i="1"/>
  <c r="JB31" i="1"/>
  <c r="CO13" i="1"/>
  <c r="KZ31" i="1"/>
  <c r="EY13" i="1"/>
  <c r="BP31" i="1"/>
  <c r="BJ13" i="1"/>
  <c r="KV19" i="1"/>
  <c r="JQ13" i="1"/>
  <c r="BN19" i="1"/>
  <c r="FH13" i="1"/>
  <c r="HP19" i="1"/>
  <c r="KI25" i="1"/>
  <c r="FQ31" i="1"/>
  <c r="LL13" i="1"/>
  <c r="JK13" i="1"/>
  <c r="EA31" i="1"/>
  <c r="LJ13" i="1"/>
  <c r="BC25" i="1"/>
  <c r="DX19" i="1"/>
  <c r="M13" i="1"/>
  <c r="IF25" i="1"/>
  <c r="LJ25" i="1"/>
  <c r="IC31" i="1"/>
  <c r="LH13" i="1"/>
  <c r="HJ31" i="1"/>
  <c r="JB13" i="1"/>
  <c r="JK25" i="1"/>
  <c r="BO25" i="1"/>
  <c r="EM25" i="1"/>
  <c r="EX19" i="1"/>
  <c r="HT19" i="1"/>
  <c r="IY19" i="1"/>
  <c r="IP25" i="1"/>
  <c r="AL19" i="1"/>
  <c r="GO25" i="1"/>
  <c r="KJ25" i="1"/>
  <c r="JR13" i="1"/>
  <c r="DL13" i="1"/>
  <c r="LN25" i="1"/>
  <c r="JG31" i="1"/>
  <c r="JY19" i="1"/>
  <c r="FE19" i="1"/>
  <c r="KJ19" i="1"/>
  <c r="AY31" i="1"/>
  <c r="HN13" i="1"/>
  <c r="JY25" i="1"/>
  <c r="AN31" i="1"/>
  <c r="GA13" i="1"/>
  <c r="DL31" i="1"/>
  <c r="BU25" i="1"/>
  <c r="ER19" i="1"/>
  <c r="N13" i="1"/>
  <c r="BF13" i="1"/>
  <c r="CR13" i="1"/>
  <c r="JX25" i="1"/>
  <c r="HU19" i="1"/>
  <c r="JD19" i="1"/>
  <c r="LH31" i="1"/>
  <c r="HT31" i="1"/>
  <c r="DS13" i="1"/>
  <c r="IP19" i="1"/>
  <c r="DB25" i="1"/>
  <c r="EL13" i="1"/>
  <c r="HL13" i="1"/>
  <c r="LU25" i="1"/>
  <c r="IY13" i="1"/>
  <c r="GT31" i="1"/>
  <c r="DL25" i="1"/>
  <c r="BJ31" i="1"/>
  <c r="EX25" i="1"/>
  <c r="IF13" i="1"/>
  <c r="BS19" i="1"/>
  <c r="BC13" i="1"/>
  <c r="KU13" i="1"/>
  <c r="JE25" i="1"/>
  <c r="JB19" i="1"/>
  <c r="FF25" i="1"/>
  <c r="GD25" i="1"/>
  <c r="JZ25" i="1"/>
  <c r="FL25" i="1"/>
  <c r="AN25" i="1"/>
  <c r="GM13" i="1"/>
  <c r="EW19" i="1"/>
  <c r="EW20" i="1" s="1"/>
  <c r="N19" i="1"/>
  <c r="IE13" i="1"/>
  <c r="IC13" i="1"/>
  <c r="KL25" i="1"/>
  <c r="AG25" i="1"/>
  <c r="LV19" i="1"/>
  <c r="HO19" i="1"/>
  <c r="DS31" i="1"/>
  <c r="CP13" i="1"/>
  <c r="IX25" i="1"/>
  <c r="DS19" i="1"/>
  <c r="DP19" i="1"/>
  <c r="DP20" i="1" s="1"/>
  <c r="DX13" i="1"/>
  <c r="FS13" i="1"/>
  <c r="JE19" i="1"/>
  <c r="KJ13" i="1"/>
  <c r="CX19" i="1"/>
  <c r="JX19" i="1"/>
  <c r="HJ19" i="1"/>
  <c r="LH25" i="1"/>
  <c r="ER13" i="1"/>
  <c r="AL25" i="1"/>
  <c r="ED31" i="1"/>
  <c r="CM19" i="1"/>
  <c r="X25" i="1"/>
  <c r="GA31" i="1"/>
  <c r="LY25" i="1"/>
  <c r="JD25" i="1"/>
  <c r="CY19" i="1"/>
  <c r="CK31" i="1"/>
  <c r="AQ25" i="1"/>
  <c r="HT25" i="1"/>
  <c r="GT19" i="1"/>
  <c r="BL25" i="1"/>
  <c r="FJ13" i="1"/>
  <c r="FE25" i="1"/>
  <c r="HP25" i="1"/>
  <c r="ED13" i="1"/>
  <c r="IF19" i="1"/>
  <c r="DX25" i="1"/>
  <c r="KZ19" i="1"/>
  <c r="LU13" i="1"/>
  <c r="KP25" i="1"/>
  <c r="JR31" i="1"/>
  <c r="DC31" i="1"/>
  <c r="HO31" i="1"/>
  <c r="M19" i="1"/>
  <c r="KI19" i="1"/>
  <c r="HU31" i="1"/>
  <c r="IR25" i="1"/>
  <c r="IR26" i="1" s="1"/>
  <c r="IP13" i="6" s="1" a="1"/>
  <c r="IP13" i="6" s="1"/>
  <c r="KZ13" i="1"/>
  <c r="JG13" i="1"/>
  <c r="JY31" i="1"/>
  <c r="CP25" i="1"/>
  <c r="EC31" i="1"/>
  <c r="BJ25" i="1"/>
  <c r="HJ25" i="1"/>
  <c r="KO25" i="1"/>
  <c r="LL31" i="1"/>
  <c r="FH31" i="1"/>
  <c r="EW25" i="1"/>
  <c r="DQ31" i="1"/>
  <c r="CE19" i="1"/>
  <c r="FH25" i="1"/>
  <c r="GD19" i="1"/>
  <c r="GD20" i="1" s="1"/>
  <c r="LY13" i="1"/>
  <c r="BN13" i="1"/>
  <c r="BL31" i="1"/>
  <c r="KH31" i="1"/>
  <c r="DU25" i="1"/>
  <c r="JX31" i="1"/>
  <c r="HL25" i="1"/>
  <c r="LN13" i="1"/>
  <c r="BL19" i="1"/>
  <c r="GO31" i="1"/>
  <c r="AQ13" i="1"/>
  <c r="LG13" i="1"/>
  <c r="FK19" i="1"/>
  <c r="JW31" i="1"/>
  <c r="EQ31" i="1"/>
  <c r="IQ19" i="1"/>
  <c r="BM13" i="1"/>
  <c r="CJ19" i="1"/>
  <c r="FU13" i="1"/>
  <c r="GJ13" i="1"/>
  <c r="JT19" i="1"/>
  <c r="LF31" i="1"/>
  <c r="FK25" i="1"/>
  <c r="DD25" i="1"/>
  <c r="ID19" i="1"/>
  <c r="FK31" i="1"/>
  <c r="GQ13" i="1"/>
  <c r="DD13" i="1"/>
  <c r="IE25" i="1"/>
  <c r="IW31" i="1"/>
  <c r="KK19" i="1"/>
  <c r="DD19" i="1"/>
  <c r="IE19" i="1"/>
  <c r="EQ25" i="1"/>
  <c r="EQ26" i="1" s="1"/>
  <c r="EO13" i="6" s="1" a="1"/>
  <c r="EO13" i="6" s="1"/>
  <c r="EU19" i="1"/>
  <c r="GJ31" i="1"/>
  <c r="JW25" i="1"/>
  <c r="F13" i="1"/>
  <c r="F31" i="1"/>
  <c r="FU19" i="1"/>
  <c r="IE31" i="1"/>
  <c r="FU31" i="1"/>
  <c r="LO31" i="1"/>
  <c r="LF25" i="1"/>
  <c r="KI13" i="1"/>
  <c r="LF19" i="1"/>
  <c r="JO19" i="1"/>
  <c r="LF13" i="1"/>
  <c r="KY13" i="1"/>
  <c r="E28" i="1"/>
  <c r="H20" i="6" s="1" a="1"/>
  <c r="H20" i="6" s="1"/>
  <c r="E22" i="1"/>
  <c r="E20" i="6" s="1" a="1"/>
  <c r="E20" i="6" s="1"/>
  <c r="DD31" i="1"/>
  <c r="FU25" i="1"/>
  <c r="IW25" i="1"/>
  <c r="BG25" i="1"/>
  <c r="KI31" i="1"/>
  <c r="KO19" i="1"/>
  <c r="EL25" i="1"/>
  <c r="AJ32" i="1" l="1"/>
  <c r="AH14" i="6" s="1" a="1"/>
  <c r="AH14" i="6" s="1"/>
  <c r="DK26" i="1"/>
  <c r="DI13" i="6" s="1" a="1"/>
  <c r="DI13" i="6" s="1"/>
  <c r="IO26" i="1"/>
  <c r="IM13" i="6" s="1" a="1"/>
  <c r="IM13" i="6" s="1"/>
  <c r="DK20" i="1"/>
  <c r="KC26" i="1"/>
  <c r="KA13" i="6" s="1" a="1"/>
  <c r="KA13" i="6" s="1"/>
  <c r="JC26" i="1"/>
  <c r="JA13" i="6" s="1" a="1"/>
  <c r="JA13" i="6" s="1"/>
  <c r="BS20" i="1"/>
  <c r="H26" i="1"/>
  <c r="F13" i="6" s="1" a="1"/>
  <c r="F13" i="6" s="1"/>
  <c r="V20" i="1"/>
  <c r="V32" i="1"/>
  <c r="T14" i="6" s="1" a="1"/>
  <c r="T14" i="6" s="1"/>
  <c r="CC32" i="1"/>
  <c r="CA14" i="6" s="1" a="1"/>
  <c r="CA14" i="6" s="1"/>
  <c r="CC20" i="1"/>
  <c r="LO20" i="1"/>
  <c r="LD20" i="1"/>
  <c r="CC26" i="1"/>
  <c r="CA13" i="6" s="1" a="1"/>
  <c r="CA13" i="6" s="1"/>
  <c r="AP32" i="1"/>
  <c r="AN14" i="6" s="1" a="1"/>
  <c r="AN14" i="6" s="1"/>
  <c r="AY32" i="1"/>
  <c r="AW14" i="6" s="1" a="1"/>
  <c r="AW14" i="6" s="1"/>
  <c r="BO26" i="1"/>
  <c r="BM13" i="6" s="1" a="1"/>
  <c r="BM13" i="6" s="1"/>
  <c r="GU20" i="1"/>
  <c r="JM32" i="1"/>
  <c r="JK14" i="6" s="1" a="1"/>
  <c r="JK14" i="6" s="1"/>
  <c r="AG26" i="1"/>
  <c r="AE13" i="6" s="1" a="1"/>
  <c r="AE13" i="6" s="1"/>
  <c r="JV32" i="1"/>
  <c r="JT14" i="6" s="1" a="1"/>
  <c r="JT14" i="6" s="1"/>
  <c r="EF20" i="1"/>
  <c r="R20" i="1"/>
  <c r="CF20" i="1"/>
  <c r="LK20" i="1"/>
  <c r="AG20" i="1"/>
  <c r="BY26" i="1"/>
  <c r="BW13" i="6" s="1" a="1"/>
  <c r="BW13" i="6" s="1"/>
  <c r="DN32" i="1"/>
  <c r="DL14" i="6" s="1" a="1"/>
  <c r="DL14" i="6" s="1"/>
  <c r="AG32" i="1"/>
  <c r="AE14" i="6" s="1" a="1"/>
  <c r="AE14" i="6" s="1"/>
  <c r="LK26" i="1"/>
  <c r="JV20" i="1"/>
  <c r="EU20" i="1"/>
  <c r="AP26" i="1"/>
  <c r="AN13" i="6" s="1" a="1"/>
  <c r="AN13" i="6" s="1"/>
  <c r="BY20" i="1"/>
  <c r="R26" i="1"/>
  <c r="P13" i="6" s="1" a="1"/>
  <c r="P13" i="6" s="1"/>
  <c r="LK32" i="1"/>
  <c r="DY26" i="1"/>
  <c r="DW13" i="6" s="1" a="1"/>
  <c r="DW13" i="6" s="1"/>
  <c r="JQ32" i="1"/>
  <c r="JO14" i="6" s="1" a="1"/>
  <c r="JO14" i="6" s="1"/>
  <c r="DU26" i="1"/>
  <c r="DS13" i="6" s="1" a="1"/>
  <c r="DS13" i="6" s="1"/>
  <c r="FY26" i="1"/>
  <c r="FW13" i="6" s="1" a="1"/>
  <c r="FW13" i="6" s="1"/>
  <c r="DJ32" i="1"/>
  <c r="DH14" i="6" s="1" a="1"/>
  <c r="DH14" i="6" s="1"/>
  <c r="DJ26" i="1"/>
  <c r="DH13" i="6" s="1" a="1"/>
  <c r="DH13" i="6" s="1"/>
  <c r="KO26" i="1"/>
  <c r="KM13" i="6" s="1" a="1"/>
  <c r="KM13" i="6" s="1"/>
  <c r="BP32" i="1"/>
  <c r="BN14" i="6" s="1" a="1"/>
  <c r="BN14" i="6" s="1"/>
  <c r="LQ32" i="1"/>
  <c r="IM26" i="1"/>
  <c r="IK13" i="6" s="1" a="1"/>
  <c r="IK13" i="6" s="1"/>
  <c r="FY32" i="1"/>
  <c r="FW14" i="6" s="1" a="1"/>
  <c r="FW14" i="6" s="1"/>
  <c r="BP26" i="1"/>
  <c r="BN13" i="6" s="1" a="1"/>
  <c r="BN13" i="6" s="1"/>
  <c r="IM20" i="1"/>
  <c r="DJ20" i="1"/>
  <c r="IM32" i="1"/>
  <c r="IK14" i="6" s="1" a="1"/>
  <c r="IK14" i="6" s="1"/>
  <c r="FY20" i="1"/>
  <c r="DU32" i="1"/>
  <c r="DS14" i="6" s="1" a="1"/>
  <c r="DS14" i="6" s="1"/>
  <c r="DA20" i="1"/>
  <c r="LS32" i="1"/>
  <c r="EE26" i="1"/>
  <c r="EC13" i="6" s="1" a="1"/>
  <c r="EC13" i="6" s="1"/>
  <c r="LP32" i="1"/>
  <c r="FF26" i="1"/>
  <c r="FD13" i="6" s="1" a="1"/>
  <c r="FD13" i="6" s="1"/>
  <c r="EQ20" i="1"/>
  <c r="LQ20" i="1"/>
  <c r="HW32" i="1"/>
  <c r="HU14" i="6" s="1" a="1"/>
  <c r="HU14" i="6" s="1"/>
  <c r="O26" i="1"/>
  <c r="M13" i="6" s="1" a="1"/>
  <c r="M13" i="6" s="1"/>
  <c r="Y26" i="1"/>
  <c r="W13" i="6" s="1" a="1"/>
  <c r="W13" i="6" s="1"/>
  <c r="IX26" i="1"/>
  <c r="IV13" i="6" s="1" a="1"/>
  <c r="IV13" i="6" s="1"/>
  <c r="W20" i="1"/>
  <c r="GC20" i="1"/>
  <c r="LL32" i="1"/>
  <c r="CG20" i="1"/>
  <c r="FM26" i="1"/>
  <c r="FK13" i="6" s="1" a="1"/>
  <c r="FK13" i="6" s="1"/>
  <c r="EW26" i="1"/>
  <c r="EU13" i="6" s="1" a="1"/>
  <c r="EU13" i="6" s="1"/>
  <c r="EA32" i="1"/>
  <c r="DY14" i="6" s="1" a="1"/>
  <c r="DY14" i="6" s="1"/>
  <c r="LO32" i="1"/>
  <c r="JZ26" i="1"/>
  <c r="JX13" i="6" s="1" a="1"/>
  <c r="JX13" i="6" s="1"/>
  <c r="BB32" i="1"/>
  <c r="AZ14" i="6" s="1" a="1"/>
  <c r="AZ14" i="6" s="1"/>
  <c r="BQ20" i="1"/>
  <c r="CI32" i="1"/>
  <c r="CG14" i="6" s="1" a="1"/>
  <c r="CG14" i="6" s="1"/>
  <c r="HZ32" i="1"/>
  <c r="HX14" i="6" s="1" a="1"/>
  <c r="HX14" i="6" s="1"/>
  <c r="GK32" i="1"/>
  <c r="GI14" i="6" s="1" a="1"/>
  <c r="GI14" i="6" s="1"/>
  <c r="LQ26" i="1"/>
  <c r="AI32" i="1"/>
  <c r="AG14" i="6" s="1" a="1"/>
  <c r="AG14" i="6" s="1"/>
  <c r="BB26" i="1"/>
  <c r="AZ13" i="6" s="1" a="1"/>
  <c r="AZ13" i="6" s="1"/>
  <c r="LS26" i="1"/>
  <c r="EN20" i="1"/>
  <c r="HW26" i="1"/>
  <c r="HU13" i="6" s="1" a="1"/>
  <c r="HU13" i="6" s="1"/>
  <c r="BA32" i="1"/>
  <c r="AY14" i="6" s="1" a="1"/>
  <c r="AY14" i="6" s="1"/>
  <c r="BA26" i="1"/>
  <c r="AY13" i="6" s="1" a="1"/>
  <c r="AY13" i="6" s="1"/>
  <c r="JD26" i="1"/>
  <c r="JB13" i="6" s="1" a="1"/>
  <c r="JB13" i="6" s="1"/>
  <c r="AN32" i="1"/>
  <c r="AL14" i="6" s="1" a="1"/>
  <c r="AL14" i="6" s="1"/>
  <c r="KV20" i="1"/>
  <c r="HC26" i="1"/>
  <c r="HA13" i="6" s="1" a="1"/>
  <c r="HA13" i="6" s="1"/>
  <c r="EM20" i="1"/>
  <c r="EM26" i="1"/>
  <c r="EK13" i="6" s="1" a="1"/>
  <c r="EK13" i="6" s="1"/>
  <c r="CU26" i="1"/>
  <c r="CS13" i="6" s="1" a="1"/>
  <c r="CS13" i="6" s="1"/>
  <c r="KJ26" i="1"/>
  <c r="KH13" i="6" s="1" a="1"/>
  <c r="KH13" i="6" s="1"/>
  <c r="FN20" i="1"/>
  <c r="EZ26" i="1"/>
  <c r="EX13" i="6" s="1" a="1"/>
  <c r="EX13" i="6" s="1"/>
  <c r="EA20" i="1"/>
  <c r="GV20" i="1"/>
  <c r="EA26" i="1"/>
  <c r="DY13" i="6" s="1" a="1"/>
  <c r="DY13" i="6" s="1"/>
  <c r="BI20" i="1"/>
  <c r="DQ32" i="1"/>
  <c r="DO14" i="6" s="1" a="1"/>
  <c r="DO14" i="6" s="1"/>
  <c r="DW20" i="1"/>
  <c r="GS20" i="1"/>
  <c r="GR26" i="1"/>
  <c r="GP13" i="6" s="1" a="1"/>
  <c r="GP13" i="6" s="1"/>
  <c r="HF32" i="1"/>
  <c r="HD14" i="6" s="1" a="1"/>
  <c r="HD14" i="6" s="1"/>
  <c r="FK32" i="1"/>
  <c r="FI14" i="6" s="1" a="1"/>
  <c r="FI14" i="6" s="1"/>
  <c r="JS26" i="1"/>
  <c r="JQ13" i="6" s="1" a="1"/>
  <c r="JQ13" i="6" s="1"/>
  <c r="AR32" i="1"/>
  <c r="AP14" i="6" s="1" a="1"/>
  <c r="AP14" i="6" s="1"/>
  <c r="BK32" i="1"/>
  <c r="BI14" i="6" s="1" a="1"/>
  <c r="BI14" i="6" s="1"/>
  <c r="IZ32" i="1"/>
  <c r="IX14" i="6" s="1" a="1"/>
  <c r="IX14" i="6" s="1"/>
  <c r="AK26" i="1"/>
  <c r="AI13" i="6" s="1" a="1"/>
  <c r="AI13" i="6" s="1"/>
  <c r="FK26" i="1"/>
  <c r="FI13" i="6" s="1" a="1"/>
  <c r="FI13" i="6" s="1"/>
  <c r="CQ20" i="1"/>
  <c r="IW26" i="1"/>
  <c r="IU13" i="6" s="1" a="1"/>
  <c r="IU13" i="6" s="1"/>
  <c r="CQ26" i="1"/>
  <c r="CO13" i="6" s="1" a="1"/>
  <c r="CO13" i="6" s="1"/>
  <c r="CS26" i="1"/>
  <c r="CQ13" i="6" s="1" a="1"/>
  <c r="CQ13" i="6" s="1"/>
  <c r="GI26" i="1"/>
  <c r="GG13" i="6" s="1" a="1"/>
  <c r="GG13" i="6" s="1"/>
  <c r="GB32" i="1"/>
  <c r="FZ14" i="6" s="1" a="1"/>
  <c r="FZ14" i="6" s="1"/>
  <c r="IZ26" i="1"/>
  <c r="IX13" i="6" s="1" a="1"/>
  <c r="IX13" i="6" s="1"/>
  <c r="IW32" i="1"/>
  <c r="IU14" i="6" s="1" a="1"/>
  <c r="IU14" i="6" s="1"/>
  <c r="JE20" i="1"/>
  <c r="KX26" i="1"/>
  <c r="KV13" i="6" s="1" a="1"/>
  <c r="KV13" i="6" s="1"/>
  <c r="AA26" i="1"/>
  <c r="Y13" i="6" s="1" a="1"/>
  <c r="Y13" i="6" s="1"/>
  <c r="JT20" i="1"/>
  <c r="FK20" i="1"/>
  <c r="CS20" i="1"/>
  <c r="GX32" i="1"/>
  <c r="GV14" i="6" s="1" a="1"/>
  <c r="GV14" i="6" s="1"/>
  <c r="AK32" i="1"/>
  <c r="AI14" i="6" s="1" a="1"/>
  <c r="AI14" i="6" s="1"/>
  <c r="CS32" i="1"/>
  <c r="CQ14" i="6" s="1" a="1"/>
  <c r="CQ14" i="6" s="1"/>
  <c r="GN26" i="1"/>
  <c r="GL13" i="6" s="1" a="1"/>
  <c r="GL13" i="6" s="1"/>
  <c r="CQ32" i="1"/>
  <c r="CO14" i="6" s="1" a="1"/>
  <c r="CO14" i="6" s="1"/>
  <c r="DR26" i="1"/>
  <c r="DP13" i="6" s="1" a="1"/>
  <c r="DP13" i="6" s="1"/>
  <c r="FE20" i="1"/>
  <c r="AL20" i="1"/>
  <c r="AN20" i="1"/>
  <c r="AU26" i="1"/>
  <c r="AS13" i="6" s="1" a="1"/>
  <c r="AS13" i="6" s="1"/>
  <c r="BL26" i="1"/>
  <c r="BJ13" i="6" s="1" a="1"/>
  <c r="BJ13" i="6" s="1"/>
  <c r="X26" i="1"/>
  <c r="V13" i="6" s="1" a="1"/>
  <c r="V13" i="6" s="1"/>
  <c r="GW32" i="1"/>
  <c r="GU14" i="6" s="1" a="1"/>
  <c r="GU14" i="6" s="1"/>
  <c r="DU20" i="1"/>
  <c r="BL20" i="1"/>
  <c r="CU32" i="1"/>
  <c r="CS14" i="6" s="1" a="1"/>
  <c r="CS14" i="6" s="1"/>
  <c r="FW20" i="1"/>
  <c r="AN26" i="1"/>
  <c r="AL13" i="6" s="1" a="1"/>
  <c r="AL13" i="6" s="1"/>
  <c r="JD20" i="1"/>
  <c r="IH20" i="1"/>
  <c r="AU20" i="1"/>
  <c r="G32" i="1"/>
  <c r="E14" i="6" s="1" a="1"/>
  <c r="E14" i="6" s="1"/>
  <c r="DO32" i="1"/>
  <c r="DM14" i="6" s="1" a="1"/>
  <c r="DM14" i="6" s="1"/>
  <c r="KH32" i="1"/>
  <c r="KF14" i="6" s="1" a="1"/>
  <c r="KF14" i="6" s="1"/>
  <c r="IP20" i="1"/>
  <c r="GY32" i="1"/>
  <c r="GW14" i="6" s="1" a="1"/>
  <c r="GW14" i="6" s="1"/>
  <c r="BO20" i="1"/>
  <c r="AJ20" i="1"/>
  <c r="BT20" i="1"/>
  <c r="BK26" i="1"/>
  <c r="BI13" i="6" s="1" a="1"/>
  <c r="BI13" i="6" s="1"/>
  <c r="GT20" i="1"/>
  <c r="CX20" i="1"/>
  <c r="EG32" i="1"/>
  <c r="EE14" i="6" s="1" a="1"/>
  <c r="EE14" i="6" s="1"/>
  <c r="EQ32" i="1"/>
  <c r="EO14" i="6" s="1" a="1"/>
  <c r="EO14" i="6" s="1"/>
  <c r="FS20" i="1"/>
  <c r="FE32" i="1"/>
  <c r="FC14" i="6" s="1" a="1"/>
  <c r="FC14" i="6" s="1"/>
  <c r="HT26" i="1"/>
  <c r="HR13" i="6" s="1" a="1"/>
  <c r="HR13" i="6" s="1"/>
  <c r="N20" i="1"/>
  <c r="AR26" i="1"/>
  <c r="AP13" i="6" s="1" a="1"/>
  <c r="AP13" i="6" s="1"/>
  <c r="KB20" i="1"/>
  <c r="CK32" i="1"/>
  <c r="CI14" i="6" s="1" a="1"/>
  <c r="CI14" i="6" s="1"/>
  <c r="AL26" i="1"/>
  <c r="AJ13" i="6" s="1" a="1"/>
  <c r="AJ13" i="6" s="1"/>
  <c r="KQ26" i="1"/>
  <c r="KO13" i="6" s="1" a="1"/>
  <c r="KO13" i="6" s="1"/>
  <c r="GX26" i="1"/>
  <c r="GV13" i="6" s="1" a="1"/>
  <c r="GV13" i="6" s="1"/>
  <c r="BO32" i="1"/>
  <c r="BM14" i="6" s="1" a="1"/>
  <c r="BM14" i="6" s="1"/>
  <c r="DE26" i="1"/>
  <c r="DC13" i="6" s="1" a="1"/>
  <c r="DC13" i="6" s="1"/>
  <c r="DR32" i="1"/>
  <c r="DP14" i="6" s="1" a="1"/>
  <c r="DP14" i="6" s="1"/>
  <c r="DC32" i="1"/>
  <c r="DA14" i="6" s="1" a="1"/>
  <c r="DA14" i="6" s="1"/>
  <c r="U26" i="1"/>
  <c r="S13" i="6" s="1" a="1"/>
  <c r="S13" i="6" s="1"/>
  <c r="DI20" i="1"/>
  <c r="HK26" i="1"/>
  <c r="HI13" i="6" s="1" a="1"/>
  <c r="HI13" i="6" s="1"/>
  <c r="CN26" i="1"/>
  <c r="CL13" i="6" s="1" a="1"/>
  <c r="CL13" i="6" s="1"/>
  <c r="HK32" i="1"/>
  <c r="HI14" i="6" s="1" a="1"/>
  <c r="HI14" i="6" s="1"/>
  <c r="HK20" i="1"/>
  <c r="AX32" i="1"/>
  <c r="AV14" i="6" s="1" a="1"/>
  <c r="AV14" i="6" s="1"/>
  <c r="FD20" i="1"/>
  <c r="FO20" i="1"/>
  <c r="IO20" i="1"/>
  <c r="IV26" i="1"/>
  <c r="IT13" i="6" s="1" a="1"/>
  <c r="IT13" i="6" s="1"/>
  <c r="KM32" i="1"/>
  <c r="KK14" i="6" s="1" a="1"/>
  <c r="KK14" i="6" s="1"/>
  <c r="JT26" i="1"/>
  <c r="JR13" i="6" s="1" a="1"/>
  <c r="JR13" i="6" s="1"/>
  <c r="JN32" i="1"/>
  <c r="JL14" i="6" s="1" a="1"/>
  <c r="JL14" i="6" s="1"/>
  <c r="LV20" i="1"/>
  <c r="HQ20" i="1"/>
  <c r="JP26" i="1"/>
  <c r="JN13" i="6" s="1" a="1"/>
  <c r="JN13" i="6" s="1"/>
  <c r="KL32" i="1"/>
  <c r="KJ14" i="6" s="1" a="1"/>
  <c r="KJ14" i="6" s="1"/>
  <c r="JE26" i="1"/>
  <c r="JC13" i="6" s="1" a="1"/>
  <c r="JC13" i="6" s="1"/>
  <c r="JS20" i="1"/>
  <c r="CP26" i="1"/>
  <c r="CN13" i="6" s="1" a="1"/>
  <c r="CN13" i="6" s="1"/>
  <c r="IP26" i="1"/>
  <c r="IN13" i="6" s="1" a="1"/>
  <c r="IN13" i="6" s="1"/>
  <c r="HR32" i="1"/>
  <c r="HP14" i="6" s="1" a="1"/>
  <c r="HP14" i="6" s="1"/>
  <c r="GV26" i="1"/>
  <c r="GT13" i="6" s="1" a="1"/>
  <c r="GT13" i="6" s="1"/>
  <c r="EH20" i="1"/>
  <c r="DF26" i="1"/>
  <c r="DD13" i="6" s="1" a="1"/>
  <c r="DD13" i="6" s="1"/>
  <c r="FV32" i="1"/>
  <c r="FT14" i="6" s="1" a="1"/>
  <c r="FT14" i="6" s="1"/>
  <c r="DF32" i="1"/>
  <c r="DD14" i="6" s="1" a="1"/>
  <c r="DD14" i="6" s="1"/>
  <c r="EB20" i="1"/>
  <c r="U32" i="1"/>
  <c r="S14" i="6" s="1" a="1"/>
  <c r="S14" i="6" s="1"/>
  <c r="AT20" i="1"/>
  <c r="JV26" i="1"/>
  <c r="JT13" i="6" s="1" a="1"/>
  <c r="JT13" i="6" s="1"/>
  <c r="FO32" i="1"/>
  <c r="FM14" i="6" s="1" a="1"/>
  <c r="FM14" i="6" s="1"/>
  <c r="CT32" i="1"/>
  <c r="CR14" i="6" s="1" a="1"/>
  <c r="CR14" i="6" s="1"/>
  <c r="EY26" i="1"/>
  <c r="EW13" i="6" s="1" a="1"/>
  <c r="EW13" i="6" s="1"/>
  <c r="IG26" i="1"/>
  <c r="IE13" i="6" s="1" a="1"/>
  <c r="IE13" i="6" s="1"/>
  <c r="AT26" i="1"/>
  <c r="AR13" i="6" s="1" a="1"/>
  <c r="AR13" i="6" s="1"/>
  <c r="EU26" i="1"/>
  <c r="ES13" i="6" s="1" a="1"/>
  <c r="ES13" i="6" s="1"/>
  <c r="AX26" i="1"/>
  <c r="AV13" i="6" s="1" a="1"/>
  <c r="AV13" i="6" s="1"/>
  <c r="JX26" i="1"/>
  <c r="JV13" i="6" s="1" a="1"/>
  <c r="JV13" i="6" s="1"/>
  <c r="HY20" i="1"/>
  <c r="K26" i="1"/>
  <c r="I13" i="6" s="1" a="1"/>
  <c r="I13" i="6" s="1"/>
  <c r="CV26" i="1"/>
  <c r="CT13" i="6" s="1" a="1"/>
  <c r="CT13" i="6" s="1"/>
  <c r="JF26" i="1"/>
  <c r="JD13" i="6" s="1" a="1"/>
  <c r="JD13" i="6" s="1"/>
  <c r="AP20" i="1"/>
  <c r="BY32" i="1"/>
  <c r="BW14" i="6" s="1" a="1"/>
  <c r="BW14" i="6" s="1"/>
  <c r="HU32" i="1"/>
  <c r="HS14" i="6" s="1" a="1"/>
  <c r="HS14" i="6" s="1"/>
  <c r="KS20" i="1"/>
  <c r="AE26" i="1"/>
  <c r="AC13" i="6" s="1" a="1"/>
  <c r="AC13" i="6" s="1"/>
  <c r="HJ32" i="1"/>
  <c r="HH14" i="6" s="1" a="1"/>
  <c r="HH14" i="6" s="1"/>
  <c r="HP26" i="1"/>
  <c r="HN13" i="6" s="1" a="1"/>
  <c r="HN13" i="6" s="1"/>
  <c r="CY20" i="1"/>
  <c r="HU20" i="1"/>
  <c r="KJ32" i="1"/>
  <c r="KH14" i="6" s="1" a="1"/>
  <c r="KH14" i="6" s="1"/>
  <c r="EH32" i="1"/>
  <c r="EF14" i="6" s="1" a="1"/>
  <c r="EF14" i="6" s="1"/>
  <c r="P26" i="1"/>
  <c r="N13" i="6" s="1" a="1"/>
  <c r="N13" i="6" s="1"/>
  <c r="KO32" i="1"/>
  <c r="KM14" i="6" s="1" a="1"/>
  <c r="KM14" i="6" s="1"/>
  <c r="EI20" i="1"/>
  <c r="LE26" i="1"/>
  <c r="LC13" i="6" s="1" a="1"/>
  <c r="LC13" i="6" s="1"/>
  <c r="CV20" i="1"/>
  <c r="IX20" i="1"/>
  <c r="JD32" i="1"/>
  <c r="JB14" i="6" s="1" a="1"/>
  <c r="JB14" i="6" s="1"/>
  <c r="AI26" i="1"/>
  <c r="AG13" i="6" s="1" a="1"/>
  <c r="AG13" i="6" s="1"/>
  <c r="AJ26" i="1"/>
  <c r="AH13" i="6" s="1" a="1"/>
  <c r="AH13" i="6" s="1"/>
  <c r="EL20" i="1"/>
  <c r="FQ20" i="1"/>
  <c r="GG20" i="1"/>
  <c r="II26" i="1"/>
  <c r="IG13" i="6" s="1" a="1"/>
  <c r="IG13" i="6" s="1"/>
  <c r="BH32" i="1"/>
  <c r="BF14" i="6" s="1" a="1"/>
  <c r="BF14" i="6" s="1"/>
  <c r="LJ32" i="1"/>
  <c r="ES32" i="1"/>
  <c r="EQ14" i="6" s="1" a="1"/>
  <c r="EQ14" i="6" s="1"/>
  <c r="AO32" i="1"/>
  <c r="AM14" i="6" s="1" a="1"/>
  <c r="AM14" i="6" s="1"/>
  <c r="JE32" i="1"/>
  <c r="JC14" i="6" s="1" a="1"/>
  <c r="JC14" i="6" s="1"/>
  <c r="DD32" i="1"/>
  <c r="DB14" i="6" s="1" a="1"/>
  <c r="DB14" i="6" s="1"/>
  <c r="CJ20" i="1"/>
  <c r="GO32" i="1"/>
  <c r="GM14" i="6" s="1" a="1"/>
  <c r="GM14" i="6" s="1"/>
  <c r="KP26" i="1"/>
  <c r="KN13" i="6" s="1" a="1"/>
  <c r="KN13" i="6" s="1"/>
  <c r="HJ20" i="1"/>
  <c r="GV32" i="1"/>
  <c r="GT14" i="6" s="1" a="1"/>
  <c r="GT14" i="6" s="1"/>
  <c r="CY32" i="1"/>
  <c r="CW14" i="6" s="1" a="1"/>
  <c r="CW14" i="6" s="1"/>
  <c r="HV32" i="1"/>
  <c r="HT14" i="6" s="1" a="1"/>
  <c r="HT14" i="6" s="1"/>
  <c r="KL20" i="1"/>
  <c r="AC32" i="1"/>
  <c r="AA14" i="6" s="1" a="1"/>
  <c r="AA14" i="6" s="1"/>
  <c r="HX26" i="1"/>
  <c r="HV13" i="6" s="1" a="1"/>
  <c r="HV13" i="6" s="1"/>
  <c r="DP32" i="1"/>
  <c r="DN14" i="6" s="1" a="1"/>
  <c r="DN14" i="6" s="1"/>
  <c r="CA32" i="1"/>
  <c r="BY14" i="6" s="1" a="1"/>
  <c r="BY14" i="6" s="1"/>
  <c r="IP32" i="1"/>
  <c r="IN14" i="6" s="1" a="1"/>
  <c r="IN14" i="6" s="1"/>
  <c r="LR20" i="1"/>
  <c r="KX32" i="1"/>
  <c r="KV14" i="6" s="1" a="1"/>
  <c r="KV14" i="6" s="1"/>
  <c r="AO20" i="1"/>
  <c r="ET26" i="1"/>
  <c r="ER13" i="6" s="1" a="1"/>
  <c r="ER13" i="6" s="1"/>
  <c r="EJ32" i="1"/>
  <c r="EH14" i="6" s="1" a="1"/>
  <c r="EH14" i="6" s="1"/>
  <c r="Q20" i="1"/>
  <c r="KR26" i="1"/>
  <c r="KP13" i="6" s="1" a="1"/>
  <c r="KP13" i="6" s="1"/>
  <c r="LB32" i="1"/>
  <c r="KZ14" i="6" s="1" a="1"/>
  <c r="KZ14" i="6" s="1"/>
  <c r="KV26" i="1"/>
  <c r="KT13" i="6" s="1" a="1"/>
  <c r="KT13" i="6" s="1"/>
  <c r="IW20" i="1"/>
  <c r="JP32" i="1"/>
  <c r="JN14" i="6" s="1" a="1"/>
  <c r="JN14" i="6" s="1"/>
  <c r="CZ32" i="1"/>
  <c r="CX14" i="6" s="1" a="1"/>
  <c r="CX14" i="6" s="1"/>
  <c r="FG26" i="1"/>
  <c r="FE13" i="6" s="1" a="1"/>
  <c r="FE13" i="6" s="1"/>
  <c r="EU32" i="1"/>
  <c r="ES14" i="6" s="1" a="1"/>
  <c r="ES14" i="6" s="1"/>
  <c r="EV32" i="1"/>
  <c r="ET14" i="6" s="1" a="1"/>
  <c r="ET14" i="6" s="1"/>
  <c r="FT32" i="1"/>
  <c r="FR14" i="6" s="1" a="1"/>
  <c r="FR14" i="6" s="1"/>
  <c r="IS20" i="1"/>
  <c r="FB26" i="1"/>
  <c r="EZ13" i="6" s="1" a="1"/>
  <c r="EZ13" i="6" s="1"/>
  <c r="IZ20" i="1"/>
  <c r="ET20" i="1"/>
  <c r="FZ26" i="1"/>
  <c r="FX13" i="6" s="1" a="1"/>
  <c r="FX13" i="6" s="1"/>
  <c r="GJ32" i="1"/>
  <c r="GH14" i="6" s="1" a="1"/>
  <c r="GH14" i="6" s="1"/>
  <c r="IE32" i="1"/>
  <c r="IC14" i="6" s="1" a="1"/>
  <c r="IC14" i="6" s="1"/>
  <c r="IE20" i="1"/>
  <c r="IG20" i="1"/>
  <c r="HY26" i="1"/>
  <c r="HW13" i="6" s="1" a="1"/>
  <c r="HW13" i="6" s="1"/>
  <c r="IT32" i="1"/>
  <c r="IR14" i="6" s="1" a="1"/>
  <c r="IR14" i="6" s="1"/>
  <c r="BZ32" i="1"/>
  <c r="BX14" i="6" s="1" a="1"/>
  <c r="BX14" i="6" s="1"/>
  <c r="DZ20" i="1"/>
  <c r="IF26" i="1"/>
  <c r="ID13" i="6" s="1" a="1"/>
  <c r="ID13" i="6" s="1"/>
  <c r="IJ32" i="1"/>
  <c r="IH14" i="6" s="1" a="1"/>
  <c r="IH14" i="6" s="1"/>
  <c r="IJ20" i="1"/>
  <c r="HV26" i="1"/>
  <c r="HT13" i="6" s="1" a="1"/>
  <c r="HT13" i="6" s="1"/>
  <c r="LX20" i="1"/>
  <c r="CB20" i="1"/>
  <c r="GS32" i="1"/>
  <c r="GQ14" i="6" s="1" a="1"/>
  <c r="GQ14" i="6" s="1"/>
  <c r="FR32" i="1"/>
  <c r="FP14" i="6" s="1" a="1"/>
  <c r="FP14" i="6" s="1"/>
  <c r="GG32" i="1"/>
  <c r="GE14" i="6" s="1" a="1"/>
  <c r="GE14" i="6" s="1"/>
  <c r="DZ32" i="1"/>
  <c r="DX14" i="6" s="1" a="1"/>
  <c r="DX14" i="6" s="1"/>
  <c r="KA20" i="1"/>
  <c r="JJ32" i="1"/>
  <c r="JH14" i="6" s="1" a="1"/>
  <c r="JH14" i="6" s="1"/>
  <c r="GR20" i="1"/>
  <c r="BE26" i="1"/>
  <c r="BC13" i="6" s="1" a="1"/>
  <c r="BC13" i="6" s="1"/>
  <c r="FR20" i="1"/>
  <c r="H20" i="1"/>
  <c r="X32" i="1"/>
  <c r="V14" i="6" s="1" a="1"/>
  <c r="V14" i="6" s="1"/>
  <c r="KK20" i="1"/>
  <c r="GF20" i="1"/>
  <c r="HC32" i="1"/>
  <c r="HA14" i="6" s="1" a="1"/>
  <c r="HA14" i="6" s="1"/>
  <c r="AC26" i="1"/>
  <c r="AA13" i="6" s="1" a="1"/>
  <c r="AA13" i="6" s="1"/>
  <c r="JL26" i="1"/>
  <c r="JJ13" i="6" s="1" a="1"/>
  <c r="JJ13" i="6" s="1"/>
  <c r="BE20" i="1"/>
  <c r="BZ20" i="1"/>
  <c r="DN20" i="1"/>
  <c r="GA32" i="1"/>
  <c r="FY14" i="6" s="1" a="1"/>
  <c r="FY14" i="6" s="1"/>
  <c r="JX20" i="1"/>
  <c r="FQ32" i="1"/>
  <c r="FO14" i="6" s="1" a="1"/>
  <c r="FO14" i="6" s="1"/>
  <c r="HP32" i="1"/>
  <c r="HN14" i="6" s="1" a="1"/>
  <c r="HN14" i="6" s="1"/>
  <c r="HJ26" i="1"/>
  <c r="HH13" i="6" s="1" a="1"/>
  <c r="HH13" i="6" s="1"/>
  <c r="KP20" i="1"/>
  <c r="KS26" i="1"/>
  <c r="KQ13" i="6" s="1" a="1"/>
  <c r="KQ13" i="6" s="1"/>
  <c r="EO32" i="1"/>
  <c r="EM14" i="6" s="1" a="1"/>
  <c r="EM14" i="6" s="1"/>
  <c r="GG26" i="1"/>
  <c r="GE13" i="6" s="1" a="1"/>
  <c r="GE13" i="6" s="1"/>
  <c r="HP20" i="1"/>
  <c r="KR20" i="1"/>
  <c r="JX32" i="1"/>
  <c r="JV14" i="6" s="1" a="1"/>
  <c r="JV14" i="6" s="1"/>
  <c r="CE20" i="1"/>
  <c r="EC32" i="1"/>
  <c r="EA14" i="6" s="1" a="1"/>
  <c r="EA14" i="6" s="1"/>
  <c r="AT32" i="1"/>
  <c r="AR14" i="6" s="1" a="1"/>
  <c r="AR14" i="6" s="1"/>
  <c r="LX32" i="1"/>
  <c r="GN20" i="1"/>
  <c r="CG32" i="1"/>
  <c r="CE14" i="6" s="1" a="1"/>
  <c r="CE14" i="6" s="1"/>
  <c r="IL26" i="1"/>
  <c r="IJ13" i="6" s="1" a="1"/>
  <c r="IJ13" i="6" s="1"/>
  <c r="DP26" i="1"/>
  <c r="DN13" i="6" s="1" a="1"/>
  <c r="DN13" i="6" s="1"/>
  <c r="LB26" i="1"/>
  <c r="KZ13" i="6" s="1" a="1"/>
  <c r="KZ13" i="6" s="1"/>
  <c r="HX32" i="1"/>
  <c r="HV14" i="6" s="1" a="1"/>
  <c r="HV14" i="6" s="1"/>
  <c r="EZ20" i="1"/>
  <c r="CU20" i="1"/>
  <c r="ID32" i="1"/>
  <c r="IB14" i="6" s="1" a="1"/>
  <c r="IB14" i="6" s="1"/>
  <c r="LE20" i="1"/>
  <c r="EM32" i="1"/>
  <c r="EK14" i="6" s="1" a="1"/>
  <c r="EK14" i="6" s="1"/>
  <c r="S32" i="1"/>
  <c r="Q14" i="6" s="1" a="1"/>
  <c r="Q14" i="6" s="1"/>
  <c r="EZ32" i="1"/>
  <c r="EX14" i="6" s="1" a="1"/>
  <c r="EX14" i="6" s="1"/>
  <c r="GB26" i="1"/>
  <c r="FZ13" i="6" s="1" a="1"/>
  <c r="FZ13" i="6" s="1"/>
  <c r="AI20" i="1"/>
  <c r="DH26" i="1"/>
  <c r="DF13" i="6" s="1" a="1"/>
  <c r="DF13" i="6" s="1"/>
  <c r="CJ26" i="1"/>
  <c r="CH13" i="6" s="1" a="1"/>
  <c r="CH13" i="6" s="1"/>
  <c r="JJ26" i="1"/>
  <c r="JH13" i="6" s="1" a="1"/>
  <c r="JH13" i="6" s="1"/>
  <c r="CZ26" i="1"/>
  <c r="CX13" i="6" s="1" a="1"/>
  <c r="CX13" i="6" s="1"/>
  <c r="BA20" i="1"/>
  <c r="DZ26" i="1"/>
  <c r="DX13" i="6" s="1" a="1"/>
  <c r="DX13" i="6" s="1"/>
  <c r="W32" i="1"/>
  <c r="U14" i="6" s="1" a="1"/>
  <c r="U14" i="6" s="1"/>
  <c r="FT20" i="1"/>
  <c r="KK26" i="1"/>
  <c r="KI13" i="6" s="1" a="1"/>
  <c r="KI13" i="6" s="1"/>
  <c r="CD26" i="1"/>
  <c r="CB13" i="6" s="1" a="1"/>
  <c r="CB13" i="6" s="1"/>
  <c r="HC20" i="1"/>
  <c r="G20" i="1"/>
  <c r="LT32" i="1"/>
  <c r="KV32" i="1"/>
  <c r="KT14" i="6" s="1" a="1"/>
  <c r="KT14" i="6" s="1"/>
  <c r="CD20" i="1"/>
  <c r="CJ32" i="1"/>
  <c r="CH14" i="6" s="1" a="1"/>
  <c r="CH14" i="6" s="1"/>
  <c r="EO20" i="1"/>
  <c r="HB32" i="1"/>
  <c r="GZ14" i="6" s="1" a="1"/>
  <c r="GZ14" i="6" s="1"/>
  <c r="AW26" i="1"/>
  <c r="AU13" i="6" s="1" a="1"/>
  <c r="AU13" i="6" s="1"/>
  <c r="BZ26" i="1"/>
  <c r="BX13" i="6" s="1" a="1"/>
  <c r="BX13" i="6" s="1"/>
  <c r="DM20" i="1"/>
  <c r="KA32" i="1"/>
  <c r="JY14" i="6" s="1" a="1"/>
  <c r="JY14" i="6" s="1"/>
  <c r="FB20" i="1"/>
  <c r="DX26" i="1"/>
  <c r="DV13" i="6" s="1" a="1"/>
  <c r="DV13" i="6" s="1"/>
  <c r="KM26" i="1"/>
  <c r="KK13" i="6" s="1" a="1"/>
  <c r="KK13" i="6" s="1"/>
  <c r="DV26" i="1"/>
  <c r="DT13" i="6" s="1" a="1"/>
  <c r="DT13" i="6" s="1"/>
  <c r="DT20" i="1"/>
  <c r="HF20" i="1"/>
  <c r="GZ20" i="1"/>
  <c r="BN32" i="1"/>
  <c r="BL14" i="6" s="1" a="1"/>
  <c r="BL14" i="6" s="1"/>
  <c r="DI32" i="1"/>
  <c r="DG14" i="6" s="1" a="1"/>
  <c r="DG14" i="6" s="1"/>
  <c r="BQ32" i="1"/>
  <c r="BO14" i="6" s="1" a="1"/>
  <c r="BO14" i="6" s="1"/>
  <c r="FA32" i="1"/>
  <c r="EY14" i="6" s="1" a="1"/>
  <c r="EY14" i="6" s="1"/>
  <c r="GP32" i="1"/>
  <c r="GN14" i="6" s="1" a="1"/>
  <c r="GN14" i="6" s="1"/>
  <c r="FD32" i="1"/>
  <c r="FB14" i="6" s="1" a="1"/>
  <c r="FB14" i="6" s="1"/>
  <c r="P32" i="1"/>
  <c r="N14" i="6" s="1" a="1"/>
  <c r="N14" i="6" s="1"/>
  <c r="CL32" i="1"/>
  <c r="CJ14" i="6" s="1" a="1"/>
  <c r="CJ14" i="6" s="1"/>
  <c r="BJ32" i="1"/>
  <c r="BH14" i="6" s="1" a="1"/>
  <c r="BH14" i="6" s="1"/>
  <c r="BN20" i="1"/>
  <c r="DL32" i="1"/>
  <c r="DJ14" i="6" s="1" a="1"/>
  <c r="DJ14" i="6" s="1"/>
  <c r="IY20" i="1"/>
  <c r="FJ20" i="1"/>
  <c r="CR26" i="1"/>
  <c r="CP13" i="6" s="1" a="1"/>
  <c r="CP13" i="6" s="1"/>
  <c r="EY32" i="1"/>
  <c r="EW14" i="6" s="1" a="1"/>
  <c r="EW14" i="6" s="1"/>
  <c r="GD32" i="1"/>
  <c r="GB14" i="6" s="1" a="1"/>
  <c r="GB14" i="6" s="1"/>
  <c r="KZ20" i="1"/>
  <c r="JB20" i="1"/>
  <c r="IC26" i="1"/>
  <c r="IA13" i="6" s="1" a="1"/>
  <c r="IA13" i="6" s="1"/>
  <c r="E26" i="1"/>
  <c r="KI32" i="1"/>
  <c r="KG14" i="6" s="1" a="1"/>
  <c r="KG14" i="6" s="1"/>
  <c r="DL26" i="1"/>
  <c r="DJ13" i="6" s="1" a="1"/>
  <c r="DJ13" i="6" s="1"/>
  <c r="DL20" i="1"/>
  <c r="HI20" i="1"/>
  <c r="E6" i="1"/>
  <c r="E12" i="1" s="1"/>
  <c r="JB32" i="1"/>
  <c r="IZ14" i="6" s="1" a="1"/>
  <c r="IZ14" i="6" s="1"/>
  <c r="LL26" i="1"/>
  <c r="LF26" i="1"/>
  <c r="LD13" i="6" s="1" a="1"/>
  <c r="LD13" i="6" s="1"/>
  <c r="FL26" i="1"/>
  <c r="FJ13" i="6" s="1" a="1"/>
  <c r="FJ13" i="6" s="1"/>
  <c r="GM26" i="1"/>
  <c r="GK13" i="6" s="1" a="1"/>
  <c r="GK13" i="6" s="1"/>
  <c r="CP20" i="1"/>
  <c r="CN20" i="1"/>
  <c r="BL32" i="1"/>
  <c r="BJ14" i="6" s="1" a="1"/>
  <c r="BJ14" i="6" s="1"/>
  <c r="FH32" i="1"/>
  <c r="FF14" i="6" s="1" a="1"/>
  <c r="FF14" i="6" s="1"/>
  <c r="FE26" i="1"/>
  <c r="FC13" i="6" s="1" a="1"/>
  <c r="FC13" i="6" s="1"/>
  <c r="LH26" i="1"/>
  <c r="LF13" i="6" s="1" a="1"/>
  <c r="LF13" i="6" s="1"/>
  <c r="KL26" i="1"/>
  <c r="KJ13" i="6" s="1" a="1"/>
  <c r="KJ13" i="6" s="1"/>
  <c r="LN26" i="1"/>
  <c r="HT20" i="1"/>
  <c r="IC32" i="1"/>
  <c r="IA14" i="6" s="1" a="1"/>
  <c r="IA14" i="6" s="1"/>
  <c r="IY32" i="1"/>
  <c r="IW14" i="6" s="1" a="1"/>
  <c r="IW14" i="6" s="1"/>
  <c r="DG32" i="1"/>
  <c r="DE14" i="6" s="1" a="1"/>
  <c r="DE14" i="6" s="1"/>
  <c r="CX26" i="1"/>
  <c r="CV13" i="6" s="1" a="1"/>
  <c r="CV13" i="6" s="1"/>
  <c r="GI32" i="1"/>
  <c r="GG14" i="6" s="1" a="1"/>
  <c r="GG14" i="6" s="1"/>
  <c r="GI20" i="1"/>
  <c r="JQ26" i="1"/>
  <c r="JO13" i="6" s="1" a="1"/>
  <c r="JO13" i="6" s="1"/>
  <c r="LI32" i="1"/>
  <c r="LG14" i="6" s="1" a="1"/>
  <c r="LG14" i="6" s="1"/>
  <c r="DT26" i="1"/>
  <c r="DR13" i="6" s="1" a="1"/>
  <c r="DR13" i="6" s="1"/>
  <c r="LS20" i="1"/>
  <c r="FI32" i="1"/>
  <c r="FG14" i="6" s="1" a="1"/>
  <c r="FG14" i="6" s="1"/>
  <c r="HF26" i="1"/>
  <c r="HD13" i="6" s="1" a="1"/>
  <c r="HD13" i="6" s="1"/>
  <c r="CA20" i="1"/>
  <c r="LA20" i="1"/>
  <c r="CE26" i="1"/>
  <c r="CC13" i="6" s="1" a="1"/>
  <c r="CC13" i="6" s="1"/>
  <c r="IQ26" i="1"/>
  <c r="IO13" i="6" s="1" a="1"/>
  <c r="IO13" i="6" s="1"/>
  <c r="IB32" i="1"/>
  <c r="HZ14" i="6" s="1" a="1"/>
  <c r="HZ14" i="6" s="1"/>
  <c r="EG26" i="1"/>
  <c r="EE13" i="6" s="1" a="1"/>
  <c r="EE13" i="6" s="1"/>
  <c r="BH26" i="1"/>
  <c r="BF13" i="6" s="1" a="1"/>
  <c r="BF13" i="6" s="1"/>
  <c r="CB26" i="1"/>
  <c r="BZ13" i="6" s="1" a="1"/>
  <c r="BZ13" i="6" s="1"/>
  <c r="CB32" i="1"/>
  <c r="BZ14" i="6" s="1" a="1"/>
  <c r="BZ14" i="6" s="1"/>
  <c r="EE20" i="1"/>
  <c r="EV26" i="1"/>
  <c r="ET13" i="6" s="1" a="1"/>
  <c r="ET13" i="6" s="1"/>
  <c r="LC32" i="1"/>
  <c r="LA14" i="6" s="1" a="1"/>
  <c r="LA14" i="6" s="1"/>
  <c r="LM26" i="1"/>
  <c r="EP20" i="1"/>
  <c r="CM20" i="1"/>
  <c r="HT32" i="1"/>
  <c r="HR14" i="6" s="1" a="1"/>
  <c r="HR14" i="6" s="1"/>
  <c r="CW20" i="1"/>
  <c r="EI32" i="1"/>
  <c r="EG14" i="6" s="1" a="1"/>
  <c r="EG14" i="6" s="1"/>
  <c r="ET32" i="1"/>
  <c r="ER14" i="6" s="1" a="1"/>
  <c r="ER14" i="6" s="1"/>
  <c r="JR32" i="1"/>
  <c r="JP14" i="6" s="1" a="1"/>
  <c r="JP14" i="6" s="1"/>
  <c r="EL26" i="1"/>
  <c r="EJ13" i="6" s="1" a="1"/>
  <c r="EJ13" i="6" s="1"/>
  <c r="FU32" i="1"/>
  <c r="FS14" i="6" s="1" a="1"/>
  <c r="FS14" i="6" s="1"/>
  <c r="LY26" i="1"/>
  <c r="DS20" i="1"/>
  <c r="GD26" i="1"/>
  <c r="GB13" i="6" s="1" a="1"/>
  <c r="GB13" i="6" s="1"/>
  <c r="EX26" i="1"/>
  <c r="EV13" i="6" s="1" a="1"/>
  <c r="EV13" i="6" s="1"/>
  <c r="DB26" i="1"/>
  <c r="CZ13" i="6" s="1" a="1"/>
  <c r="CZ13" i="6" s="1"/>
  <c r="JY26" i="1"/>
  <c r="JW13" i="6" s="1" a="1"/>
  <c r="JW13" i="6" s="1"/>
  <c r="EX20" i="1"/>
  <c r="LJ26" i="1"/>
  <c r="KY20" i="1"/>
  <c r="FC26" i="1"/>
  <c r="FA13" i="6" s="1" a="1"/>
  <c r="FA13" i="6" s="1"/>
  <c r="BF32" i="1"/>
  <c r="BD14" i="6" s="1" a="1"/>
  <c r="BD14" i="6" s="1"/>
  <c r="IY26" i="1"/>
  <c r="IW13" i="6" s="1" a="1"/>
  <c r="IW13" i="6" s="1"/>
  <c r="AQ20" i="1"/>
  <c r="CO26" i="1"/>
  <c r="CM13" i="6" s="1" a="1"/>
  <c r="CM13" i="6" s="1"/>
  <c r="FL32" i="1"/>
  <c r="FJ14" i="6" s="1" a="1"/>
  <c r="FJ14" i="6" s="1"/>
  <c r="EF32" i="1"/>
  <c r="ED14" i="6" s="1" a="1"/>
  <c r="ED14" i="6" s="1"/>
  <c r="FC20" i="1"/>
  <c r="AQ32" i="1"/>
  <c r="AO14" i="6" s="1" a="1"/>
  <c r="AO14" i="6" s="1"/>
  <c r="IK20" i="1"/>
  <c r="BJ20" i="1"/>
  <c r="LJ20" i="1"/>
  <c r="GM20" i="1"/>
  <c r="LT20" i="1"/>
  <c r="KF26" i="1"/>
  <c r="KD13" i="6" s="1" a="1"/>
  <c r="KD13" i="6" s="1"/>
  <c r="LR32" i="1"/>
  <c r="CN32" i="1"/>
  <c r="CL14" i="6" s="1" a="1"/>
  <c r="CL14" i="6" s="1"/>
  <c r="IQ20" i="1"/>
  <c r="J20" i="1"/>
  <c r="HN32" i="1"/>
  <c r="HL14" i="6" s="1" a="1"/>
  <c r="HL14" i="6" s="1"/>
  <c r="JG26" i="1"/>
  <c r="JE13" i="6" s="1" a="1"/>
  <c r="JE13" i="6" s="1"/>
  <c r="FF20" i="1"/>
  <c r="BF20" i="1"/>
  <c r="LY20" i="1"/>
  <c r="GZ26" i="1"/>
  <c r="GX13" i="6" s="1" a="1"/>
  <c r="GX13" i="6" s="1"/>
  <c r="JH20" i="1"/>
  <c r="HO26" i="1"/>
  <c r="HM13" i="6" s="1" a="1"/>
  <c r="HM13" i="6" s="1"/>
  <c r="LW20" i="1"/>
  <c r="GQ26" i="1"/>
  <c r="GO13" i="6" s="1" a="1"/>
  <c r="GO13" i="6" s="1"/>
  <c r="AS26" i="1"/>
  <c r="AQ13" i="6" s="1" a="1"/>
  <c r="AQ13" i="6" s="1"/>
  <c r="AS20" i="1"/>
  <c r="FC32" i="1"/>
  <c r="FA14" i="6" s="1" a="1"/>
  <c r="FA14" i="6" s="1"/>
  <c r="JO32" i="1"/>
  <c r="JM14" i="6" s="1" a="1"/>
  <c r="JM14" i="6" s="1"/>
  <c r="GJ20" i="1"/>
  <c r="J32" i="1"/>
  <c r="H14" i="6" s="1" a="1"/>
  <c r="H14" i="6" s="1"/>
  <c r="HD32" i="1"/>
  <c r="HB14" i="6" s="1" a="1"/>
  <c r="HB14" i="6" s="1"/>
  <c r="JA32" i="1"/>
  <c r="IY14" i="6" s="1" a="1"/>
  <c r="IY14" i="6" s="1"/>
  <c r="DB20" i="1"/>
  <c r="AB32" i="1"/>
  <c r="Z14" i="6" s="1" a="1"/>
  <c r="Z14" i="6" s="1"/>
  <c r="EK26" i="1"/>
  <c r="EI13" i="6" s="1" a="1"/>
  <c r="EI13" i="6" s="1"/>
  <c r="LG20" i="1"/>
  <c r="FU20" i="1"/>
  <c r="DD20" i="1"/>
  <c r="DD26" i="1"/>
  <c r="DB13" i="6" s="1" a="1"/>
  <c r="DB13" i="6" s="1"/>
  <c r="KI26" i="1"/>
  <c r="KG13" i="6" s="1" a="1"/>
  <c r="KG13" i="6" s="1"/>
  <c r="EX32" i="1"/>
  <c r="EV14" i="6" s="1" a="1"/>
  <c r="EV14" i="6" s="1"/>
  <c r="HH26" i="1"/>
  <c r="HF13" i="6" s="1" a="1"/>
  <c r="HF13" i="6" s="1"/>
  <c r="JW26" i="1"/>
  <c r="JU13" i="6" s="1" a="1"/>
  <c r="JU13" i="6" s="1"/>
  <c r="BM32" i="1"/>
  <c r="BK14" i="6" s="1" a="1"/>
  <c r="BK14" i="6" s="1"/>
  <c r="DS26" i="1"/>
  <c r="DQ13" i="6" s="1" a="1"/>
  <c r="DQ13" i="6" s="1"/>
  <c r="KY26" i="1"/>
  <c r="KW13" i="6" s="1" a="1"/>
  <c r="KW13" i="6" s="1"/>
  <c r="LN20" i="1"/>
  <c r="KO20" i="1"/>
  <c r="FP26" i="1"/>
  <c r="FN13" i="6" s="1" a="1"/>
  <c r="FN13" i="6" s="1"/>
  <c r="LV26" i="1"/>
  <c r="HI32" i="1"/>
  <c r="HG14" i="6" s="1" a="1"/>
  <c r="HG14" i="6" s="1"/>
  <c r="LY32" i="1"/>
  <c r="BG26" i="1"/>
  <c r="BE13" i="6" s="1" a="1"/>
  <c r="BE13" i="6" s="1"/>
  <c r="JO20" i="1"/>
  <c r="F32" i="1"/>
  <c r="D14" i="6" s="1" a="1"/>
  <c r="D14" i="6" s="1"/>
  <c r="HL26" i="1"/>
  <c r="HJ13" i="6" s="1" a="1"/>
  <c r="HJ13" i="6" s="1"/>
  <c r="FH26" i="1"/>
  <c r="FF13" i="6" s="1" a="1"/>
  <c r="FF13" i="6" s="1"/>
  <c r="BJ26" i="1"/>
  <c r="BH13" i="6" s="1" a="1"/>
  <c r="BH13" i="6" s="1"/>
  <c r="KI20" i="1"/>
  <c r="DS32" i="1"/>
  <c r="DQ14" i="6" s="1" a="1"/>
  <c r="DQ14" i="6" s="1"/>
  <c r="GT32" i="1"/>
  <c r="GR14" i="6" s="1" a="1"/>
  <c r="GR14" i="6" s="1"/>
  <c r="ER20" i="1"/>
  <c r="KJ20" i="1"/>
  <c r="GO26" i="1"/>
  <c r="GM13" i="6" s="1" a="1"/>
  <c r="GM13" i="6" s="1"/>
  <c r="JK26" i="1"/>
  <c r="JI13" i="6" s="1" a="1"/>
  <c r="JI13" i="6" s="1"/>
  <c r="DX20" i="1"/>
  <c r="KZ32" i="1"/>
  <c r="KX14" i="6" s="1" a="1"/>
  <c r="KX14" i="6" s="1"/>
  <c r="LF20" i="1"/>
  <c r="F20" i="1"/>
  <c r="F26" i="1"/>
  <c r="D13" i="6" s="1" a="1"/>
  <c r="D13" i="6" s="1"/>
  <c r="LF32" i="1"/>
  <c r="LD14" i="6" s="1" a="1"/>
  <c r="LD14" i="6" s="1"/>
  <c r="JW32" i="1"/>
  <c r="JU14" i="6" s="1" a="1"/>
  <c r="JU14" i="6" s="1"/>
  <c r="M20" i="1"/>
  <c r="IF20" i="1"/>
  <c r="AQ26" i="1"/>
  <c r="AO13" i="6" s="1" a="1"/>
  <c r="AO13" i="6" s="1"/>
  <c r="ED32" i="1"/>
  <c r="EB14" i="6" s="1" a="1"/>
  <c r="EB14" i="6" s="1"/>
  <c r="HO20" i="1"/>
  <c r="LH32" i="1"/>
  <c r="LF14" i="6" s="1" a="1"/>
  <c r="LF14" i="6" s="1"/>
  <c r="BU26" i="1"/>
  <c r="BS13" i="6" s="1" a="1"/>
  <c r="BS13" i="6" s="1"/>
  <c r="BC26" i="1"/>
  <c r="BA13" i="6" s="1" a="1"/>
  <c r="BA13" i="6" s="1"/>
  <c r="KF20" i="1"/>
  <c r="KC32" i="1"/>
  <c r="KA14" i="6" s="1" a="1"/>
  <c r="KA14" i="6" s="1"/>
  <c r="N32" i="1"/>
  <c r="L14" i="6" s="1" a="1"/>
  <c r="L14" i="6" s="1"/>
  <c r="GC26" i="1"/>
  <c r="GA13" i="6" s="1" a="1"/>
  <c r="GA13" i="6" s="1"/>
  <c r="JK20" i="1"/>
  <c r="KW26" i="1"/>
  <c r="KU13" i="6" s="1" a="1"/>
  <c r="KU13" i="6" s="1"/>
  <c r="BD26" i="1"/>
  <c r="BB13" i="6" s="1" a="1"/>
  <c r="BB13" i="6" s="1"/>
  <c r="N26" i="1"/>
  <c r="L13" i="6" s="1" a="1"/>
  <c r="L13" i="6" s="1"/>
  <c r="HH32" i="1"/>
  <c r="HF14" i="6" s="1" a="1"/>
  <c r="HF14" i="6" s="1"/>
  <c r="CK20" i="1"/>
  <c r="CK26" i="1"/>
  <c r="CI13" i="6" s="1" a="1"/>
  <c r="CI13" i="6" s="1"/>
  <c r="AL32" i="1"/>
  <c r="AJ14" i="6" s="1" a="1"/>
  <c r="AJ14" i="6" s="1"/>
  <c r="FH20" i="1"/>
  <c r="JZ20" i="1"/>
  <c r="KS32" i="1"/>
  <c r="KQ14" i="6" s="1" a="1"/>
  <c r="KQ14" i="6" s="1"/>
  <c r="GE26" i="1"/>
  <c r="GC13" i="6" s="1" a="1"/>
  <c r="GC13" i="6" s="1"/>
  <c r="LH20" i="1"/>
  <c r="BX20" i="1"/>
  <c r="DC26" i="1"/>
  <c r="DA13" i="6" s="1" a="1"/>
  <c r="DA13" i="6" s="1"/>
  <c r="T20" i="1"/>
  <c r="KY32" i="1"/>
  <c r="KW14" i="6" s="1" a="1"/>
  <c r="KW14" i="6" s="1"/>
  <c r="FU26" i="1"/>
  <c r="FS13" i="6" s="1" a="1"/>
  <c r="FS13" i="6" s="1"/>
  <c r="IE26" i="1"/>
  <c r="IC13" i="6" s="1" a="1"/>
  <c r="IC13" i="6" s="1"/>
  <c r="HO32" i="1"/>
  <c r="HM14" i="6" s="1" a="1"/>
  <c r="HM14" i="6" s="1"/>
  <c r="LU26" i="1"/>
  <c r="JY20" i="1"/>
  <c r="IC20" i="1"/>
  <c r="IK32" i="1"/>
  <c r="II14" i="6" s="1" a="1"/>
  <c r="II14" i="6" s="1"/>
  <c r="DG20" i="1"/>
  <c r="JR20" i="1"/>
  <c r="LU20" i="1"/>
  <c r="M26" i="1"/>
  <c r="K13" i="6" s="1" a="1"/>
  <c r="K13" i="6" s="1"/>
  <c r="IK26" i="1"/>
  <c r="II13" i="6" s="1" a="1"/>
  <c r="II13" i="6" s="1"/>
  <c r="ES20" i="1"/>
  <c r="KE20" i="1"/>
  <c r="EY20" i="1"/>
  <c r="HU26" i="1"/>
  <c r="HS13" i="6" s="1" a="1"/>
  <c r="HS13" i="6" s="1"/>
  <c r="CG26" i="1"/>
  <c r="CE13" i="6" s="1" a="1"/>
  <c r="CE13" i="6" s="1"/>
  <c r="CY26" i="1"/>
  <c r="CW13" i="6" s="1" a="1"/>
  <c r="CW13" i="6" s="1"/>
  <c r="E32" i="1"/>
  <c r="HA20" i="1"/>
  <c r="HN20" i="1"/>
  <c r="GO20" i="1"/>
  <c r="HA32" i="1"/>
  <c r="GY14" i="6" s="1" a="1"/>
  <c r="GY14" i="6" s="1"/>
  <c r="CL26" i="1"/>
  <c r="CJ13" i="6" s="1" a="1"/>
  <c r="CJ13" i="6" s="1"/>
  <c r="JR26" i="1"/>
  <c r="JP13" i="6" s="1" a="1"/>
  <c r="JP13" i="6" s="1"/>
  <c r="JY32" i="1"/>
  <c r="JW14" i="6" s="1" a="1"/>
  <c r="JW14" i="6" s="1"/>
  <c r="JG32" i="1"/>
  <c r="JE14" i="6" s="1" a="1"/>
  <c r="JE14" i="6" s="1"/>
  <c r="DX32" i="1"/>
  <c r="DV14" i="6" s="1" a="1"/>
  <c r="DV14" i="6" s="1"/>
  <c r="ER32" i="1"/>
  <c r="EP14" i="6" s="1" a="1"/>
  <c r="EP14" i="6" s="1"/>
  <c r="DT32" i="1"/>
  <c r="DR14" i="6" s="1" a="1"/>
  <c r="DR14" i="6" s="1"/>
  <c r="JI32" i="1"/>
  <c r="JG14" i="6" s="1" a="1"/>
  <c r="JG14" i="6" s="1"/>
  <c r="BW26" i="1"/>
  <c r="BU13" i="6" s="1" a="1"/>
  <c r="BU13" i="6" s="1"/>
  <c r="KN20" i="1"/>
  <c r="CR20" i="1"/>
  <c r="CO20" i="1"/>
  <c r="FP32" i="1"/>
  <c r="FN14" i="6" s="1" a="1"/>
  <c r="FN14" i="6" s="1"/>
  <c r="HL20" i="1"/>
  <c r="CX32" i="1"/>
  <c r="CV14" i="6" s="1" a="1"/>
  <c r="CV14" i="6" s="1"/>
  <c r="KE26" i="1"/>
  <c r="KC13" i="6" s="1" a="1"/>
  <c r="KC13" i="6" s="1"/>
  <c r="LW26" i="1"/>
  <c r="FL20" i="1"/>
  <c r="KW32" i="1"/>
  <c r="KU14" i="6" s="1" a="1"/>
  <c r="KU14" i="6" s="1"/>
  <c r="KE32" i="1"/>
  <c r="KC14" i="6" s="1" a="1"/>
  <c r="KC14" i="6" s="1"/>
  <c r="EH26" i="1"/>
  <c r="EF13" i="6" s="1" a="1"/>
  <c r="EF13" i="6" s="1"/>
  <c r="JI20" i="1"/>
  <c r="KD32" i="1"/>
  <c r="KB14" i="6" s="1" a="1"/>
  <c r="KB14" i="6" s="1"/>
  <c r="FI20" i="1"/>
  <c r="BG32" i="1"/>
  <c r="BE14" i="6" s="1" a="1"/>
  <c r="BE14" i="6" s="1"/>
  <c r="EB26" i="1"/>
  <c r="DZ13" i="6" s="1" a="1"/>
  <c r="DZ13" i="6" s="1"/>
  <c r="EI26" i="1"/>
  <c r="EG13" i="6" s="1" a="1"/>
  <c r="EG13" i="6" s="1"/>
  <c r="GH32" i="1"/>
  <c r="GF14" i="6" s="1" a="1"/>
  <c r="GF14" i="6" s="1"/>
  <c r="HR26" i="1"/>
  <c r="HP13" i="6" s="1" a="1"/>
  <c r="HP13" i="6" s="1"/>
  <c r="HZ20" i="1"/>
  <c r="LM20" i="1"/>
  <c r="FD26" i="1"/>
  <c r="FB13" i="6" s="1" a="1"/>
  <c r="FB13" i="6" s="1"/>
  <c r="GW20" i="1"/>
  <c r="GC32" i="1"/>
  <c r="GA14" i="6" s="1" a="1"/>
  <c r="GA14" i="6" s="1"/>
  <c r="Q26" i="1"/>
  <c r="O13" i="6" s="1" a="1"/>
  <c r="O13" i="6" s="1"/>
  <c r="DM26" i="1"/>
  <c r="DK13" i="6" s="1" a="1"/>
  <c r="DK13" i="6" s="1"/>
  <c r="AM32" i="1"/>
  <c r="AK14" i="6" s="1" a="1"/>
  <c r="AK14" i="6" s="1"/>
  <c r="KG26" i="1"/>
  <c r="KE13" i="6" s="1" a="1"/>
  <c r="KE13" i="6" s="1"/>
  <c r="ES26" i="1"/>
  <c r="EQ13" i="6" s="1" a="1"/>
  <c r="EQ13" i="6" s="1"/>
  <c r="IU20" i="1"/>
  <c r="EO26" i="1"/>
  <c r="EM13" i="6" s="1" a="1"/>
  <c r="EM13" i="6" s="1"/>
  <c r="CD32" i="1"/>
  <c r="CB14" i="6" s="1" a="1"/>
  <c r="CB14" i="6" s="1"/>
  <c r="BH20" i="1"/>
  <c r="I20" i="1"/>
  <c r="KQ32" i="1"/>
  <c r="KO14" i="6" s="1" a="1"/>
  <c r="KO14" i="6" s="1"/>
  <c r="KG32" i="1"/>
  <c r="KE14" i="6" s="1" a="1"/>
  <c r="KE14" i="6" s="1"/>
  <c r="AZ32" i="1"/>
  <c r="AX14" i="6" s="1" a="1"/>
  <c r="AX14" i="6" s="1"/>
  <c r="KH26" i="1"/>
  <c r="KF13" i="6" s="1" a="1"/>
  <c r="KF13" i="6" s="1"/>
  <c r="KB32" i="1"/>
  <c r="JZ14" i="6" s="1" a="1"/>
  <c r="JZ14" i="6" s="1"/>
  <c r="KQ20" i="1"/>
  <c r="CF26" i="1"/>
  <c r="CD13" i="6" s="1" a="1"/>
  <c r="CD13" i="6" s="1"/>
  <c r="AF26" i="1"/>
  <c r="AD13" i="6" s="1" a="1"/>
  <c r="AD13" i="6" s="1"/>
  <c r="AD26" i="1"/>
  <c r="AB13" i="6" s="1" a="1"/>
  <c r="AB13" i="6" s="1"/>
  <c r="FB32" i="1"/>
  <c r="EZ14" i="6" s="1" a="1"/>
  <c r="EZ14" i="6" s="1"/>
  <c r="DR20" i="1"/>
  <c r="GM32" i="1"/>
  <c r="GK14" i="6" s="1" a="1"/>
  <c r="GK14" i="6" s="1"/>
  <c r="JI26" i="1"/>
  <c r="JG13" i="6" s="1" a="1"/>
  <c r="JG13" i="6" s="1"/>
  <c r="KU32" i="1"/>
  <c r="KS14" i="6" s="1" a="1"/>
  <c r="KS14" i="6" s="1"/>
  <c r="BN26" i="1"/>
  <c r="BL13" i="6" s="1" a="1"/>
  <c r="BL13" i="6" s="1"/>
  <c r="CO32" i="1"/>
  <c r="CM14" i="6" s="1" a="1"/>
  <c r="CM14" i="6" s="1"/>
  <c r="KF32" i="1"/>
  <c r="KD14" i="6" s="1" a="1"/>
  <c r="KD14" i="6" s="1"/>
  <c r="LW32" i="1"/>
  <c r="ED20" i="1"/>
  <c r="EF26" i="1"/>
  <c r="ED13" i="6" s="1" a="1"/>
  <c r="ED13" i="6" s="1"/>
  <c r="LL20" i="1"/>
  <c r="LR26" i="1"/>
  <c r="JG20" i="1"/>
  <c r="FF32" i="1"/>
  <c r="FD14" i="6" s="1" a="1"/>
  <c r="FD14" i="6" s="1"/>
  <c r="CP32" i="1"/>
  <c r="CN14" i="6" s="1" a="1"/>
  <c r="CN14" i="6" s="1"/>
  <c r="IF32" i="1"/>
  <c r="ID14" i="6" s="1" a="1"/>
  <c r="ID14" i="6" s="1"/>
  <c r="IL32" i="1"/>
  <c r="IJ14" i="6" s="1" a="1"/>
  <c r="IJ14" i="6" s="1"/>
  <c r="BQ26" i="1"/>
  <c r="BO13" i="6" s="1" a="1"/>
  <c r="BO13" i="6" s="1"/>
  <c r="GL32" i="1"/>
  <c r="GJ14" i="6" s="1" a="1"/>
  <c r="GJ14" i="6" s="1"/>
  <c r="HX20" i="1"/>
  <c r="M32" i="1"/>
  <c r="K14" i="6" s="1" a="1"/>
  <c r="K14" i="6" s="1"/>
  <c r="AM20" i="1"/>
  <c r="HL32" i="1"/>
  <c r="HJ14" i="6" s="1" a="1"/>
  <c r="HJ14" i="6" s="1"/>
  <c r="IX32" i="1"/>
  <c r="IV14" i="6" s="1" a="1"/>
  <c r="IV14" i="6" s="1"/>
  <c r="BI26" i="1"/>
  <c r="BG13" i="6" s="1" a="1"/>
  <c r="BG13" i="6" s="1"/>
  <c r="CR32" i="1"/>
  <c r="CP14" i="6" s="1" a="1"/>
  <c r="CP14" i="6" s="1"/>
  <c r="LT26" i="1"/>
  <c r="JH32" i="1"/>
  <c r="JF14" i="6" s="1" a="1"/>
  <c r="JF14" i="6" s="1"/>
  <c r="IQ32" i="1"/>
  <c r="IO14" i="6" s="1" a="1"/>
  <c r="IO14" i="6" s="1"/>
  <c r="AW20" i="1"/>
  <c r="K32" i="1"/>
  <c r="I14" i="6" s="1" a="1"/>
  <c r="I14" i="6" s="1"/>
  <c r="LE32" i="1"/>
  <c r="LC14" i="6" s="1" a="1"/>
  <c r="LC14" i="6" s="1"/>
  <c r="DI26" i="1"/>
  <c r="DG13" i="6" s="1" a="1"/>
  <c r="DG13" i="6" s="1"/>
  <c r="IR32" i="1"/>
  <c r="IP14" i="6" s="1" a="1"/>
  <c r="IP14" i="6" s="1"/>
  <c r="BF26" i="1"/>
  <c r="BD13" i="6" s="1" a="1"/>
  <c r="BD13" i="6" s="1"/>
  <c r="LX26" i="1"/>
  <c r="JH26" i="1"/>
  <c r="JF13" i="6" s="1" a="1"/>
  <c r="JF13" i="6" s="1"/>
  <c r="BX26" i="1"/>
  <c r="BV13" i="6" s="1" a="1"/>
  <c r="BV13" i="6" s="1"/>
  <c r="AB20" i="1"/>
  <c r="KK32" i="1"/>
  <c r="KI14" i="6" s="1" a="1"/>
  <c r="KI14" i="6" s="1"/>
  <c r="FM32" i="1"/>
  <c r="FK14" i="6" s="1" a="1"/>
  <c r="FK14" i="6" s="1"/>
  <c r="JM26" i="1"/>
  <c r="JK13" i="6" s="1" a="1"/>
  <c r="JK13" i="6" s="1"/>
  <c r="KD26" i="1"/>
  <c r="KB13" i="6" s="1" a="1"/>
  <c r="KB13" i="6" s="1"/>
  <c r="JM20" i="1"/>
  <c r="Z32" i="1"/>
  <c r="X14" i="6" s="1" a="1"/>
  <c r="X14" i="6" s="1"/>
  <c r="AY26" i="1"/>
  <c r="AW13" i="6" s="1" a="1"/>
  <c r="AW13" i="6" s="1"/>
  <c r="DA26" i="1"/>
  <c r="CY13" i="6" s="1" a="1"/>
  <c r="CY13" i="6" s="1"/>
  <c r="EN32" i="1"/>
  <c r="EL14" i="6" s="1" a="1"/>
  <c r="EL14" i="6" s="1"/>
  <c r="GH26" i="1"/>
  <c r="GF13" i="6" s="1" a="1"/>
  <c r="GF13" i="6" s="1"/>
  <c r="KM20" i="1"/>
  <c r="AX20" i="1"/>
  <c r="LP26" i="1"/>
  <c r="FG20" i="1"/>
  <c r="LA32" i="1"/>
  <c r="KY14" i="6" s="1" a="1"/>
  <c r="KY14" i="6" s="1"/>
  <c r="BB20" i="1"/>
  <c r="I32" i="1"/>
  <c r="G14" i="6" s="1" a="1"/>
  <c r="G14" i="6" s="1"/>
  <c r="BV20" i="1"/>
  <c r="AV20" i="1"/>
  <c r="BS26" i="1"/>
  <c r="BQ13" i="6" s="1" a="1"/>
  <c r="BQ13" i="6" s="1"/>
  <c r="IT20" i="1"/>
  <c r="HW20" i="1"/>
  <c r="I26" i="1"/>
  <c r="G13" i="6" s="1" a="1"/>
  <c r="G13" i="6" s="1"/>
  <c r="BT26" i="1"/>
  <c r="BR13" i="6" s="1" a="1"/>
  <c r="BR13" i="6" s="1"/>
  <c r="IA26" i="1"/>
  <c r="HY13" i="6" s="1" a="1"/>
  <c r="HY13" i="6" s="1"/>
  <c r="Q32" i="1"/>
  <c r="O14" i="6" s="1" a="1"/>
  <c r="O14" i="6" s="1"/>
  <c r="HG26" i="1"/>
  <c r="HE13" i="6" s="1" a="1"/>
  <c r="HE13" i="6" s="1"/>
  <c r="FN26" i="1"/>
  <c r="FL13" i="6" s="1" a="1"/>
  <c r="FL13" i="6" s="1"/>
  <c r="IH26" i="1"/>
  <c r="IF13" i="6" s="1" a="1"/>
  <c r="IF13" i="6" s="1"/>
  <c r="AE20" i="1"/>
  <c r="AC20" i="1"/>
  <c r="GA26" i="1"/>
  <c r="FY13" i="6" s="1" a="1"/>
  <c r="FY13" i="6" s="1"/>
  <c r="LG32" i="1"/>
  <c r="LE14" i="6" s="1" a="1"/>
  <c r="LE14" i="6" s="1"/>
  <c r="BU20" i="1"/>
  <c r="BP20" i="1"/>
  <c r="W26" i="1"/>
  <c r="U13" i="6" s="1" a="1"/>
  <c r="U13" i="6" s="1"/>
  <c r="HB20" i="1"/>
  <c r="FV20" i="1"/>
  <c r="IO32" i="1"/>
  <c r="IM14" i="6" s="1" a="1"/>
  <c r="IM14" i="6" s="1"/>
  <c r="DH32" i="1"/>
  <c r="DF14" i="6" s="1" a="1"/>
  <c r="DF14" i="6" s="1"/>
  <c r="JL20" i="1"/>
  <c r="FN32" i="1"/>
  <c r="FL14" i="6" s="1" a="1"/>
  <c r="FL14" i="6" s="1"/>
  <c r="FQ26" i="1"/>
  <c r="FO13" i="6" s="1" a="1"/>
  <c r="FO13" i="6" s="1"/>
  <c r="LC26" i="1"/>
  <c r="LA13" i="6" s="1" a="1"/>
  <c r="LA13" i="6" s="1"/>
  <c r="IA32" i="1"/>
  <c r="HY14" i="6" s="1" a="1"/>
  <c r="HY14" i="6" s="1"/>
  <c r="EN26" i="1"/>
  <c r="EL13" i="6" s="1" a="1"/>
  <c r="EL13" i="6" s="1"/>
  <c r="HN26" i="1"/>
  <c r="HL13" i="6" s="1" a="1"/>
  <c r="HL13" i="6" s="1"/>
  <c r="JZ32" i="1"/>
  <c r="JX14" i="6" s="1" a="1"/>
  <c r="JX14" i="6" s="1"/>
  <c r="GZ32" i="1"/>
  <c r="GX14" i="6" s="1" a="1"/>
  <c r="GX14" i="6" s="1"/>
  <c r="GQ32" i="1"/>
  <c r="GO14" i="6" s="1" a="1"/>
  <c r="GO14" i="6" s="1"/>
  <c r="HS26" i="1"/>
  <c r="HQ13" i="6" s="1" a="1"/>
  <c r="HQ13" i="6" s="1"/>
  <c r="DB32" i="1"/>
  <c r="CZ14" i="6" s="1" a="1"/>
  <c r="CZ14" i="6" s="1"/>
  <c r="HD26" i="1"/>
  <c r="HB13" i="6" s="1" a="1"/>
  <c r="HB13" i="6" s="1"/>
  <c r="II32" i="1"/>
  <c r="IG14" i="6" s="1" a="1"/>
  <c r="IG14" i="6" s="1"/>
  <c r="FX20" i="1"/>
  <c r="BU32" i="1"/>
  <c r="BS14" i="6" s="1" a="1"/>
  <c r="BS14" i="6" s="1"/>
  <c r="LM32" i="1"/>
  <c r="K20" i="1"/>
  <c r="GE20" i="1"/>
  <c r="FI26" i="1"/>
  <c r="FG13" i="6" s="1" a="1"/>
  <c r="FG13" i="6" s="1"/>
  <c r="IN32" i="1"/>
  <c r="IL14" i="6" s="1" a="1"/>
  <c r="IL14" i="6" s="1"/>
  <c r="DF20" i="1"/>
  <c r="EJ20" i="1"/>
  <c r="GY20" i="1"/>
  <c r="EJ26" i="1"/>
  <c r="EH13" i="6" s="1" a="1"/>
  <c r="EH13" i="6" s="1"/>
  <c r="AE32" i="1"/>
  <c r="AC14" i="6" s="1" a="1"/>
  <c r="AC14" i="6" s="1"/>
  <c r="BR20" i="1"/>
  <c r="HR20" i="1"/>
  <c r="CW32" i="1"/>
  <c r="CU14" i="6" s="1" a="1"/>
  <c r="CU14" i="6" s="1"/>
  <c r="BS32" i="1"/>
  <c r="BQ14" i="6" s="1" a="1"/>
  <c r="BQ14" i="6" s="1"/>
  <c r="LI26" i="1"/>
  <c r="LG13" i="6" s="1" a="1"/>
  <c r="LG13" i="6" s="1"/>
  <c r="LD32" i="1"/>
  <c r="LB14" i="6" s="1" a="1"/>
  <c r="LB14" i="6" s="1"/>
  <c r="CH20" i="1"/>
  <c r="GP20" i="1"/>
  <c r="CT26" i="1"/>
  <c r="CR13" i="6" s="1" a="1"/>
  <c r="CR13" i="6" s="1"/>
  <c r="EG20" i="1"/>
  <c r="DE20" i="1"/>
  <c r="AD20" i="1"/>
  <c r="BX32" i="1"/>
  <c r="BV14" i="6" s="1" a="1"/>
  <c r="BV14" i="6" s="1"/>
  <c r="GT26" i="1"/>
  <c r="GR13" i="6" s="1" a="1"/>
  <c r="GR13" i="6" s="1"/>
  <c r="LN32" i="1"/>
  <c r="KZ26" i="1"/>
  <c r="KX13" i="6" s="1" a="1"/>
  <c r="KX13" i="6" s="1"/>
  <c r="GE32" i="1"/>
  <c r="GC14" i="6" s="1" a="1"/>
  <c r="GC14" i="6" s="1"/>
  <c r="GJ26" i="1"/>
  <c r="GH13" i="6" s="1" a="1"/>
  <c r="GH13" i="6" s="1"/>
  <c r="BD20" i="1"/>
  <c r="T26" i="1"/>
  <c r="R13" i="6" s="1" a="1"/>
  <c r="R13" i="6" s="1"/>
  <c r="IJ26" i="1"/>
  <c r="IH13" i="6" s="1" a="1"/>
  <c r="IH13" i="6" s="1"/>
  <c r="BI32" i="1"/>
  <c r="BG14" i="6" s="1" a="1"/>
  <c r="BG14" i="6" s="1"/>
  <c r="HE26" i="1"/>
  <c r="HC13" i="6" s="1" a="1"/>
  <c r="HC13" i="6" s="1"/>
  <c r="AB26" i="1"/>
  <c r="Z13" i="6" s="1" a="1"/>
  <c r="Z13" i="6" s="1"/>
  <c r="CH32" i="1"/>
  <c r="CF14" i="6" s="1" a="1"/>
  <c r="CF14" i="6" s="1"/>
  <c r="GF26" i="1"/>
  <c r="GD13" i="6" s="1" a="1"/>
  <c r="GD13" i="6" s="1"/>
  <c r="CM32" i="1"/>
  <c r="CK14" i="6" s="1" a="1"/>
  <c r="CK14" i="6" s="1"/>
  <c r="CA26" i="1"/>
  <c r="BY13" i="6" s="1" a="1"/>
  <c r="BY13" i="6" s="1"/>
  <c r="FV26" i="1"/>
  <c r="FT13" i="6" s="1" a="1"/>
  <c r="FT13" i="6" s="1"/>
  <c r="JC32" i="1"/>
  <c r="JA14" i="6" s="1" a="1"/>
  <c r="JA14" i="6" s="1"/>
  <c r="DO26" i="1"/>
  <c r="DM13" i="6" s="1" a="1"/>
  <c r="DM13" i="6" s="1"/>
  <c r="GK20" i="1"/>
  <c r="CI26" i="1"/>
  <c r="CG13" i="6" s="1" a="1"/>
  <c r="CG13" i="6" s="1"/>
  <c r="AO26" i="1"/>
  <c r="AM13" i="6" s="1" a="1"/>
  <c r="AM13" i="6" s="1"/>
  <c r="AF32" i="1"/>
  <c r="AD14" i="6" s="1" a="1"/>
  <c r="AD14" i="6" s="1"/>
  <c r="BV32" i="1"/>
  <c r="BT14" i="6" s="1" a="1"/>
  <c r="BT14" i="6" s="1"/>
  <c r="JC20" i="1"/>
  <c r="IB20" i="1"/>
  <c r="KT32" i="1"/>
  <c r="KR14" i="6" s="1" a="1"/>
  <c r="KR14" i="6" s="1"/>
  <c r="JN20" i="1"/>
  <c r="J26" i="1"/>
  <c r="H13" i="6" s="1" a="1"/>
  <c r="H13" i="6" s="1"/>
  <c r="AH32" i="1"/>
  <c r="AF14" i="6" s="1" a="1"/>
  <c r="AF14" i="6" s="1"/>
  <c r="HG20" i="1"/>
  <c r="R32" i="1"/>
  <c r="P14" i="6" s="1" a="1"/>
  <c r="P14" i="6" s="1"/>
  <c r="CH26" i="1"/>
  <c r="CF13" i="6" s="1" a="1"/>
  <c r="CF13" i="6" s="1"/>
  <c r="ID26" i="1"/>
  <c r="IB13" i="6" s="1" a="1"/>
  <c r="IB13" i="6" s="1"/>
  <c r="CM26" i="1"/>
  <c r="CK13" i="6" s="1" a="1"/>
  <c r="CK13" i="6" s="1"/>
  <c r="HH20" i="1"/>
  <c r="CE32" i="1"/>
  <c r="CC14" i="6" s="1" a="1"/>
  <c r="CC14" i="6" s="1"/>
  <c r="FP20" i="1"/>
  <c r="Z20" i="1"/>
  <c r="AH20" i="1"/>
  <c r="GB20" i="1"/>
  <c r="EK32" i="1"/>
  <c r="EI14" i="6" s="1" a="1"/>
  <c r="EI14" i="6" s="1"/>
  <c r="HM32" i="1"/>
  <c r="HK14" i="6" s="1" a="1"/>
  <c r="HK14" i="6" s="1"/>
  <c r="IB26" i="1"/>
  <c r="HZ13" i="6" s="1" a="1"/>
  <c r="HZ13" i="6" s="1"/>
  <c r="AS32" i="1"/>
  <c r="AQ14" i="6" s="1" a="1"/>
  <c r="AQ14" i="6" s="1"/>
  <c r="AM26" i="1"/>
  <c r="AK13" i="6" s="1" a="1"/>
  <c r="AK13" i="6" s="1"/>
  <c r="JA20" i="1"/>
  <c r="HI26" i="1"/>
  <c r="HG13" i="6" s="1" a="1"/>
  <c r="HG13" i="6" s="1"/>
  <c r="U20" i="1"/>
  <c r="DO20" i="1"/>
  <c r="GL20" i="1"/>
  <c r="BW32" i="1"/>
  <c r="BU14" i="6" s="1" a="1"/>
  <c r="BU14" i="6" s="1"/>
  <c r="IS26" i="1"/>
  <c r="IQ13" i="6" s="1" a="1"/>
  <c r="IQ13" i="6" s="1"/>
  <c r="FG32" i="1"/>
  <c r="FE14" i="6" s="1" a="1"/>
  <c r="FE14" i="6" s="1"/>
  <c r="DH20" i="1"/>
  <c r="LA26" i="1"/>
  <c r="KY13" i="6" s="1" a="1"/>
  <c r="KY13" i="6" s="1"/>
  <c r="AW32" i="1"/>
  <c r="AU14" i="6" s="1" a="1"/>
  <c r="AU14" i="6" s="1"/>
  <c r="S26" i="1"/>
  <c r="Q13" i="6" s="1" a="1"/>
  <c r="Q13" i="6" s="1"/>
  <c r="KH20" i="1"/>
  <c r="BK20" i="1"/>
  <c r="FX26" i="1"/>
  <c r="FV13" i="6" s="1" a="1"/>
  <c r="FV13" i="6" s="1"/>
  <c r="EC26" i="1"/>
  <c r="EA13" i="6" s="1" a="1"/>
  <c r="EA13" i="6" s="1"/>
  <c r="EK20" i="1"/>
  <c r="FW26" i="1"/>
  <c r="FU13" i="6" s="1" a="1"/>
  <c r="FU13" i="6" s="1"/>
  <c r="X20" i="1"/>
  <c r="BV26" i="1"/>
  <c r="BT13" i="6" s="1" a="1"/>
  <c r="BT13" i="6" s="1"/>
  <c r="HM20" i="1"/>
  <c r="CZ20" i="1"/>
  <c r="KA26" i="1"/>
  <c r="JY13" i="6" s="1" a="1"/>
  <c r="JY13" i="6" s="1"/>
  <c r="GU26" i="1"/>
  <c r="GS13" i="6" s="1" a="1"/>
  <c r="GS13" i="6" s="1"/>
  <c r="AR20" i="1"/>
  <c r="KB26" i="1"/>
  <c r="JZ13" i="6" s="1" a="1"/>
  <c r="JZ13" i="6" s="1"/>
  <c r="EP32" i="1"/>
  <c r="EN14" i="6" s="1" a="1"/>
  <c r="EN14" i="6" s="1"/>
  <c r="GW26" i="1"/>
  <c r="GU13" i="6" s="1" a="1"/>
  <c r="GU13" i="6" s="1"/>
  <c r="FA20" i="1"/>
  <c r="S20" i="1"/>
  <c r="H32" i="1"/>
  <c r="F14" i="6" s="1" a="1"/>
  <c r="F14" i="6" s="1"/>
  <c r="BR26" i="1"/>
  <c r="BP13" i="6" s="1" a="1"/>
  <c r="BP13" i="6" s="1"/>
  <c r="BD32" i="1"/>
  <c r="BB14" i="6" s="1" a="1"/>
  <c r="BB14" i="6" s="1"/>
  <c r="JQ20" i="1"/>
  <c r="KP32" i="1"/>
  <c r="KN14" i="6" s="1" a="1"/>
  <c r="KN14" i="6" s="1"/>
  <c r="DC20" i="1"/>
  <c r="HE32" i="1"/>
  <c r="HC14" i="6" s="1" a="1"/>
  <c r="HC14" i="6" s="1"/>
  <c r="ER26" i="1"/>
  <c r="EP13" i="6" s="1" a="1"/>
  <c r="EP13" i="6" s="1"/>
  <c r="BC32" i="1"/>
  <c r="BA14" i="6" s="1" a="1"/>
  <c r="BA14" i="6" s="1"/>
  <c r="KU26" i="1"/>
  <c r="KS13" i="6" s="1" a="1"/>
  <c r="KS13" i="6" s="1"/>
  <c r="LV32" i="1"/>
  <c r="FJ32" i="1"/>
  <c r="FH14" i="6" s="1" a="1"/>
  <c r="FH14" i="6" s="1"/>
  <c r="EL32" i="1"/>
  <c r="EJ14" i="6" s="1" a="1"/>
  <c r="EJ14" i="6" s="1"/>
  <c r="KN32" i="1"/>
  <c r="KL14" i="6" s="1" a="1"/>
  <c r="KL14" i="6" s="1"/>
  <c r="DG26" i="1"/>
  <c r="DE13" i="6" s="1" a="1"/>
  <c r="DE13" i="6" s="1"/>
  <c r="KW20" i="1"/>
  <c r="HV20" i="1"/>
  <c r="AY20" i="1"/>
  <c r="JB26" i="1"/>
  <c r="IZ13" i="6" s="1" a="1"/>
  <c r="IZ13" i="6" s="1"/>
  <c r="E20" i="1"/>
  <c r="KC20" i="1"/>
  <c r="GP26" i="1"/>
  <c r="GN13" i="6" s="1" a="1"/>
  <c r="GN13" i="6" s="1"/>
  <c r="BC20" i="1"/>
  <c r="BM26" i="1"/>
  <c r="BK13" i="6" s="1" a="1"/>
  <c r="BK13" i="6" s="1"/>
  <c r="LU32" i="1"/>
  <c r="KU20" i="1"/>
  <c r="BW20" i="1"/>
  <c r="BG20" i="1"/>
  <c r="JK32" i="1"/>
  <c r="JI14" i="6" s="1" a="1"/>
  <c r="JI14" i="6" s="1"/>
  <c r="FJ26" i="1"/>
  <c r="FH13" i="6" s="1" a="1"/>
  <c r="FH13" i="6" s="1"/>
  <c r="DQ26" i="1"/>
  <c r="DO13" i="6" s="1" a="1"/>
  <c r="DO13" i="6" s="1"/>
  <c r="JO26" i="1"/>
  <c r="JM13" i="6" s="1" a="1"/>
  <c r="JM13" i="6" s="1"/>
  <c r="ID20" i="1"/>
  <c r="ED26" i="1"/>
  <c r="EB13" i="6" s="1" a="1"/>
  <c r="EB13" i="6" s="1"/>
  <c r="KR32" i="1"/>
  <c r="KP14" i="6" s="1" a="1"/>
  <c r="KP14" i="6" s="1"/>
  <c r="Y32" i="1"/>
  <c r="W14" i="6" s="1" a="1"/>
  <c r="W14" i="6" s="1"/>
  <c r="HZ26" i="1"/>
  <c r="HX13" i="6" s="1" a="1"/>
  <c r="HX13" i="6" s="1"/>
  <c r="KD20" i="1"/>
  <c r="DV32" i="1"/>
  <c r="DT14" i="6" s="1" a="1"/>
  <c r="DT14" i="6" s="1"/>
  <c r="P20" i="1"/>
  <c r="CI20" i="1"/>
  <c r="HA26" i="1"/>
  <c r="GY13" i="6" s="1" a="1"/>
  <c r="GY13" i="6" s="1"/>
  <c r="DQ20" i="1"/>
  <c r="GY26" i="1"/>
  <c r="GW13" i="6" s="1" a="1"/>
  <c r="GW13" i="6" s="1"/>
  <c r="KN26" i="1"/>
  <c r="KL13" i="6" s="1" a="1"/>
  <c r="KL13" i="6" s="1"/>
  <c r="AZ20" i="1"/>
  <c r="LB20" i="1"/>
  <c r="AV26" i="1"/>
  <c r="AT13" i="6" s="1" a="1"/>
  <c r="AT13" i="6" s="1"/>
  <c r="KX20" i="1"/>
  <c r="II20" i="1"/>
  <c r="JJ20" i="1"/>
  <c r="FS32" i="1"/>
  <c r="FQ14" i="6" s="1" a="1"/>
  <c r="FQ14" i="6" s="1"/>
  <c r="AA32" i="1"/>
  <c r="Y14" i="6" s="1" a="1"/>
  <c r="Y14" i="6" s="1"/>
  <c r="FT26" i="1"/>
  <c r="FR13" i="6" s="1" a="1"/>
  <c r="FR13" i="6" s="1"/>
  <c r="GF32" i="1"/>
  <c r="GD14" i="6" s="1" a="1"/>
  <c r="GD14" i="6" s="1"/>
  <c r="LC20" i="1"/>
  <c r="DW32" i="1"/>
  <c r="DU14" i="6" s="1" a="1"/>
  <c r="DU14" i="6" s="1"/>
  <c r="JP20" i="1"/>
  <c r="EP26" i="1"/>
  <c r="EN13" i="6" s="1" a="1"/>
  <c r="EN13" i="6" s="1"/>
  <c r="JL32" i="1"/>
  <c r="JJ14" i="6" s="1" a="1"/>
  <c r="JJ14" i="6" s="1"/>
  <c r="LO26" i="1"/>
  <c r="HY32" i="1"/>
  <c r="HW14" i="6" s="1" a="1"/>
  <c r="HW14" i="6" s="1"/>
  <c r="BT32" i="1"/>
  <c r="BR14" i="6" s="1" a="1"/>
  <c r="BR14" i="6" s="1"/>
  <c r="IG32" i="1"/>
  <c r="IE14" i="6" s="1" a="1"/>
  <c r="IE14" i="6" s="1"/>
  <c r="JU26" i="1"/>
  <c r="JS13" i="6" s="1" a="1"/>
  <c r="JS13" i="6" s="1"/>
  <c r="L32" i="1"/>
  <c r="J14" i="6" s="1" a="1"/>
  <c r="J14" i="6" s="1"/>
  <c r="JN26" i="1"/>
  <c r="JL13" i="6" s="1" a="1"/>
  <c r="JL13" i="6" s="1"/>
  <c r="JF32" i="1"/>
  <c r="JD14" i="6" s="1" a="1"/>
  <c r="JD14" i="6" s="1"/>
  <c r="CT20" i="1"/>
  <c r="IT26" i="1"/>
  <c r="IR13" i="6" s="1" a="1"/>
  <c r="IR13" i="6" s="1"/>
  <c r="KG20" i="1"/>
  <c r="DE32" i="1"/>
  <c r="DC14" i="6" s="1" a="1"/>
  <c r="DC14" i="6" s="1"/>
  <c r="DN26" i="1"/>
  <c r="DL13" i="6" s="1" a="1"/>
  <c r="DL13" i="6" s="1"/>
  <c r="GQ20" i="1"/>
  <c r="HS32" i="1"/>
  <c r="HQ14" i="6" s="1" a="1"/>
  <c r="HQ14" i="6" s="1"/>
  <c r="FS26" i="1"/>
  <c r="FQ13" i="6" s="1" a="1"/>
  <c r="FQ13" i="6" s="1"/>
  <c r="BM20" i="1"/>
  <c r="AD32" i="1"/>
  <c r="AB14" i="6" s="1" a="1"/>
  <c r="AB14" i="6" s="1"/>
  <c r="HM26" i="1"/>
  <c r="HK13" i="6" s="1" a="1"/>
  <c r="HK13" i="6" s="1"/>
  <c r="JW20" i="1"/>
  <c r="GU32" i="1"/>
  <c r="GS14" i="6" s="1" a="1"/>
  <c r="GS14" i="6" s="1"/>
  <c r="DA32" i="1"/>
  <c r="CY14" i="6" s="1" a="1"/>
  <c r="CY14" i="6" s="1"/>
  <c r="FA26" i="1"/>
  <c r="EY13" i="6" s="1" a="1"/>
  <c r="EY13" i="6" s="1"/>
  <c r="HS20" i="1"/>
  <c r="AV32" i="1"/>
  <c r="AT14" i="6" s="1" a="1"/>
  <c r="AT14" i="6" s="1"/>
  <c r="IN20" i="1"/>
  <c r="IS32" i="1"/>
  <c r="IQ14" i="6" s="1" a="1"/>
  <c r="IQ14" i="6" s="1"/>
  <c r="HB26" i="1"/>
  <c r="GZ13" i="6" s="1" a="1"/>
  <c r="GZ13" i="6" s="1"/>
  <c r="EE32" i="1"/>
  <c r="EC14" i="6" s="1" a="1"/>
  <c r="EC14" i="6" s="1"/>
  <c r="IN26" i="1"/>
  <c r="IL13" i="6" s="1" a="1"/>
  <c r="IL13" i="6" s="1"/>
  <c r="LG26" i="1"/>
  <c r="LE13" i="6" s="1" a="1"/>
  <c r="LE13" i="6" s="1"/>
  <c r="LI20" i="1"/>
  <c r="DV20" i="1"/>
  <c r="HG32" i="1"/>
  <c r="HE14" i="6" s="1" a="1"/>
  <c r="HE14" i="6" s="1"/>
  <c r="AU32" i="1"/>
  <c r="AS14" i="6" s="1" a="1"/>
  <c r="AS14" i="6" s="1"/>
  <c r="AH26" i="1"/>
  <c r="AF13" i="6" s="1" a="1"/>
  <c r="AF13" i="6" s="1"/>
  <c r="AZ26" i="1"/>
  <c r="AX13" i="6" s="1" a="1"/>
  <c r="AX13" i="6" s="1"/>
  <c r="Y20" i="1"/>
  <c r="FX32" i="1"/>
  <c r="FV14" i="6" s="1" a="1"/>
  <c r="FV14" i="6" s="1"/>
  <c r="KT26" i="1"/>
  <c r="KR13" i="6" s="1" a="1"/>
  <c r="KR13" i="6" s="1"/>
  <c r="DM32" i="1"/>
  <c r="DK14" i="6" s="1" a="1"/>
  <c r="DK14" i="6" s="1"/>
  <c r="IA20" i="1"/>
  <c r="CW26" i="1"/>
  <c r="CU13" i="6" s="1" a="1"/>
  <c r="CU13" i="6" s="1"/>
  <c r="AF20" i="1"/>
  <c r="GA20" i="1"/>
  <c r="HD20" i="1"/>
  <c r="JU20" i="1"/>
  <c r="IV32" i="1"/>
  <c r="IT14" i="6" s="1" a="1"/>
  <c r="IT14" i="6" s="1"/>
  <c r="EB32" i="1"/>
  <c r="DZ14" i="6" s="1" a="1"/>
  <c r="DZ14" i="6" s="1"/>
  <c r="CV32" i="1"/>
  <c r="CT14" i="6" s="1" a="1"/>
  <c r="CT14" i="6" s="1"/>
  <c r="GK26" i="1"/>
  <c r="GI13" i="6" s="1" a="1"/>
  <c r="GI13" i="6" s="1"/>
  <c r="JA26" i="1"/>
  <c r="IY13" i="6" s="1" a="1"/>
  <c r="IY13" i="6" s="1"/>
  <c r="EV20" i="1"/>
  <c r="DY20" i="1"/>
  <c r="KT20" i="1"/>
  <c r="IH32" i="1"/>
  <c r="IF14" i="6" s="1" a="1"/>
  <c r="IF14" i="6" s="1"/>
  <c r="JT32" i="1"/>
  <c r="JR14" i="6" s="1" a="1"/>
  <c r="JR14" i="6" s="1"/>
  <c r="CL20" i="1"/>
  <c r="AK20" i="1"/>
  <c r="GR32" i="1"/>
  <c r="GP14" i="6" s="1" a="1"/>
  <c r="GP14" i="6" s="1"/>
  <c r="FO23" i="1" l="1"/>
  <c r="FZ12" i="1"/>
  <c r="FZ16" i="1" s="1"/>
  <c r="FX12" i="6" s="1" a="1"/>
  <c r="FX12" i="6" s="1"/>
  <c r="LK12" i="1"/>
  <c r="LK16" i="1" s="1"/>
  <c r="GC12" i="1"/>
  <c r="GC16" i="1" s="1"/>
  <c r="GA12" i="6" s="1" a="1"/>
  <c r="GA12" i="6" s="1"/>
  <c r="GC23" i="1"/>
  <c r="EO17" i="1"/>
  <c r="LI29" i="1"/>
  <c r="FA17" i="1"/>
  <c r="KJ29" i="1"/>
  <c r="DL17" i="1"/>
  <c r="BD12" i="1"/>
  <c r="BD16" i="1" s="1"/>
  <c r="BB12" i="6" s="1" a="1"/>
  <c r="BB12" i="6" s="1"/>
  <c r="LT12" i="1"/>
  <c r="LT16" i="1" s="1"/>
  <c r="BI23" i="1"/>
  <c r="KA23" i="1"/>
  <c r="AT12" i="1"/>
  <c r="AT16" i="1" s="1"/>
  <c r="AR12" i="6" s="1" a="1"/>
  <c r="AR12" i="6" s="1"/>
  <c r="AR6" i="6" s="1"/>
  <c r="AS29" i="1"/>
  <c r="JT29" i="1"/>
  <c r="LY29" i="1"/>
  <c r="JX29" i="1"/>
  <c r="JX17" i="1"/>
  <c r="DE17" i="1"/>
  <c r="KR23" i="1"/>
  <c r="GO23" i="1"/>
  <c r="FL23" i="1"/>
  <c r="CK29" i="1"/>
  <c r="EP12" i="1"/>
  <c r="EP16" i="1" s="1"/>
  <c r="EN12" i="6" s="1" a="1"/>
  <c r="EN12" i="6" s="1"/>
  <c r="CU17" i="1"/>
  <c r="LX17" i="1"/>
  <c r="U17" i="1"/>
  <c r="IO23" i="1"/>
  <c r="LN17" i="1"/>
  <c r="ER23" i="1"/>
  <c r="ED23" i="1"/>
  <c r="LE29" i="1"/>
  <c r="FE23" i="1"/>
  <c r="FJ17" i="1"/>
  <c r="LW12" i="1"/>
  <c r="LW16" i="1" s="1"/>
  <c r="IB17" i="1"/>
  <c r="FE12" i="1"/>
  <c r="FE16" i="1" s="1"/>
  <c r="FC12" i="6" s="1" a="1"/>
  <c r="FC12" i="6" s="1"/>
  <c r="FC6" i="6" s="1"/>
  <c r="KP12" i="1"/>
  <c r="KP16" i="1" s="1"/>
  <c r="KN12" i="6" s="1" a="1"/>
  <c r="KN12" i="6" s="1"/>
  <c r="CC29" i="1"/>
  <c r="AU29" i="1"/>
  <c r="FO17" i="1"/>
  <c r="BB6" i="6"/>
  <c r="EP17" i="1"/>
  <c r="E29" i="1"/>
  <c r="E30" i="1" s="1"/>
  <c r="EN6" i="6"/>
  <c r="C14" i="6" a="1"/>
  <c r="C14" i="6" s="1"/>
  <c r="J20" i="6" a="1"/>
  <c r="J20" i="6" s="1"/>
  <c r="G20" i="6" a="1"/>
  <c r="G20" i="6" s="1"/>
  <c r="C13" i="6" a="1"/>
  <c r="C13" i="6" s="1"/>
  <c r="D20" i="6" a="1"/>
  <c r="D20" i="6" s="1"/>
  <c r="E16" i="1"/>
  <c r="C12" i="6" s="1" a="1"/>
  <c r="C12" i="6" s="1"/>
  <c r="E17" i="1"/>
  <c r="E18" i="1" s="1"/>
  <c r="LY12" i="1"/>
  <c r="LY16" i="1" s="1"/>
  <c r="LT29" i="1"/>
  <c r="LX12" i="1"/>
  <c r="LX16" i="1" s="1"/>
  <c r="LU17" i="1"/>
  <c r="KK23" i="1"/>
  <c r="FF17" i="1"/>
  <c r="IG29" i="1"/>
  <c r="CK12" i="1"/>
  <c r="CK16" i="1" s="1"/>
  <c r="CI12" i="6" s="1" a="1"/>
  <c r="CI12" i="6" s="1"/>
  <c r="CI6" i="6" s="1"/>
  <c r="FA12" i="1"/>
  <c r="FA16" i="1" s="1"/>
  <c r="EY12" i="6" s="1" a="1"/>
  <c r="EY12" i="6" s="1"/>
  <c r="EY6" i="6" s="1"/>
  <c r="IV29" i="1"/>
  <c r="LE17" i="1"/>
  <c r="HB17" i="1"/>
  <c r="K23" i="1"/>
  <c r="IY12" i="1"/>
  <c r="IY16" i="1" s="1"/>
  <c r="IW12" i="6" s="1" a="1"/>
  <c r="IW12" i="6" s="1"/>
  <c r="GN12" i="1"/>
  <c r="GN16" i="1" s="1"/>
  <c r="GL12" i="6" s="1" a="1"/>
  <c r="GL12" i="6" s="1"/>
  <c r="W12" i="1"/>
  <c r="W16" i="1" s="1"/>
  <c r="U12" i="6" s="1" a="1"/>
  <c r="U12" i="6" s="1"/>
  <c r="U6" i="6" s="1"/>
  <c r="IS23" i="1"/>
  <c r="N23" i="1"/>
  <c r="AI12" i="1"/>
  <c r="AI16" i="1" s="1"/>
  <c r="AG12" i="6" s="1" a="1"/>
  <c r="AG12" i="6" s="1"/>
  <c r="AG6" i="6" s="1"/>
  <c r="EQ12" i="1"/>
  <c r="EQ16" i="1" s="1"/>
  <c r="EO12" i="6" s="1" a="1"/>
  <c r="EO12" i="6" s="1"/>
  <c r="EO6" i="6" s="1"/>
  <c r="HQ23" i="1"/>
  <c r="IU29" i="1"/>
  <c r="LJ29" i="1"/>
  <c r="FT12" i="1"/>
  <c r="FT16" i="1" s="1"/>
  <c r="FR12" i="6" s="1" a="1"/>
  <c r="FR12" i="6" s="1"/>
  <c r="DM23" i="1"/>
  <c r="HC12" i="1"/>
  <c r="HC16" i="1" s="1"/>
  <c r="HA12" i="6" s="1" a="1"/>
  <c r="HA12" i="6" s="1"/>
  <c r="JY29" i="1"/>
  <c r="KN12" i="1"/>
  <c r="KN16" i="1" s="1"/>
  <c r="KL12" i="6" s="1" a="1"/>
  <c r="KL12" i="6" s="1"/>
  <c r="GD23" i="1"/>
  <c r="H29" i="1"/>
  <c r="LK23" i="1"/>
  <c r="LE12" i="1"/>
  <c r="HB23" i="1"/>
  <c r="IE29" i="1"/>
  <c r="JR12" i="1"/>
  <c r="JR16" i="1" s="1"/>
  <c r="JP12" i="6" s="1" a="1"/>
  <c r="JP12" i="6" s="1"/>
  <c r="AL29" i="1"/>
  <c r="FQ12" i="1"/>
  <c r="FQ16" i="1" s="1"/>
  <c r="FO12" i="6" s="1" a="1"/>
  <c r="FO12" i="6" s="1"/>
  <c r="GQ12" i="1"/>
  <c r="GQ16" i="1" s="1"/>
  <c r="GO12" i="6" s="1" a="1"/>
  <c r="GO12" i="6" s="1"/>
  <c r="JF12" i="1"/>
  <c r="JF16" i="1" s="1"/>
  <c r="JD12" i="6" s="1" a="1"/>
  <c r="JD12" i="6" s="1"/>
  <c r="LL23" i="1"/>
  <c r="CC23" i="1"/>
  <c r="AI17" i="1"/>
  <c r="KZ23" i="1"/>
  <c r="EN12" i="1"/>
  <c r="EN16" i="1" s="1"/>
  <c r="EL12" i="6" s="1" a="1"/>
  <c r="EL12" i="6" s="1"/>
  <c r="EL6" i="6" s="1"/>
  <c r="BD29" i="1"/>
  <c r="BD30" i="1" s="1"/>
  <c r="CI29" i="1"/>
  <c r="CO17" i="1"/>
  <c r="DW12" i="1"/>
  <c r="DW16" i="1" s="1"/>
  <c r="DU12" i="6" s="1" a="1"/>
  <c r="DU12" i="6" s="1"/>
  <c r="DU6" i="6" s="1"/>
  <c r="LA23" i="1"/>
  <c r="GL12" i="1"/>
  <c r="GL16" i="1" s="1"/>
  <c r="GJ12" i="6" s="1" a="1"/>
  <c r="GJ12" i="6" s="1"/>
  <c r="CU23" i="1"/>
  <c r="HJ29" i="1"/>
  <c r="EH23" i="1"/>
  <c r="GJ17" i="1"/>
  <c r="KO29" i="1"/>
  <c r="FC12" i="1"/>
  <c r="FC16" i="1" s="1"/>
  <c r="FA12" i="6" s="1" a="1"/>
  <c r="FA12" i="6" s="1"/>
  <c r="FA6" i="6" s="1"/>
  <c r="LK17" i="1"/>
  <c r="GA29" i="1"/>
  <c r="JH29" i="1"/>
  <c r="AT29" i="1"/>
  <c r="J17" i="1"/>
  <c r="BU29" i="1"/>
  <c r="JR29" i="1"/>
  <c r="CJ12" i="1"/>
  <c r="CJ16" i="1" s="1"/>
  <c r="CH12" i="6" s="1" a="1"/>
  <c r="CH12" i="6" s="1"/>
  <c r="CH6" i="6" s="1"/>
  <c r="LG29" i="1"/>
  <c r="HU29" i="1"/>
  <c r="DY23" i="1"/>
  <c r="JS23" i="1"/>
  <c r="JF23" i="1"/>
  <c r="BC23" i="1"/>
  <c r="AE12" i="1"/>
  <c r="AE16" i="1" s="1"/>
  <c r="AC12" i="6" s="1" a="1"/>
  <c r="AC12" i="6" s="1"/>
  <c r="AC6" i="6" s="1"/>
  <c r="BY29" i="1"/>
  <c r="DD23" i="1"/>
  <c r="JD17" i="1"/>
  <c r="HS23" i="1"/>
  <c r="DO17" i="1"/>
  <c r="HM23" i="1"/>
  <c r="AO17" i="1"/>
  <c r="JL17" i="1"/>
  <c r="FV29" i="1"/>
  <c r="HO23" i="1"/>
  <c r="CT29" i="1"/>
  <c r="DE23" i="1"/>
  <c r="LV23" i="1"/>
  <c r="LR23" i="1"/>
  <c r="LR17" i="1"/>
  <c r="IY29" i="1"/>
  <c r="JA29" i="1"/>
  <c r="HP12" i="1"/>
  <c r="HP16" i="1" s="1"/>
  <c r="HN12" i="6" s="1" a="1"/>
  <c r="HN12" i="6" s="1"/>
  <c r="IS12" i="1"/>
  <c r="IS16" i="1" s="1"/>
  <c r="IQ12" i="6" s="1" a="1"/>
  <c r="IQ12" i="6" s="1"/>
  <c r="JI12" i="1"/>
  <c r="JI16" i="1" s="1"/>
  <c r="JG12" i="6" s="1" a="1"/>
  <c r="JG12" i="6" s="1"/>
  <c r="IL12" i="1"/>
  <c r="IL16" i="1" s="1"/>
  <c r="IJ12" i="6" s="1" a="1"/>
  <c r="IJ12" i="6" s="1"/>
  <c r="IK29" i="1"/>
  <c r="CD29" i="1"/>
  <c r="BZ17" i="1"/>
  <c r="FJ29" i="1"/>
  <c r="KK12" i="1"/>
  <c r="KK16" i="1" s="1"/>
  <c r="KI12" i="6" s="1" a="1"/>
  <c r="KI12" i="6" s="1"/>
  <c r="IP23" i="1"/>
  <c r="EH12" i="1"/>
  <c r="EH16" i="1" s="1"/>
  <c r="EF12" i="6" s="1" a="1"/>
  <c r="EF12" i="6" s="1"/>
  <c r="EF6" i="6" s="1"/>
  <c r="KC12" i="1"/>
  <c r="KC16" i="1" s="1"/>
  <c r="KA12" i="6" s="1" a="1"/>
  <c r="KA12" i="6" s="1"/>
  <c r="KM23" i="1"/>
  <c r="BE12" i="1"/>
  <c r="BE16" i="1" s="1"/>
  <c r="BC12" i="6" s="1" a="1"/>
  <c r="BC12" i="6" s="1"/>
  <c r="BC6" i="6" s="1"/>
  <c r="FY17" i="1"/>
  <c r="LI17" i="1"/>
  <c r="FJ12" i="1"/>
  <c r="FJ16" i="1" s="1"/>
  <c r="FH12" i="6" s="1" a="1"/>
  <c r="FH12" i="6" s="1"/>
  <c r="FH6" i="6" s="1"/>
  <c r="DI12" i="1"/>
  <c r="DI16" i="1" s="1"/>
  <c r="DG12" i="6" s="1" a="1"/>
  <c r="DG12" i="6" s="1"/>
  <c r="DG6" i="6" s="1"/>
  <c r="BR29" i="1"/>
  <c r="CU29" i="1"/>
  <c r="GN29" i="1"/>
  <c r="W17" i="1"/>
  <c r="AP12" i="1"/>
  <c r="AP16" i="1" s="1"/>
  <c r="AN12" i="6" s="1" a="1"/>
  <c r="AN12" i="6" s="1"/>
  <c r="AN6" i="6" s="1"/>
  <c r="BC12" i="1"/>
  <c r="BC16" i="1" s="1"/>
  <c r="BA12" i="6" s="1" a="1"/>
  <c r="BA12" i="6" s="1"/>
  <c r="BA6" i="6" s="1"/>
  <c r="FM23" i="1"/>
  <c r="GU17" i="1"/>
  <c r="DO12" i="1"/>
  <c r="DO16" i="1" s="1"/>
  <c r="DM12" i="6" s="1" a="1"/>
  <c r="DM12" i="6" s="1"/>
  <c r="DM6" i="6" s="1"/>
  <c r="CI12" i="1"/>
  <c r="CI16" i="1" s="1"/>
  <c r="CG12" i="6" s="1" a="1"/>
  <c r="CG12" i="6" s="1"/>
  <c r="CG6" i="6" s="1"/>
  <c r="KP23" i="1"/>
  <c r="KI12" i="1"/>
  <c r="KI16" i="1" s="1"/>
  <c r="KG12" i="6" s="1" a="1"/>
  <c r="KG12" i="6" s="1"/>
  <c r="LT17" i="1"/>
  <c r="LT18" i="1" s="1"/>
  <c r="LR29" i="1"/>
  <c r="LR12" i="1"/>
  <c r="LR16" i="1" s="1"/>
  <c r="Y29" i="1"/>
  <c r="FE17" i="1"/>
  <c r="KC17" i="1"/>
  <c r="LQ12" i="1"/>
  <c r="LQ16" i="1" s="1"/>
  <c r="JD23" i="1"/>
  <c r="HQ12" i="1"/>
  <c r="HQ16" i="1" s="1"/>
  <c r="HO12" i="6" s="1" a="1"/>
  <c r="HO12" i="6" s="1"/>
  <c r="IE12" i="1"/>
  <c r="IE16" i="1" s="1"/>
  <c r="IC12" i="6" s="1" a="1"/>
  <c r="IC12" i="6" s="1"/>
  <c r="GE29" i="1"/>
  <c r="AA17" i="1"/>
  <c r="ID17" i="1"/>
  <c r="LQ29" i="1"/>
  <c r="IK23" i="1"/>
  <c r="KD23" i="1"/>
  <c r="CO23" i="1"/>
  <c r="HF23" i="1"/>
  <c r="KI23" i="1"/>
  <c r="LH12" i="1"/>
  <c r="LH16" i="1" s="1"/>
  <c r="LF12" i="6" s="1" a="1"/>
  <c r="LF12" i="6" s="1"/>
  <c r="GG23" i="1"/>
  <c r="DG12" i="1"/>
  <c r="DG16" i="1" s="1"/>
  <c r="DE12" i="6" s="1" a="1"/>
  <c r="DE12" i="6" s="1"/>
  <c r="DE6" i="6" s="1"/>
  <c r="AI23" i="1"/>
  <c r="EQ17" i="1"/>
  <c r="Z17" i="1"/>
  <c r="CN17" i="1"/>
  <c r="JB12" i="1"/>
  <c r="JB16" i="1" s="1"/>
  <c r="IZ12" i="6" s="1" a="1"/>
  <c r="IZ12" i="6" s="1"/>
  <c r="LH29" i="1"/>
  <c r="EH29" i="1"/>
  <c r="BJ17" i="1"/>
  <c r="KO17" i="1"/>
  <c r="LQ23" i="1"/>
  <c r="GU12" i="1"/>
  <c r="GU16" i="1" s="1"/>
  <c r="GS12" i="6" s="1" a="1"/>
  <c r="GS12" i="6" s="1"/>
  <c r="IQ23" i="1"/>
  <c r="HB29" i="1"/>
  <c r="AK12" i="1"/>
  <c r="AK16" i="1" s="1"/>
  <c r="AI12" i="6" s="1" a="1"/>
  <c r="AI12" i="6" s="1"/>
  <c r="AI6" i="6" s="1"/>
  <c r="CN23" i="1"/>
  <c r="JL12" i="1"/>
  <c r="JL16" i="1" s="1"/>
  <c r="JJ12" i="6" s="1" a="1"/>
  <c r="JJ12" i="6" s="1"/>
  <c r="LG17" i="1"/>
  <c r="JB17" i="1"/>
  <c r="LH17" i="1"/>
  <c r="LP17" i="1"/>
  <c r="BJ29" i="1"/>
  <c r="GB17" i="1"/>
  <c r="AI29" i="1"/>
  <c r="AI30" i="1" s="1"/>
  <c r="DD17" i="1"/>
  <c r="KU23" i="1"/>
  <c r="EJ23" i="1"/>
  <c r="FD29" i="1"/>
  <c r="DJ17" i="1"/>
  <c r="DW29" i="1"/>
  <c r="FT17" i="1"/>
  <c r="DE12" i="1"/>
  <c r="AC12" i="1"/>
  <c r="AC16" i="1" s="1"/>
  <c r="AA12" i="6" s="1" a="1"/>
  <c r="AA12" i="6" s="1"/>
  <c r="AA6" i="6" s="1"/>
  <c r="EK29" i="1"/>
  <c r="AP17" i="1"/>
  <c r="DX29" i="1"/>
  <c r="KX29" i="1"/>
  <c r="BK29" i="1"/>
  <c r="HV29" i="1"/>
  <c r="FP29" i="1"/>
  <c r="AT17" i="1"/>
  <c r="CI17" i="1"/>
  <c r="BF23" i="1"/>
  <c r="IN12" i="1"/>
  <c r="IN16" i="1" s="1"/>
  <c r="IL12" i="6" s="1" a="1"/>
  <c r="IL12" i="6" s="1"/>
  <c r="CQ23" i="1"/>
  <c r="AD29" i="1"/>
  <c r="IW17" i="1"/>
  <c r="Y17" i="1"/>
  <c r="IP12" i="1"/>
  <c r="IP16" i="1" s="1"/>
  <c r="IN12" i="6" s="1" a="1"/>
  <c r="IN12" i="6" s="1"/>
  <c r="AG12" i="1"/>
  <c r="AG16" i="1" s="1"/>
  <c r="AE12" i="6" s="1" a="1"/>
  <c r="AE12" i="6" s="1"/>
  <c r="AE6" i="6" s="1"/>
  <c r="FL12" i="1"/>
  <c r="AE17" i="1"/>
  <c r="AE18" i="1" s="1"/>
  <c r="EB23" i="1"/>
  <c r="DD12" i="1"/>
  <c r="DD16" i="1" s="1"/>
  <c r="DB12" i="6" s="1" a="1"/>
  <c r="DB12" i="6" s="1"/>
  <c r="DB6" i="6" s="1"/>
  <c r="CX17" i="1"/>
  <c r="KY23" i="1"/>
  <c r="HQ29" i="1"/>
  <c r="CB12" i="1"/>
  <c r="CB16" i="1" s="1"/>
  <c r="BZ12" i="6" s="1" a="1"/>
  <c r="BZ12" i="6" s="1"/>
  <c r="BZ6" i="6" s="1"/>
  <c r="AZ17" i="1"/>
  <c r="KK29" i="1"/>
  <c r="IP29" i="1"/>
  <c r="LY17" i="1"/>
  <c r="LU23" i="1"/>
  <c r="JX12" i="1"/>
  <c r="JX16" i="1" s="1"/>
  <c r="JV12" i="6" s="1" a="1"/>
  <c r="JV12" i="6" s="1"/>
  <c r="GN17" i="1"/>
  <c r="KR17" i="1"/>
  <c r="HH17" i="1"/>
  <c r="HG23" i="1"/>
  <c r="FY29" i="1"/>
  <c r="CB23" i="1"/>
  <c r="KI17" i="1"/>
  <c r="HJ12" i="1"/>
  <c r="HJ16" i="1" s="1"/>
  <c r="HH12" i="6" s="1" a="1"/>
  <c r="HH12" i="6" s="1"/>
  <c r="AG29" i="1"/>
  <c r="FH12" i="1"/>
  <c r="FH16" i="1" s="1"/>
  <c r="FF12" i="6" s="1" a="1"/>
  <c r="FF12" i="6" s="1"/>
  <c r="FF6" i="6" s="1"/>
  <c r="GF23" i="1"/>
  <c r="EO29" i="1"/>
  <c r="CB29" i="1"/>
  <c r="CP29" i="1"/>
  <c r="BP17" i="1"/>
  <c r="GE23" i="1"/>
  <c r="AU12" i="1"/>
  <c r="KC23" i="1"/>
  <c r="IH12" i="1"/>
  <c r="IH16" i="1" s="1"/>
  <c r="IF12" i="6" s="1" a="1"/>
  <c r="IF12" i="6" s="1"/>
  <c r="BE17" i="1"/>
  <c r="CA12" i="1"/>
  <c r="CA16" i="1" s="1"/>
  <c r="BY12" i="6" s="1" a="1"/>
  <c r="BY12" i="6" s="1"/>
  <c r="BY6" i="6" s="1"/>
  <c r="BU12" i="1"/>
  <c r="BU16" i="1" s="1"/>
  <c r="BS12" i="6" s="1" a="1"/>
  <c r="BS12" i="6" s="1"/>
  <c r="BS6" i="6" s="1"/>
  <c r="DM17" i="1"/>
  <c r="FZ17" i="1"/>
  <c r="FZ18" i="1" s="1"/>
  <c r="FE29" i="1"/>
  <c r="JW17" i="1"/>
  <c r="GD29" i="1"/>
  <c r="IH17" i="1"/>
  <c r="JN23" i="1"/>
  <c r="EQ29" i="1"/>
  <c r="DO23" i="1"/>
  <c r="FD12" i="1"/>
  <c r="FD16" i="1" s="1"/>
  <c r="FB12" i="6" s="1" a="1"/>
  <c r="FB12" i="6" s="1"/>
  <c r="FB6" i="6" s="1"/>
  <c r="AO29" i="1"/>
  <c r="CP12" i="1"/>
  <c r="CP16" i="1" s="1"/>
  <c r="CN12" i="6" s="1" a="1"/>
  <c r="CN12" i="6" s="1"/>
  <c r="CN6" i="6" s="1"/>
  <c r="FT23" i="1"/>
  <c r="AM23" i="1"/>
  <c r="IA23" i="1"/>
  <c r="W29" i="1"/>
  <c r="JW29" i="1"/>
  <c r="FH23" i="1"/>
  <c r="KX23" i="1"/>
  <c r="BK12" i="1"/>
  <c r="BK16" i="1" s="1"/>
  <c r="BI12" i="6" s="1" a="1"/>
  <c r="BI12" i="6" s="1"/>
  <c r="BI6" i="6" s="1"/>
  <c r="JQ12" i="1"/>
  <c r="JQ16" i="1" s="1"/>
  <c r="JO12" i="6" s="1" a="1"/>
  <c r="JO12" i="6" s="1"/>
  <c r="KY12" i="1"/>
  <c r="KY16" i="1" s="1"/>
  <c r="KW12" i="6" s="1" a="1"/>
  <c r="KW12" i="6" s="1"/>
  <c r="GR23" i="1"/>
  <c r="HW23" i="1"/>
  <c r="LJ17" i="1"/>
  <c r="JT17" i="1"/>
  <c r="LF29" i="1"/>
  <c r="AN29" i="1"/>
  <c r="FQ29" i="1"/>
  <c r="LD12" i="1"/>
  <c r="LD16" i="1" s="1"/>
  <c r="LB12" i="6" s="1" a="1"/>
  <c r="LB12" i="6" s="1"/>
  <c r="KW29" i="1"/>
  <c r="IB12" i="1"/>
  <c r="IB16" i="1" s="1"/>
  <c r="HZ12" i="6" s="1" a="1"/>
  <c r="HZ12" i="6" s="1"/>
  <c r="EB17" i="1"/>
  <c r="GU23" i="1"/>
  <c r="KF29" i="1"/>
  <c r="IQ12" i="1"/>
  <c r="IQ16" i="1" s="1"/>
  <c r="IO12" i="6" s="1" a="1"/>
  <c r="IO12" i="6" s="1"/>
  <c r="U12" i="1"/>
  <c r="AK17" i="1"/>
  <c r="DH12" i="1"/>
  <c r="DH16" i="1" s="1"/>
  <c r="DF12" i="6" s="1" a="1"/>
  <c r="DF12" i="6" s="1"/>
  <c r="DF6" i="6" s="1"/>
  <c r="JJ12" i="1"/>
  <c r="JJ16" i="1" s="1"/>
  <c r="JH12" i="6" s="1" a="1"/>
  <c r="JH12" i="6" s="1"/>
  <c r="AQ29" i="1"/>
  <c r="GP17" i="1"/>
  <c r="JB23" i="1"/>
  <c r="ES29" i="1"/>
  <c r="GQ29" i="1"/>
  <c r="GQ30" i="1" s="1"/>
  <c r="ID29" i="1"/>
  <c r="EW23" i="1"/>
  <c r="BQ23" i="1"/>
  <c r="BK17" i="1"/>
  <c r="HV23" i="1"/>
  <c r="JH23" i="1"/>
  <c r="LB23" i="1"/>
  <c r="J23" i="1"/>
  <c r="BT12" i="1"/>
  <c r="BT16" i="1" s="1"/>
  <c r="BR12" i="6" s="1" a="1"/>
  <c r="BR12" i="6" s="1"/>
  <c r="BR6" i="6" s="1"/>
  <c r="EY23" i="1"/>
  <c r="GN23" i="1"/>
  <c r="BV12" i="1"/>
  <c r="BV16" i="1" s="1"/>
  <c r="BT12" i="6" s="1" a="1"/>
  <c r="BT12" i="6" s="1"/>
  <c r="BT6" i="6" s="1"/>
  <c r="ID12" i="1"/>
  <c r="ID16" i="1" s="1"/>
  <c r="IB12" i="6" s="1" a="1"/>
  <c r="IB12" i="6" s="1"/>
  <c r="H12" i="1"/>
  <c r="H16" i="1" s="1"/>
  <c r="F12" i="6" s="1" a="1"/>
  <c r="F12" i="6" s="1"/>
  <c r="F6" i="6" s="1"/>
  <c r="HC29" i="1"/>
  <c r="BE23" i="1"/>
  <c r="BE24" i="1" s="1"/>
  <c r="J12" i="1"/>
  <c r="J16" i="1" s="1"/>
  <c r="H12" i="6" s="1" a="1"/>
  <c r="H12" i="6" s="1"/>
  <c r="H6" i="6" s="1"/>
  <c r="BP29" i="1"/>
  <c r="GG29" i="1"/>
  <c r="FG17" i="1"/>
  <c r="P12" i="1"/>
  <c r="P16" i="1" s="1"/>
  <c r="N12" i="6" s="1" a="1"/>
  <c r="N12" i="6" s="1"/>
  <c r="N6" i="6" s="1"/>
  <c r="JL29" i="1"/>
  <c r="JL30" i="1" s="1"/>
  <c r="IM17" i="1"/>
  <c r="FC29" i="1"/>
  <c r="KU12" i="1"/>
  <c r="KU16" i="1" s="1"/>
  <c r="KS12" i="6" s="1" a="1"/>
  <c r="KS12" i="6" s="1"/>
  <c r="GL17" i="1"/>
  <c r="EK17" i="1"/>
  <c r="GB23" i="1"/>
  <c r="BY17" i="1"/>
  <c r="LU29" i="1"/>
  <c r="LV29" i="1"/>
  <c r="GE12" i="1"/>
  <c r="GE16" i="1" s="1"/>
  <c r="GC12" i="6" s="1" a="1"/>
  <c r="GC12" i="6" s="1"/>
  <c r="BV29" i="1"/>
  <c r="CC17" i="1"/>
  <c r="LN23" i="1"/>
  <c r="LI12" i="1"/>
  <c r="LI16" i="1" s="1"/>
  <c r="LG12" i="6" s="1" a="1"/>
  <c r="LG12" i="6" s="1"/>
  <c r="CU12" i="1"/>
  <c r="HP17" i="1"/>
  <c r="GO29" i="1"/>
  <c r="IV23" i="1"/>
  <c r="HB12" i="1"/>
  <c r="HB16" i="1" s="1"/>
  <c r="GZ12" i="6" s="1" a="1"/>
  <c r="GZ12" i="6" s="1"/>
  <c r="CN12" i="1"/>
  <c r="CN16" i="1" s="1"/>
  <c r="CL12" i="6" s="1" a="1"/>
  <c r="CL12" i="6" s="1"/>
  <c r="CL6" i="6" s="1"/>
  <c r="KB23" i="1"/>
  <c r="KA17" i="1"/>
  <c r="JW23" i="1"/>
  <c r="FA23" i="1"/>
  <c r="KF12" i="1"/>
  <c r="KF16" i="1" s="1"/>
  <c r="KD12" i="6" s="1" a="1"/>
  <c r="KD12" i="6" s="1"/>
  <c r="JU17" i="1"/>
  <c r="AM17" i="1"/>
  <c r="KA29" i="1"/>
  <c r="KN17" i="1"/>
  <c r="DG29" i="1"/>
  <c r="KM17" i="1"/>
  <c r="CX12" i="1"/>
  <c r="CX16" i="1" s="1"/>
  <c r="CV12" i="6" s="1" a="1"/>
  <c r="CV12" i="6" s="1"/>
  <c r="CV6" i="6" s="1"/>
  <c r="CA17" i="1"/>
  <c r="HW17" i="1"/>
  <c r="BF17" i="1"/>
  <c r="DK23" i="1"/>
  <c r="HU12" i="1"/>
  <c r="HU16" i="1" s="1"/>
  <c r="HS12" i="6" s="1" a="1"/>
  <c r="HS12" i="6" s="1"/>
  <c r="EK12" i="1"/>
  <c r="EK16" i="1" s="1"/>
  <c r="EI12" i="6" s="1" a="1"/>
  <c r="EI12" i="6" s="1"/>
  <c r="EI6" i="6" s="1"/>
  <c r="O17" i="1"/>
  <c r="EW12" i="1"/>
  <c r="EW16" i="1" s="1"/>
  <c r="EU12" i="6" s="1" a="1"/>
  <c r="EU12" i="6" s="1"/>
  <c r="EU6" i="6" s="1"/>
  <c r="IJ17" i="1"/>
  <c r="JG29" i="1"/>
  <c r="DT29" i="1"/>
  <c r="HM29" i="1"/>
  <c r="BF29" i="1"/>
  <c r="II12" i="1"/>
  <c r="II16" i="1" s="1"/>
  <c r="IG12" i="6" s="1" a="1"/>
  <c r="IG12" i="6" s="1"/>
  <c r="EY12" i="1"/>
  <c r="EY16" i="1" s="1"/>
  <c r="EW12" i="6" s="1" a="1"/>
  <c r="EW12" i="6" s="1"/>
  <c r="EW6" i="6" s="1"/>
  <c r="LH23" i="1"/>
  <c r="O23" i="1"/>
  <c r="HH23" i="1"/>
  <c r="HG12" i="1"/>
  <c r="HG16" i="1" s="1"/>
  <c r="HE12" i="6" s="1" a="1"/>
  <c r="HE12" i="6" s="1"/>
  <c r="JQ17" i="1"/>
  <c r="LB12" i="1"/>
  <c r="LB16" i="1" s="1"/>
  <c r="KZ12" i="6" s="1" a="1"/>
  <c r="KZ12" i="6" s="1"/>
  <c r="J29" i="1"/>
  <c r="DJ23" i="1"/>
  <c r="DZ17" i="1"/>
  <c r="GM23" i="1"/>
  <c r="KL23" i="1"/>
  <c r="IA17" i="1"/>
  <c r="AS12" i="1"/>
  <c r="JV12" i="1"/>
  <c r="JV16" i="1" s="1"/>
  <c r="JT12" i="6" s="1" a="1"/>
  <c r="JT12" i="6" s="1"/>
  <c r="AB12" i="1"/>
  <c r="AB16" i="1" s="1"/>
  <c r="Z12" i="6" s="1" a="1"/>
  <c r="Z12" i="6" s="1"/>
  <c r="Z6" i="6" s="1"/>
  <c r="R17" i="1"/>
  <c r="JD12" i="1"/>
  <c r="JD16" i="1" s="1"/>
  <c r="JB12" i="6" s="1" a="1"/>
  <c r="JB12" i="6" s="1"/>
  <c r="EO12" i="1"/>
  <c r="AH23" i="1"/>
  <c r="FN29" i="1"/>
  <c r="AC29" i="1"/>
  <c r="IG23" i="1"/>
  <c r="KC29" i="1"/>
  <c r="IL29" i="1"/>
  <c r="IJ29" i="1"/>
  <c r="HV12" i="1"/>
  <c r="HV16" i="1" s="1"/>
  <c r="HT12" i="6" s="1" a="1"/>
  <c r="HT12" i="6" s="1"/>
  <c r="X23" i="1"/>
  <c r="LB17" i="1"/>
  <c r="GX17" i="1"/>
  <c r="DB29" i="1"/>
  <c r="LC17" i="1"/>
  <c r="BO29" i="1"/>
  <c r="HT17" i="1"/>
  <c r="KH23" i="1"/>
  <c r="FI17" i="1"/>
  <c r="BW23" i="1"/>
  <c r="I29" i="1"/>
  <c r="L17" i="1"/>
  <c r="HI23" i="1"/>
  <c r="M12" i="1"/>
  <c r="M16" i="1" s="1"/>
  <c r="K12" i="6" s="1" a="1"/>
  <c r="K12" i="6" s="1"/>
  <c r="K6" i="6" s="1"/>
  <c r="BR23" i="1"/>
  <c r="AD12" i="1"/>
  <c r="AD16" i="1" s="1"/>
  <c r="AB12" i="6" s="1" a="1"/>
  <c r="AB12" i="6" s="1"/>
  <c r="AB6" i="6" s="1"/>
  <c r="I17" i="1"/>
  <c r="L12" i="1"/>
  <c r="L16" i="1" s="1"/>
  <c r="J12" i="6" s="1" a="1"/>
  <c r="J12" i="6" s="1"/>
  <c r="J6" i="6" s="1"/>
  <c r="FB23" i="1"/>
  <c r="GL29" i="1"/>
  <c r="AD23" i="1"/>
  <c r="EE23" i="1"/>
  <c r="L23" i="1"/>
  <c r="S17" i="1"/>
  <c r="AR17" i="1"/>
  <c r="IO29" i="1"/>
  <c r="BI29" i="1"/>
  <c r="HA17" i="1"/>
  <c r="JO29" i="1"/>
  <c r="KQ23" i="1"/>
  <c r="DP17" i="1"/>
  <c r="CZ12" i="1"/>
  <c r="CZ16" i="1" s="1"/>
  <c r="CX12" i="6" s="1" a="1"/>
  <c r="CX12" i="6" s="1"/>
  <c r="CX6" i="6" s="1"/>
  <c r="DL23" i="1"/>
  <c r="BI17" i="1"/>
  <c r="CR17" i="1"/>
  <c r="BB12" i="1"/>
  <c r="BB16" i="1" s="1"/>
  <c r="AZ12" i="6" s="1" a="1"/>
  <c r="AZ12" i="6" s="1"/>
  <c r="AZ6" i="6" s="1"/>
  <c r="IT12" i="1"/>
  <c r="IT16" i="1" s="1"/>
  <c r="IR12" i="6" s="1" a="1"/>
  <c r="IR12" i="6" s="1"/>
  <c r="EA23" i="1"/>
  <c r="AW23" i="1"/>
  <c r="EV12" i="1"/>
  <c r="EV16" i="1" s="1"/>
  <c r="ET12" i="6" s="1" a="1"/>
  <c r="ET12" i="6" s="1"/>
  <c r="ET6" i="6" s="1"/>
  <c r="GY23" i="1"/>
  <c r="AQ23" i="1"/>
  <c r="V23" i="1"/>
  <c r="JO23" i="1"/>
  <c r="CE17" i="1"/>
  <c r="GI12" i="1"/>
  <c r="GI16" i="1" s="1"/>
  <c r="GG12" i="6" s="1" a="1"/>
  <c r="GG12" i="6" s="1"/>
  <c r="CZ23" i="1"/>
  <c r="EM29" i="1"/>
  <c r="HL17" i="1"/>
  <c r="IF23" i="1"/>
  <c r="AQ17" i="1"/>
  <c r="EU23" i="1"/>
  <c r="Q12" i="1"/>
  <c r="Q16" i="1" s="1"/>
  <c r="O12" i="6" s="1" a="1"/>
  <c r="O12" i="6" s="1"/>
  <c r="O6" i="6" s="1"/>
  <c r="BS17" i="1"/>
  <c r="T17" i="1"/>
  <c r="DC29" i="1"/>
  <c r="HX12" i="1"/>
  <c r="HX16" i="1" s="1"/>
  <c r="HV12" i="6" s="1" a="1"/>
  <c r="HV12" i="6" s="1"/>
  <c r="JM12" i="1"/>
  <c r="JM16" i="1" s="1"/>
  <c r="JK12" i="6" s="1" a="1"/>
  <c r="JK12" i="6" s="1"/>
  <c r="M17" i="1"/>
  <c r="LX29" i="1"/>
  <c r="LV12" i="1"/>
  <c r="LV16" i="1" s="1"/>
  <c r="AC23" i="1"/>
  <c r="AG17" i="1"/>
  <c r="H23" i="1"/>
  <c r="JU23" i="1"/>
  <c r="AL23" i="1"/>
  <c r="BV17" i="1"/>
  <c r="GD17" i="1"/>
  <c r="Z12" i="1"/>
  <c r="Z16" i="1" s="1"/>
  <c r="X12" i="6" s="1" a="1"/>
  <c r="X12" i="6" s="1"/>
  <c r="X6" i="6" s="1"/>
  <c r="DL29" i="1"/>
  <c r="FF23" i="1"/>
  <c r="GJ23" i="1"/>
  <c r="KM29" i="1"/>
  <c r="BZ23" i="1"/>
  <c r="IY17" i="1"/>
  <c r="IS17" i="1"/>
  <c r="FM17" i="1"/>
  <c r="GS29" i="1"/>
  <c r="FN12" i="1"/>
  <c r="FN16" i="1" s="1"/>
  <c r="FL12" i="6" s="1" a="1"/>
  <c r="FL12" i="6" s="1"/>
  <c r="GY17" i="1"/>
  <c r="JS17" i="1"/>
  <c r="JF29" i="1"/>
  <c r="JF30" i="1" s="1"/>
  <c r="JN17" i="1"/>
  <c r="DO29" i="1"/>
  <c r="CI23" i="1"/>
  <c r="DZ12" i="1"/>
  <c r="DZ16" i="1" s="1"/>
  <c r="DX12" i="6" s="1" a="1"/>
  <c r="DX12" i="6" s="1"/>
  <c r="DX6" i="6" s="1"/>
  <c r="ER12" i="1"/>
  <c r="ER16" i="1" s="1"/>
  <c r="EP12" i="6" s="1" a="1"/>
  <c r="EP12" i="6" s="1"/>
  <c r="EP6" i="6" s="1"/>
  <c r="JV17" i="1"/>
  <c r="IJ12" i="1"/>
  <c r="IJ16" i="1" s="1"/>
  <c r="IH12" i="6" s="1" a="1"/>
  <c r="IH12" i="6" s="1"/>
  <c r="BM12" i="1"/>
  <c r="BM16" i="1" s="1"/>
  <c r="BK12" i="6" s="1" a="1"/>
  <c r="BK12" i="6" s="1"/>
  <c r="BK6" i="6" s="1"/>
  <c r="FD17" i="1"/>
  <c r="JR17" i="1"/>
  <c r="JK29" i="1"/>
  <c r="DY12" i="1"/>
  <c r="DY16" i="1" s="1"/>
  <c r="DW12" i="6" s="1" a="1"/>
  <c r="DW12" i="6" s="1"/>
  <c r="DW6" i="6" s="1"/>
  <c r="KE17" i="1"/>
  <c r="FS23" i="1"/>
  <c r="KG17" i="1"/>
  <c r="F17" i="1"/>
  <c r="FF29" i="1"/>
  <c r="FH17" i="1"/>
  <c r="KF17" i="1"/>
  <c r="JR23" i="1"/>
  <c r="JR24" i="1" s="1"/>
  <c r="AN12" i="1"/>
  <c r="AN16" i="1" s="1"/>
  <c r="AL12" i="6" s="1" a="1"/>
  <c r="AL12" i="6" s="1"/>
  <c r="AL6" i="6" s="1"/>
  <c r="IH23" i="1"/>
  <c r="CX29" i="1"/>
  <c r="IF12" i="1"/>
  <c r="IF16" i="1" s="1"/>
  <c r="ID12" i="6" s="1" a="1"/>
  <c r="ID12" i="6" s="1"/>
  <c r="JB29" i="1"/>
  <c r="GB29" i="1"/>
  <c r="KJ23" i="1"/>
  <c r="GY12" i="1"/>
  <c r="GY16" i="1" s="1"/>
  <c r="GW12" i="6" s="1" a="1"/>
  <c r="GW12" i="6" s="1"/>
  <c r="HD17" i="1"/>
  <c r="LY23" i="1"/>
  <c r="LW23" i="1"/>
  <c r="BN23" i="1"/>
  <c r="JV29" i="1"/>
  <c r="BQ29" i="1"/>
  <c r="HS29" i="1"/>
  <c r="BT23" i="1"/>
  <c r="JA23" i="1"/>
  <c r="GG12" i="1"/>
  <c r="GG16" i="1" s="1"/>
  <c r="GE12" i="6" s="1" a="1"/>
  <c r="GE12" i="6" s="1"/>
  <c r="H17" i="1"/>
  <c r="EF29" i="1"/>
  <c r="BT17" i="1"/>
  <c r="LA12" i="1"/>
  <c r="LA16" i="1" s="1"/>
  <c r="KY12" i="6" s="1" a="1"/>
  <c r="KY12" i="6" s="1"/>
  <c r="AL17" i="1"/>
  <c r="AA23" i="1"/>
  <c r="LL12" i="1"/>
  <c r="LL16" i="1" s="1"/>
  <c r="JN12" i="1"/>
  <c r="JN16" i="1" s="1"/>
  <c r="JL12" i="6" s="1" a="1"/>
  <c r="JL12" i="6" s="1"/>
  <c r="GR12" i="1"/>
  <c r="GR16" i="1" s="1"/>
  <c r="GP12" i="6" s="1" a="1"/>
  <c r="GP12" i="6" s="1"/>
  <c r="IX29" i="1"/>
  <c r="GE17" i="1"/>
  <c r="JS12" i="1"/>
  <c r="JS16" i="1" s="1"/>
  <c r="JQ12" i="6" s="1" a="1"/>
  <c r="JQ12" i="6" s="1"/>
  <c r="AP29" i="1"/>
  <c r="JI29" i="1"/>
  <c r="JI30" i="1" s="1"/>
  <c r="LK29" i="1"/>
  <c r="LK30" i="1" s="1"/>
  <c r="F23" i="1"/>
  <c r="LI23" i="1"/>
  <c r="DJ12" i="1"/>
  <c r="DJ16" i="1" s="1"/>
  <c r="DH12" i="6" s="1" a="1"/>
  <c r="DH12" i="6" s="1"/>
  <c r="DH6" i="6" s="1"/>
  <c r="DI17" i="1"/>
  <c r="CQ12" i="1"/>
  <c r="CQ16" i="1" s="1"/>
  <c r="CO12" i="6" s="1" a="1"/>
  <c r="CO12" i="6" s="1"/>
  <c r="CO6" i="6" s="1"/>
  <c r="EP29" i="1"/>
  <c r="EP30" i="1" s="1"/>
  <c r="IM29" i="1"/>
  <c r="LL29" i="1"/>
  <c r="FM12" i="1"/>
  <c r="FM16" i="1" s="1"/>
  <c r="FK12" i="6" s="1" a="1"/>
  <c r="FK12" i="6" s="1"/>
  <c r="FR17" i="1"/>
  <c r="FP17" i="1"/>
  <c r="BD17" i="1"/>
  <c r="AO12" i="1"/>
  <c r="AO16" i="1" s="1"/>
  <c r="AM12" i="6" s="1" a="1"/>
  <c r="AM12" i="6" s="1"/>
  <c r="AM6" i="6" s="1"/>
  <c r="DI29" i="1"/>
  <c r="DI30" i="1" s="1"/>
  <c r="CQ17" i="1"/>
  <c r="HC23" i="1"/>
  <c r="AX29" i="1"/>
  <c r="LL17" i="1"/>
  <c r="BQ12" i="1"/>
  <c r="BQ16" i="1" s="1"/>
  <c r="BO12" i="6" s="1" a="1"/>
  <c r="BO12" i="6" s="1"/>
  <c r="BO6" i="6" s="1"/>
  <c r="FK12" i="1"/>
  <c r="FK16" i="1" s="1"/>
  <c r="FI12" i="6" s="1" a="1"/>
  <c r="FI12" i="6" s="1"/>
  <c r="KE12" i="1"/>
  <c r="KE16" i="1" s="1"/>
  <c r="KC12" i="6" s="1" a="1"/>
  <c r="KC12" i="6" s="1"/>
  <c r="EJ17" i="1"/>
  <c r="K12" i="1"/>
  <c r="K16" i="1" s="1"/>
  <c r="I12" i="6" s="1" a="1"/>
  <c r="I12" i="6" s="1"/>
  <c r="I6" i="6" s="1"/>
  <c r="GH23" i="1"/>
  <c r="LF23" i="1"/>
  <c r="GX23" i="1"/>
  <c r="AN23" i="1"/>
  <c r="ER17" i="1"/>
  <c r="LD17" i="1"/>
  <c r="HH29" i="1"/>
  <c r="FG29" i="1"/>
  <c r="KZ29" i="1"/>
  <c r="EF12" i="1"/>
  <c r="EF16" i="1" s="1"/>
  <c r="ED12" i="6" s="1" a="1"/>
  <c r="ED12" i="6" s="1"/>
  <c r="ED6" i="6" s="1"/>
  <c r="EN29" i="1"/>
  <c r="IU17" i="1"/>
  <c r="HU23" i="1"/>
  <c r="ER29" i="1"/>
  <c r="KR29" i="1"/>
  <c r="HH12" i="1"/>
  <c r="HH16" i="1" s="1"/>
  <c r="HF12" i="6" s="1" a="1"/>
  <c r="HF12" i="6" s="1"/>
  <c r="EB29" i="1"/>
  <c r="FK29" i="1"/>
  <c r="JG12" i="1"/>
  <c r="JG16" i="1" s="1"/>
  <c r="JE12" i="6" s="1" a="1"/>
  <c r="JE12" i="6" s="1"/>
  <c r="KY17" i="1"/>
  <c r="KY18" i="1" s="1"/>
  <c r="BR12" i="1"/>
  <c r="BR16" i="1" s="1"/>
  <c r="BP12" i="6" s="1" a="1"/>
  <c r="BP12" i="6" s="1"/>
  <c r="BP6" i="6" s="1"/>
  <c r="IW12" i="1"/>
  <c r="IW16" i="1" s="1"/>
  <c r="IU12" i="6" s="1" a="1"/>
  <c r="IU12" i="6" s="1"/>
  <c r="EG17" i="1"/>
  <c r="DV17" i="1"/>
  <c r="FB12" i="1"/>
  <c r="FB16" i="1" s="1"/>
  <c r="EZ12" i="6" s="1" a="1"/>
  <c r="EZ12" i="6" s="1"/>
  <c r="EZ6" i="6" s="1"/>
  <c r="DU17" i="1"/>
  <c r="P23" i="1"/>
  <c r="LF12" i="1"/>
  <c r="LF16" i="1" s="1"/>
  <c r="LD12" i="6" s="1" a="1"/>
  <c r="LD12" i="6" s="1"/>
  <c r="CM29" i="1"/>
  <c r="LC29" i="1"/>
  <c r="BG17" i="1"/>
  <c r="HX23" i="1"/>
  <c r="DK17" i="1"/>
  <c r="HO17" i="1"/>
  <c r="IW23" i="1"/>
  <c r="KQ29" i="1"/>
  <c r="BG29" i="1"/>
  <c r="FJ23" i="1"/>
  <c r="FJ24" i="1" s="1"/>
  <c r="GV17" i="1"/>
  <c r="DN23" i="1"/>
  <c r="CE12" i="1"/>
  <c r="CE16" i="1" s="1"/>
  <c r="CC12" i="6" s="1" a="1"/>
  <c r="CC12" i="6" s="1"/>
  <c r="CC6" i="6" s="1"/>
  <c r="DR17" i="1"/>
  <c r="JM29" i="1"/>
  <c r="DU29" i="1"/>
  <c r="DI23" i="1"/>
  <c r="HN12" i="1"/>
  <c r="HN16" i="1" s="1"/>
  <c r="HL12" i="6" s="1" a="1"/>
  <c r="HL12" i="6" s="1"/>
  <c r="DN17" i="1"/>
  <c r="CH23" i="1"/>
  <c r="GT17" i="1"/>
  <c r="DA12" i="1"/>
  <c r="DA16" i="1" s="1"/>
  <c r="CY12" i="6" s="1" a="1"/>
  <c r="CY12" i="6" s="1"/>
  <c r="CY6" i="6" s="1"/>
  <c r="KH29" i="1"/>
  <c r="FT29" i="1"/>
  <c r="DS17" i="1"/>
  <c r="HZ29" i="1"/>
  <c r="JP17" i="1"/>
  <c r="CS29" i="1"/>
  <c r="IR17" i="1"/>
  <c r="G17" i="1"/>
  <c r="EI12" i="1"/>
  <c r="EI16" i="1" s="1"/>
  <c r="EG12" i="6" s="1" a="1"/>
  <c r="EG12" i="6" s="1"/>
  <c r="EG6" i="6" s="1"/>
  <c r="CQ29" i="1"/>
  <c r="BW29" i="1"/>
  <c r="FW23" i="1"/>
  <c r="IT23" i="1"/>
  <c r="EX29" i="1"/>
  <c r="DA29" i="1"/>
  <c r="KT29" i="1"/>
  <c r="HL23" i="1"/>
  <c r="KD29" i="1"/>
  <c r="DQ23" i="1"/>
  <c r="GX12" i="1"/>
  <c r="GX16" i="1" s="1"/>
  <c r="GV12" i="6" s="1" a="1"/>
  <c r="GV12" i="6" s="1"/>
  <c r="DB17" i="1"/>
  <c r="IT29" i="1"/>
  <c r="BA23" i="1"/>
  <c r="HI12" i="1"/>
  <c r="HI16" i="1" s="1"/>
  <c r="HG12" i="6" s="1" a="1"/>
  <c r="HG12" i="6" s="1"/>
  <c r="KV12" i="1"/>
  <c r="KV16" i="1" s="1"/>
  <c r="KT12" i="6" s="1" a="1"/>
  <c r="KT12" i="6" s="1"/>
  <c r="S12" i="1"/>
  <c r="S16" i="1" s="1"/>
  <c r="Q12" i="6" s="1" a="1"/>
  <c r="Q12" i="6" s="1"/>
  <c r="Q6" i="6" s="1"/>
  <c r="DU12" i="1"/>
  <c r="DU16" i="1" s="1"/>
  <c r="DS12" i="6" s="1" a="1"/>
  <c r="DS12" i="6" s="1"/>
  <c r="DS6" i="6" s="1"/>
  <c r="HT12" i="1"/>
  <c r="HT16" i="1" s="1"/>
  <c r="HR12" i="6" s="1" a="1"/>
  <c r="HR12" i="6" s="1"/>
  <c r="LS17" i="1"/>
  <c r="LV17" i="1"/>
  <c r="DM12" i="1"/>
  <c r="DM16" i="1" s="1"/>
  <c r="DK12" i="6" s="1" a="1"/>
  <c r="DK12" i="6" s="1"/>
  <c r="DK6" i="6" s="1"/>
  <c r="IP17" i="1"/>
  <c r="GO12" i="1"/>
  <c r="GO16" i="1" s="1"/>
  <c r="GM12" i="6" s="1" a="1"/>
  <c r="GM12" i="6" s="1"/>
  <c r="GF29" i="1"/>
  <c r="LB29" i="1"/>
  <c r="AZ29" i="1"/>
  <c r="FF12" i="1"/>
  <c r="FF16" i="1" s="1"/>
  <c r="FD12" i="6" s="1" a="1"/>
  <c r="FD12" i="6" s="1"/>
  <c r="FD6" i="6" s="1"/>
  <c r="FO12" i="1"/>
  <c r="FO16" i="1" s="1"/>
  <c r="FM12" i="6" s="1" a="1"/>
  <c r="FM12" i="6" s="1"/>
  <c r="AB17" i="1"/>
  <c r="F12" i="1"/>
  <c r="F16" i="1" s="1"/>
  <c r="D12" i="6" s="1" a="1"/>
  <c r="D12" i="6" s="1"/>
  <c r="D6" i="6" s="1"/>
  <c r="BU17" i="1"/>
  <c r="DK29" i="1"/>
  <c r="CY23" i="1"/>
  <c r="BV23" i="1"/>
  <c r="FH29" i="1"/>
  <c r="IV17" i="1"/>
  <c r="BD23" i="1"/>
  <c r="LJ12" i="1"/>
  <c r="LJ16" i="1" s="1"/>
  <c r="W23" i="1"/>
  <c r="KW12" i="1"/>
  <c r="KW16" i="1" s="1"/>
  <c r="KU12" i="6" s="1" a="1"/>
  <c r="KU12" i="6" s="1"/>
  <c r="GB12" i="1"/>
  <c r="GB16" i="1" s="1"/>
  <c r="FZ12" i="6" s="1" a="1"/>
  <c r="FZ12" i="6" s="1"/>
  <c r="DT23" i="1"/>
  <c r="IX12" i="1"/>
  <c r="IX16" i="1" s="1"/>
  <c r="IV12" i="6" s="1" a="1"/>
  <c r="IV12" i="6" s="1"/>
  <c r="JT23" i="1"/>
  <c r="ES12" i="1"/>
  <c r="ES16" i="1" s="1"/>
  <c r="EQ12" i="6" s="1" a="1"/>
  <c r="EQ12" i="6" s="1"/>
  <c r="EQ6" i="6" s="1"/>
  <c r="DG17" i="1"/>
  <c r="BE29" i="1"/>
  <c r="BE30" i="1" s="1"/>
  <c r="F29" i="1"/>
  <c r="IX23" i="1"/>
  <c r="GL23" i="1"/>
  <c r="IA29" i="1"/>
  <c r="DG23" i="1"/>
  <c r="DG24" i="1" s="1"/>
  <c r="FR12" i="1"/>
  <c r="FR16" i="1" s="1"/>
  <c r="FP12" i="6" s="1" a="1"/>
  <c r="FP12" i="6" s="1"/>
  <c r="GS12" i="1"/>
  <c r="GS16" i="1" s="1"/>
  <c r="GQ12" i="6" s="1" a="1"/>
  <c r="GQ12" i="6" s="1"/>
  <c r="ED12" i="1"/>
  <c r="CJ17" i="1"/>
  <c r="IZ29" i="1"/>
  <c r="KK17" i="1"/>
  <c r="KK18" i="1" s="1"/>
  <c r="LP29" i="1"/>
  <c r="LS12" i="1"/>
  <c r="LS16" i="1" s="1"/>
  <c r="CY29" i="1"/>
  <c r="N17" i="1"/>
  <c r="KD12" i="1"/>
  <c r="KD16" i="1" s="1"/>
  <c r="KB12" i="6" s="1" a="1"/>
  <c r="KB12" i="6" s="1"/>
  <c r="JY23" i="1"/>
  <c r="GC17" i="1"/>
  <c r="GC18" i="1" s="1"/>
  <c r="IX17" i="1"/>
  <c r="JA12" i="1"/>
  <c r="JA16" i="1" s="1"/>
  <c r="IY12" i="6" s="1" a="1"/>
  <c r="IY12" i="6" s="1"/>
  <c r="JI23" i="1"/>
  <c r="JI24" i="1" s="1"/>
  <c r="FD23" i="1"/>
  <c r="JA17" i="1"/>
  <c r="GO17" i="1"/>
  <c r="GO18" i="1" s="1"/>
  <c r="GA12" i="1"/>
  <c r="GA16" i="1" s="1"/>
  <c r="FY12" i="6" s="1" a="1"/>
  <c r="FY12" i="6" s="1"/>
  <c r="HM12" i="1"/>
  <c r="HM16" i="1" s="1"/>
  <c r="HK12" i="6" s="1" a="1"/>
  <c r="HK12" i="6" s="1"/>
  <c r="FI12" i="1"/>
  <c r="FI16" i="1" s="1"/>
  <c r="FG12" i="6" s="1" a="1"/>
  <c r="FG12" i="6" s="1"/>
  <c r="FG6" i="6" s="1"/>
  <c r="AU23" i="1"/>
  <c r="DX12" i="1"/>
  <c r="DX16" i="1" s="1"/>
  <c r="DV12" i="6" s="1" a="1"/>
  <c r="DV12" i="6" s="1"/>
  <c r="DV6" i="6" s="1"/>
  <c r="KZ17" i="1"/>
  <c r="AH17" i="1"/>
  <c r="LA17" i="1"/>
  <c r="ES17" i="1"/>
  <c r="EW17" i="1"/>
  <c r="KZ12" i="1"/>
  <c r="KZ16" i="1" s="1"/>
  <c r="KX12" i="6" s="1" a="1"/>
  <c r="KX12" i="6" s="1"/>
  <c r="P17" i="1"/>
  <c r="II17" i="1"/>
  <c r="DN12" i="1"/>
  <c r="DN16" i="1" s="1"/>
  <c r="DL12" i="6" s="1" a="1"/>
  <c r="DL12" i="6" s="1"/>
  <c r="DL6" i="6" s="1"/>
  <c r="IG12" i="1"/>
  <c r="IG16" i="1" s="1"/>
  <c r="IE12" i="6" s="1" a="1"/>
  <c r="IE12" i="6" s="1"/>
  <c r="N12" i="1"/>
  <c r="N16" i="1" s="1"/>
  <c r="L12" i="6" s="1" a="1"/>
  <c r="L12" i="6" s="1"/>
  <c r="L6" i="6" s="1"/>
  <c r="FK23" i="1"/>
  <c r="X12" i="1"/>
  <c r="X16" i="1" s="1"/>
  <c r="V12" i="6" s="1" a="1"/>
  <c r="V12" i="6" s="1"/>
  <c r="V6" i="6" s="1"/>
  <c r="P29" i="1"/>
  <c r="AO23" i="1"/>
  <c r="BN29" i="1"/>
  <c r="LP23" i="1"/>
  <c r="BQ17" i="1"/>
  <c r="R23" i="1"/>
  <c r="KE29" i="1"/>
  <c r="EI23" i="1"/>
  <c r="CM23" i="1"/>
  <c r="IT17" i="1"/>
  <c r="CG23" i="1"/>
  <c r="KH12" i="1"/>
  <c r="KH16" i="1" s="1"/>
  <c r="KF12" i="6" s="1" a="1"/>
  <c r="KF12" i="6" s="1"/>
  <c r="EL12" i="1"/>
  <c r="EL16" i="1" s="1"/>
  <c r="EJ12" i="6" s="1" a="1"/>
  <c r="EJ12" i="6" s="1"/>
  <c r="EJ6" i="6" s="1"/>
  <c r="GX29" i="1"/>
  <c r="CV29" i="1"/>
  <c r="JM23" i="1"/>
  <c r="EL17" i="1"/>
  <c r="EZ29" i="1"/>
  <c r="EE17" i="1"/>
  <c r="DR12" i="1"/>
  <c r="DR16" i="1" s="1"/>
  <c r="DP12" i="6" s="1" a="1"/>
  <c r="DP12" i="6" s="1"/>
  <c r="DP6" i="6" s="1"/>
  <c r="BT29" i="1"/>
  <c r="HN23" i="1"/>
  <c r="CH12" i="1"/>
  <c r="CH16" i="1" s="1"/>
  <c r="CF12" i="6" s="1" a="1"/>
  <c r="CF12" i="6" s="1"/>
  <c r="CF6" i="6" s="1"/>
  <c r="EA12" i="1"/>
  <c r="EA16" i="1" s="1"/>
  <c r="DY12" i="6" s="1" a="1"/>
  <c r="DY12" i="6" s="1"/>
  <c r="DY6" i="6" s="1"/>
  <c r="FB29" i="1"/>
  <c r="AZ23" i="1"/>
  <c r="KS12" i="1"/>
  <c r="KS16" i="1" s="1"/>
  <c r="KQ12" i="6" s="1" a="1"/>
  <c r="KQ12" i="6" s="1"/>
  <c r="FW12" i="1"/>
  <c r="FW16" i="1" s="1"/>
  <c r="FU12" i="6" s="1" a="1"/>
  <c r="FU12" i="6" s="1"/>
  <c r="ET23" i="1"/>
  <c r="AW29" i="1"/>
  <c r="EM12" i="1"/>
  <c r="EM16" i="1" s="1"/>
  <c r="EK12" i="6" s="1" a="1"/>
  <c r="EK12" i="6" s="1"/>
  <c r="EK6" i="6" s="1"/>
  <c r="BP12" i="1"/>
  <c r="BP16" i="1" s="1"/>
  <c r="BN12" i="6" s="1" a="1"/>
  <c r="BN12" i="6" s="1"/>
  <c r="BN6" i="6" s="1"/>
  <c r="JO17" i="1"/>
  <c r="CF12" i="1"/>
  <c r="CF16" i="1" s="1"/>
  <c r="CD12" i="6" s="1" a="1"/>
  <c r="CD12" i="6" s="1"/>
  <c r="CD6" i="6" s="1"/>
  <c r="GM29" i="1"/>
  <c r="BA12" i="1"/>
  <c r="BA16" i="1" s="1"/>
  <c r="AY12" i="6" s="1" a="1"/>
  <c r="AY12" i="6" s="1"/>
  <c r="AY6" i="6" s="1"/>
  <c r="BS23" i="1"/>
  <c r="GZ23" i="1"/>
  <c r="HL12" i="1"/>
  <c r="HL16" i="1" s="1"/>
  <c r="HJ12" i="6" s="1" a="1"/>
  <c r="HJ12" i="6" s="1"/>
  <c r="HX29" i="1"/>
  <c r="LS23" i="1"/>
  <c r="KM12" i="1"/>
  <c r="KM16" i="1" s="1"/>
  <c r="KK12" i="6" s="1" a="1"/>
  <c r="KK12" i="6" s="1"/>
  <c r="IO17" i="1"/>
  <c r="LN29" i="1"/>
  <c r="DJ29" i="1"/>
  <c r="BC29" i="1"/>
  <c r="FV12" i="1"/>
  <c r="FV16" i="1" s="1"/>
  <c r="FT12" i="6" s="1" a="1"/>
  <c r="FT12" i="6" s="1"/>
  <c r="KF23" i="1"/>
  <c r="AU17" i="1"/>
  <c r="AH29" i="1"/>
  <c r="AX17" i="1"/>
  <c r="FR23" i="1"/>
  <c r="IF17" i="1"/>
  <c r="FR29" i="1"/>
  <c r="DY17" i="1"/>
  <c r="IG17" i="1"/>
  <c r="HJ17" i="1"/>
  <c r="HJ23" i="1"/>
  <c r="GQ17" i="1"/>
  <c r="GY29" i="1"/>
  <c r="LG23" i="1"/>
  <c r="JY12" i="1"/>
  <c r="JY16" i="1" s="1"/>
  <c r="JW12" i="6" s="1" a="1"/>
  <c r="JW12" i="6" s="1"/>
  <c r="LU12" i="1"/>
  <c r="LU16" i="1" s="1"/>
  <c r="JY17" i="1"/>
  <c r="FS12" i="1"/>
  <c r="FS16" i="1" s="1"/>
  <c r="FQ12" i="6" s="1" a="1"/>
  <c r="FQ12" i="6" s="1"/>
  <c r="CO12" i="1"/>
  <c r="CO16" i="1" s="1"/>
  <c r="CM12" i="6" s="1" a="1"/>
  <c r="CM12" i="6" s="1"/>
  <c r="CM6" i="6" s="1"/>
  <c r="JW12" i="1"/>
  <c r="JW16" i="1" s="1"/>
  <c r="JU12" i="6" s="1" a="1"/>
  <c r="JU12" i="6" s="1"/>
  <c r="CD17" i="1"/>
  <c r="DQ17" i="1"/>
  <c r="EH17" i="1"/>
  <c r="FS29" i="1"/>
  <c r="BF12" i="1"/>
  <c r="BF16" i="1" s="1"/>
  <c r="BD12" i="6" s="1" a="1"/>
  <c r="BD12" i="6" s="1"/>
  <c r="BD6" i="6" s="1"/>
  <c r="IM12" i="1"/>
  <c r="IM16" i="1" s="1"/>
  <c r="IK12" i="6" s="1" a="1"/>
  <c r="IK12" i="6" s="1"/>
  <c r="HY12" i="1"/>
  <c r="HY16" i="1" s="1"/>
  <c r="HW12" i="6" s="1" a="1"/>
  <c r="HW12" i="6" s="1"/>
  <c r="EJ29" i="1"/>
  <c r="KP29" i="1"/>
  <c r="KI29" i="1"/>
  <c r="KN23" i="1"/>
  <c r="EB12" i="1"/>
  <c r="EB16" i="1" s="1"/>
  <c r="DZ12" i="6" s="1" a="1"/>
  <c r="DZ12" i="6" s="1"/>
  <c r="DZ6" i="6" s="1"/>
  <c r="IQ17" i="1"/>
  <c r="KP17" i="1"/>
  <c r="EZ12" i="1"/>
  <c r="EZ16" i="1" s="1"/>
  <c r="EX12" i="6" s="1" a="1"/>
  <c r="EX12" i="6" s="1"/>
  <c r="EX6" i="6" s="1"/>
  <c r="LP12" i="1"/>
  <c r="LP16" i="1" s="1"/>
  <c r="FM29" i="1"/>
  <c r="JH17" i="1"/>
  <c r="FN17" i="1"/>
  <c r="EC12" i="1"/>
  <c r="EC16" i="1" s="1"/>
  <c r="EA12" i="6" s="1" a="1"/>
  <c r="EA12" i="6" s="1"/>
  <c r="EA6" i="6" s="1"/>
  <c r="AJ17" i="1"/>
  <c r="KR12" i="1"/>
  <c r="IL23" i="1"/>
  <c r="JQ29" i="1"/>
  <c r="HS12" i="1"/>
  <c r="HS16" i="1" s="1"/>
  <c r="HQ12" i="6" s="1" a="1"/>
  <c r="HQ12" i="6" s="1"/>
  <c r="HW29" i="1"/>
  <c r="AN17" i="1"/>
  <c r="EK23" i="1"/>
  <c r="DX23" i="1"/>
  <c r="GF12" i="1"/>
  <c r="GF16" i="1" s="1"/>
  <c r="GD12" i="6" s="1" a="1"/>
  <c r="GD12" i="6" s="1"/>
  <c r="JQ23" i="1"/>
  <c r="FP23" i="1"/>
  <c r="KG12" i="1"/>
  <c r="KG16" i="1" s="1"/>
  <c r="KE12" i="6" s="1" a="1"/>
  <c r="KE12" i="6" s="1"/>
  <c r="GK29" i="1"/>
  <c r="CL29" i="1"/>
  <c r="AR29" i="1"/>
  <c r="HT29" i="1"/>
  <c r="CW12" i="1"/>
  <c r="CW16" i="1" s="1"/>
  <c r="CU12" i="6" s="1" a="1"/>
  <c r="CU12" i="6" s="1"/>
  <c r="CU6" i="6" s="1"/>
  <c r="IW29" i="1"/>
  <c r="CL23" i="1"/>
  <c r="KV17" i="1"/>
  <c r="DZ23" i="1"/>
  <c r="HN29" i="1"/>
  <c r="LC12" i="1"/>
  <c r="LC16" i="1" s="1"/>
  <c r="LA12" i="6" s="1" a="1"/>
  <c r="LA12" i="6" s="1"/>
  <c r="BH29" i="1"/>
  <c r="BI12" i="1"/>
  <c r="DF12" i="1"/>
  <c r="DF16" i="1" s="1"/>
  <c r="DD12" i="6" s="1" a="1"/>
  <c r="DD12" i="6" s="1"/>
  <c r="DD6" i="6" s="1"/>
  <c r="CS17" i="1"/>
  <c r="HE29" i="1"/>
  <c r="JC17" i="1"/>
  <c r="CJ23" i="1"/>
  <c r="AD17" i="1"/>
  <c r="HD23" i="1"/>
  <c r="EA17" i="1"/>
  <c r="G23" i="1"/>
  <c r="JT12" i="1"/>
  <c r="AQ12" i="1"/>
  <c r="AQ16" i="1" s="1"/>
  <c r="AO12" i="6" s="1" a="1"/>
  <c r="AO12" i="6" s="1"/>
  <c r="AO6" i="6" s="1"/>
  <c r="EU12" i="1"/>
  <c r="EU16" i="1" s="1"/>
  <c r="ES12" i="6" s="1" a="1"/>
  <c r="ES12" i="6" s="1"/>
  <c r="ES6" i="6" s="1"/>
  <c r="GW17" i="1"/>
  <c r="IC12" i="1"/>
  <c r="IC16" i="1" s="1"/>
  <c r="IA12" i="6" s="1" a="1"/>
  <c r="IA12" i="6" s="1"/>
  <c r="AF12" i="1"/>
  <c r="AF16" i="1" s="1"/>
  <c r="AD12" i="6" s="1" a="1"/>
  <c r="AD12" i="6" s="1"/>
  <c r="AD6" i="6" s="1"/>
  <c r="LG12" i="1"/>
  <c r="LG16" i="1" s="1"/>
  <c r="LE12" i="6" s="1" a="1"/>
  <c r="LE12" i="6" s="1"/>
  <c r="DF17" i="1"/>
  <c r="GZ29" i="1"/>
  <c r="GT23" i="1"/>
  <c r="T12" i="1"/>
  <c r="T16" i="1" s="1"/>
  <c r="R12" i="6" s="1" a="1"/>
  <c r="R12" i="6" s="1"/>
  <c r="R6" i="6" s="1"/>
  <c r="DC17" i="1"/>
  <c r="JZ29" i="1"/>
  <c r="JJ29" i="1"/>
  <c r="V17" i="1"/>
  <c r="EG23" i="1"/>
  <c r="AV17" i="1"/>
  <c r="BO17" i="1"/>
  <c r="GI23" i="1"/>
  <c r="DC23" i="1"/>
  <c r="GM12" i="1"/>
  <c r="GM16" i="1" s="1"/>
  <c r="GK12" i="6" s="1" a="1"/>
  <c r="GK12" i="6" s="1"/>
  <c r="CE23" i="1"/>
  <c r="JE12" i="1"/>
  <c r="JE16" i="1" s="1"/>
  <c r="JC12" i="6" s="1" a="1"/>
  <c r="JC12" i="6" s="1"/>
  <c r="FU23" i="1"/>
  <c r="LO17" i="1"/>
  <c r="BX17" i="1"/>
  <c r="BM29" i="1"/>
  <c r="BB23" i="1"/>
  <c r="BG12" i="1"/>
  <c r="BG16" i="1" s="1"/>
  <c r="BE12" i="6" s="1" a="1"/>
  <c r="BE12" i="6" s="1"/>
  <c r="BE6" i="6" s="1"/>
  <c r="EM23" i="1"/>
  <c r="JE29" i="1"/>
  <c r="LT23" i="1"/>
  <c r="LT24" i="1" s="1"/>
  <c r="AA29" i="1"/>
  <c r="HV17" i="1"/>
  <c r="DM29" i="1"/>
  <c r="GJ12" i="1"/>
  <c r="GJ16" i="1" s="1"/>
  <c r="GH12" i="6" s="1" a="1"/>
  <c r="GH12" i="6" s="1"/>
  <c r="CA29" i="1"/>
  <c r="CW23" i="1"/>
  <c r="IS29" i="1"/>
  <c r="IK17" i="1"/>
  <c r="CP23" i="1"/>
  <c r="GG17" i="1"/>
  <c r="FA29" i="1"/>
  <c r="AT23" i="1"/>
  <c r="LJ23" i="1"/>
  <c r="EY17" i="1"/>
  <c r="FO29" i="1"/>
  <c r="BY12" i="1"/>
  <c r="BY16" i="1" s="1"/>
  <c r="BW12" i="6" s="1" a="1"/>
  <c r="BW12" i="6" s="1"/>
  <c r="BW6" i="6" s="1"/>
  <c r="EN23" i="1"/>
  <c r="EN24" i="1" s="1"/>
  <c r="CN29" i="1"/>
  <c r="AM29" i="1"/>
  <c r="KN29" i="1"/>
  <c r="FG23" i="1"/>
  <c r="KY29" i="1"/>
  <c r="AZ12" i="1"/>
  <c r="AZ16" i="1" s="1"/>
  <c r="AX12" i="6" s="1" a="1"/>
  <c r="AX12" i="6" s="1"/>
  <c r="AX6" i="6" s="1"/>
  <c r="EZ23" i="1"/>
  <c r="AC17" i="1"/>
  <c r="AC18" i="1" s="1"/>
  <c r="O29" i="1"/>
  <c r="KX12" i="1"/>
  <c r="KX16" i="1" s="1"/>
  <c r="KV12" i="6" s="1" a="1"/>
  <c r="KV12" i="6" s="1"/>
  <c r="KJ17" i="1"/>
  <c r="CD12" i="1"/>
  <c r="CD16" i="1" s="1"/>
  <c r="CB12" i="6" s="1" a="1"/>
  <c r="CB12" i="6" s="1"/>
  <c r="CB6" i="6" s="1"/>
  <c r="IO12" i="1"/>
  <c r="CY12" i="1"/>
  <c r="CY16" i="1" s="1"/>
  <c r="CW12" i="6" s="1" a="1"/>
  <c r="CW12" i="6" s="1"/>
  <c r="CW6" i="6" s="1"/>
  <c r="AS17" i="1"/>
  <c r="N29" i="1"/>
  <c r="BY23" i="1"/>
  <c r="LN12" i="1"/>
  <c r="FY23" i="1"/>
  <c r="EC29" i="1"/>
  <c r="JP29" i="1"/>
  <c r="BS12" i="1"/>
  <c r="BS16" i="1" s="1"/>
  <c r="BQ12" i="6" s="1" a="1"/>
  <c r="BQ12" i="6" s="1"/>
  <c r="BQ6" i="6" s="1"/>
  <c r="JC29" i="1"/>
  <c r="DC12" i="1"/>
  <c r="DC16" i="1" s="1"/>
  <c r="DA12" i="6" s="1" a="1"/>
  <c r="DA12" i="6" s="1"/>
  <c r="DA6" i="6" s="1"/>
  <c r="BR17" i="1"/>
  <c r="EE12" i="1"/>
  <c r="EE16" i="1" s="1"/>
  <c r="EC12" i="6" s="1" a="1"/>
  <c r="EC12" i="6" s="1"/>
  <c r="EC6" i="6" s="1"/>
  <c r="GI29" i="1"/>
  <c r="BL23" i="1"/>
  <c r="CW17" i="1"/>
  <c r="CT23" i="1"/>
  <c r="CS12" i="1"/>
  <c r="CS16" i="1" s="1"/>
  <c r="CQ12" i="6" s="1" a="1"/>
  <c r="CQ12" i="6" s="1"/>
  <c r="CQ6" i="6" s="1"/>
  <c r="JM17" i="1"/>
  <c r="KB29" i="1"/>
  <c r="HZ23" i="1"/>
  <c r="KQ12" i="1"/>
  <c r="KQ16" i="1" s="1"/>
  <c r="KO12" i="6" s="1" a="1"/>
  <c r="KO12" i="6" s="1"/>
  <c r="AW17" i="1"/>
  <c r="KH17" i="1"/>
  <c r="LA29" i="1"/>
  <c r="LA30" i="1" s="1"/>
  <c r="DF23" i="1"/>
  <c r="EE29" i="1"/>
  <c r="EX12" i="1"/>
  <c r="EX16" i="1" s="1"/>
  <c r="EV12" i="6" s="1" a="1"/>
  <c r="EV12" i="6" s="1"/>
  <c r="EV6" i="6" s="1"/>
  <c r="FB17" i="1"/>
  <c r="IN23" i="1"/>
  <c r="GK12" i="1"/>
  <c r="GK16" i="1" s="1"/>
  <c r="GI12" i="6" s="1" a="1"/>
  <c r="GI12" i="6" s="1"/>
  <c r="HE17" i="1"/>
  <c r="IZ12" i="1"/>
  <c r="IZ16" i="1" s="1"/>
  <c r="IX12" i="6" s="1" a="1"/>
  <c r="IX12" i="6" s="1"/>
  <c r="EA29" i="1"/>
  <c r="JE17" i="1"/>
  <c r="FU29" i="1"/>
  <c r="HR23" i="1"/>
  <c r="BA29" i="1"/>
  <c r="LW29" i="1"/>
  <c r="LW30" i="1" s="1"/>
  <c r="AL12" i="1"/>
  <c r="AL16" i="1" s="1"/>
  <c r="AJ12" i="6" s="1" a="1"/>
  <c r="AJ12" i="6" s="1"/>
  <c r="AJ6" i="6" s="1"/>
  <c r="GD12" i="1"/>
  <c r="GD16" i="1" s="1"/>
  <c r="GB12" i="6" s="1" a="1"/>
  <c r="GB12" i="6" s="1"/>
  <c r="BM17" i="1"/>
  <c r="BN17" i="1"/>
  <c r="IL17" i="1"/>
  <c r="IL18" i="1" s="1"/>
  <c r="IE23" i="1"/>
  <c r="FZ29" i="1"/>
  <c r="FZ30" i="1" s="1"/>
  <c r="KO12" i="1"/>
  <c r="KO16" i="1" s="1"/>
  <c r="KM12" i="6" s="1" a="1"/>
  <c r="KM12" i="6" s="1"/>
  <c r="KD17" i="1"/>
  <c r="IA12" i="1"/>
  <c r="IA16" i="1" s="1"/>
  <c r="HY12" i="6" s="1" a="1"/>
  <c r="HY12" i="6" s="1"/>
  <c r="CK23" i="1"/>
  <c r="FS17" i="1"/>
  <c r="AH12" i="1"/>
  <c r="AH16" i="1" s="1"/>
  <c r="AF12" i="6" s="1" a="1"/>
  <c r="AF12" i="6" s="1"/>
  <c r="AF6" i="6" s="1"/>
  <c r="CJ29" i="1"/>
  <c r="FQ17" i="1"/>
  <c r="BC17" i="1"/>
  <c r="GU29" i="1"/>
  <c r="GU30" i="1" s="1"/>
  <c r="Z23" i="1"/>
  <c r="FI23" i="1"/>
  <c r="EP23" i="1"/>
  <c r="EP24" i="1" s="1"/>
  <c r="KO23" i="1"/>
  <c r="GA17" i="1"/>
  <c r="GR17" i="1"/>
  <c r="GR18" i="1" s="1"/>
  <c r="FI29" i="1"/>
  <c r="HZ17" i="1"/>
  <c r="JS29" i="1"/>
  <c r="JS30" i="1" s="1"/>
  <c r="DX17" i="1"/>
  <c r="IJ23" i="1"/>
  <c r="KU17" i="1"/>
  <c r="GS23" i="1"/>
  <c r="AK29" i="1"/>
  <c r="ES23" i="1"/>
  <c r="LD23" i="1"/>
  <c r="AB29" i="1"/>
  <c r="BK23" i="1"/>
  <c r="JD29" i="1"/>
  <c r="CD23" i="1"/>
  <c r="IZ23" i="1"/>
  <c r="HR12" i="1"/>
  <c r="HR16" i="1" s="1"/>
  <c r="HP12" i="6" s="1" a="1"/>
  <c r="HP12" i="6" s="1"/>
  <c r="EV23" i="1"/>
  <c r="JC23" i="1"/>
  <c r="IU12" i="1"/>
  <c r="IU16" i="1" s="1"/>
  <c r="IS12" i="6" s="1" a="1"/>
  <c r="IS12" i="6" s="1"/>
  <c r="GV12" i="1"/>
  <c r="GV16" i="1" s="1"/>
  <c r="GT12" i="6" s="1" a="1"/>
  <c r="GT12" i="6" s="1"/>
  <c r="HR29" i="1"/>
  <c r="T29" i="1"/>
  <c r="CG12" i="1"/>
  <c r="CG16" i="1" s="1"/>
  <c r="CE12" i="6" s="1" a="1"/>
  <c r="CE12" i="6" s="1"/>
  <c r="CE6" i="6" s="1"/>
  <c r="KG23" i="1"/>
  <c r="HD12" i="1"/>
  <c r="HD16" i="1" s="1"/>
  <c r="HB12" i="6" s="1" a="1"/>
  <c r="HB12" i="6" s="1"/>
  <c r="BS29" i="1"/>
  <c r="BZ12" i="1"/>
  <c r="BZ16" i="1" s="1"/>
  <c r="BX12" i="6" s="1" a="1"/>
  <c r="BX12" i="6" s="1"/>
  <c r="BX6" i="6" s="1"/>
  <c r="KS29" i="1"/>
  <c r="HD29" i="1"/>
  <c r="GT12" i="1"/>
  <c r="GT16" i="1" s="1"/>
  <c r="GR12" i="6" s="1" a="1"/>
  <c r="GR12" i="6" s="1"/>
  <c r="G29" i="1"/>
  <c r="HT23" i="1"/>
  <c r="GV23" i="1"/>
  <c r="V12" i="1"/>
  <c r="V16" i="1" s="1"/>
  <c r="T12" i="6" s="1" a="1"/>
  <c r="T12" i="6" s="1"/>
  <c r="T6" i="6" s="1"/>
  <c r="CS23" i="1"/>
  <c r="HE12" i="1"/>
  <c r="HE16" i="1" s="1"/>
  <c r="HC12" i="6" s="1" a="1"/>
  <c r="HC12" i="6" s="1"/>
  <c r="AY29" i="1"/>
  <c r="FU17" i="1"/>
  <c r="DF29" i="1"/>
  <c r="GZ12" i="1"/>
  <c r="GZ16" i="1" s="1"/>
  <c r="GX12" i="6" s="1" a="1"/>
  <c r="GX12" i="6" s="1"/>
  <c r="GT29" i="1"/>
  <c r="BX29" i="1"/>
  <c r="HF12" i="1"/>
  <c r="HF16" i="1" s="1"/>
  <c r="HD12" i="6" s="1" a="1"/>
  <c r="HD12" i="6" s="1"/>
  <c r="DS29" i="1"/>
  <c r="BB29" i="1"/>
  <c r="CH29" i="1"/>
  <c r="IC29" i="1"/>
  <c r="FX29" i="1"/>
  <c r="BL12" i="1"/>
  <c r="BL16" i="1" s="1"/>
  <c r="BJ12" i="6" s="1" a="1"/>
  <c r="BJ12" i="6" s="1"/>
  <c r="BJ6" i="6" s="1"/>
  <c r="ED17" i="1"/>
  <c r="CR23" i="1"/>
  <c r="JP23" i="1"/>
  <c r="CL12" i="1"/>
  <c r="CL16" i="1" s="1"/>
  <c r="CJ12" i="6" s="1" a="1"/>
  <c r="CJ12" i="6" s="1"/>
  <c r="CJ6" i="6" s="1"/>
  <c r="DV12" i="1"/>
  <c r="DV16" i="1" s="1"/>
  <c r="DT12" i="6" s="1" a="1"/>
  <c r="DT12" i="6" s="1"/>
  <c r="DT6" i="6" s="1"/>
  <c r="M29" i="1"/>
  <c r="T23" i="1"/>
  <c r="BL17" i="1"/>
  <c r="GP29" i="1"/>
  <c r="EX23" i="1"/>
  <c r="IN29" i="1"/>
  <c r="GK23" i="1"/>
  <c r="GW23" i="1"/>
  <c r="AF23" i="1"/>
  <c r="DW17" i="1"/>
  <c r="BW12" i="1"/>
  <c r="BW16" i="1" s="1"/>
  <c r="BU12" i="6" s="1" a="1"/>
  <c r="BU12" i="6" s="1"/>
  <c r="BU6" i="6" s="1"/>
  <c r="EX17" i="1"/>
  <c r="CZ29" i="1"/>
  <c r="CF29" i="1"/>
  <c r="CF30" i="1" s="1"/>
  <c r="EL23" i="1"/>
  <c r="LQ17" i="1"/>
  <c r="JH12" i="1"/>
  <c r="JH16" i="1" s="1"/>
  <c r="JF12" i="6" s="1" a="1"/>
  <c r="JF12" i="6" s="1"/>
  <c r="BU23" i="1"/>
  <c r="AE23" i="1"/>
  <c r="AE24" i="1" s="1"/>
  <c r="AK23" i="1"/>
  <c r="IH29" i="1"/>
  <c r="JG17" i="1"/>
  <c r="EY29" i="1"/>
  <c r="EY30" i="1" s="1"/>
  <c r="IB23" i="1"/>
  <c r="FP12" i="1"/>
  <c r="FP16" i="1" s="1"/>
  <c r="FN12" i="6" s="1" a="1"/>
  <c r="FN12" i="6" s="1"/>
  <c r="U23" i="1"/>
  <c r="U24" i="1" s="1"/>
  <c r="JV23" i="1"/>
  <c r="KX17" i="1"/>
  <c r="LS29" i="1"/>
  <c r="IU23" i="1"/>
  <c r="BZ29" i="1"/>
  <c r="DT12" i="1"/>
  <c r="DT16" i="1" s="1"/>
  <c r="DR12" i="6" s="1" a="1"/>
  <c r="DR12" i="6" s="1"/>
  <c r="DR6" i="6" s="1"/>
  <c r="EW29" i="1"/>
  <c r="GH12" i="1"/>
  <c r="GH16" i="1" s="1"/>
  <c r="GF12" i="6" s="1" a="1"/>
  <c r="GF12" i="6" s="1"/>
  <c r="R12" i="1"/>
  <c r="R16" i="1" s="1"/>
  <c r="P12" i="6" s="1" a="1"/>
  <c r="P12" i="6" s="1"/>
  <c r="P6" i="6" s="1"/>
  <c r="FV17" i="1"/>
  <c r="R29" i="1"/>
  <c r="CR12" i="1"/>
  <c r="CR16" i="1" s="1"/>
  <c r="CP12" i="6" s="1" a="1"/>
  <c r="CP12" i="6" s="1"/>
  <c r="CP6" i="6" s="1"/>
  <c r="HY23" i="1"/>
  <c r="IQ29" i="1"/>
  <c r="AX23" i="1"/>
  <c r="DD29" i="1"/>
  <c r="CW29" i="1"/>
  <c r="LM23" i="1"/>
  <c r="HX17" i="1"/>
  <c r="KL17" i="1"/>
  <c r="BO23" i="1"/>
  <c r="KS17" i="1"/>
  <c r="AW12" i="1"/>
  <c r="AW16" i="1" s="1"/>
  <c r="AU12" i="6" s="1" a="1"/>
  <c r="AU12" i="6" s="1"/>
  <c r="AU6" i="6" s="1"/>
  <c r="HA29" i="1"/>
  <c r="IR12" i="1"/>
  <c r="IR16" i="1" s="1"/>
  <c r="IP12" i="6" s="1" a="1"/>
  <c r="IP12" i="6" s="1"/>
  <c r="DH29" i="1"/>
  <c r="DH30" i="1" s="1"/>
  <c r="LO23" i="1"/>
  <c r="BX23" i="1"/>
  <c r="CH17" i="1"/>
  <c r="HK23" i="1"/>
  <c r="HF29" i="1"/>
  <c r="JC12" i="1"/>
  <c r="JC16" i="1" s="1"/>
  <c r="JA12" i="6" s="1" a="1"/>
  <c r="JA12" i="6" s="1"/>
  <c r="BH17" i="1"/>
  <c r="FX17" i="1"/>
  <c r="JU12" i="1"/>
  <c r="JU16" i="1" s="1"/>
  <c r="JS12" i="6" s="1" a="1"/>
  <c r="JS12" i="6" s="1"/>
  <c r="CG29" i="1"/>
  <c r="LC23" i="1"/>
  <c r="HI17" i="1"/>
  <c r="LX23" i="1"/>
  <c r="CY17" i="1"/>
  <c r="EI17" i="1"/>
  <c r="EJ12" i="1"/>
  <c r="EJ16" i="1" s="1"/>
  <c r="EH12" i="6" s="1" a="1"/>
  <c r="EH12" i="6" s="1"/>
  <c r="EH6" i="6" s="1"/>
  <c r="FG12" i="1"/>
  <c r="FG16" i="1" s="1"/>
  <c r="FE12" i="6" s="1" a="1"/>
  <c r="FE12" i="6" s="1"/>
  <c r="FE6" i="6" s="1"/>
  <c r="LF17" i="1"/>
  <c r="FK17" i="1"/>
  <c r="AJ23" i="1"/>
  <c r="CX23" i="1"/>
  <c r="HA12" i="1"/>
  <c r="HA16" i="1" s="1"/>
  <c r="GY12" i="6" s="1" a="1"/>
  <c r="GY12" i="6" s="1"/>
  <c r="FC17" i="1"/>
  <c r="HM17" i="1"/>
  <c r="HM18" i="1" s="1"/>
  <c r="AG23" i="1"/>
  <c r="IK12" i="1"/>
  <c r="IK16" i="1" s="1"/>
  <c r="II12" i="6" s="1" a="1"/>
  <c r="II12" i="6" s="1"/>
  <c r="BW17" i="1"/>
  <c r="HI29" i="1"/>
  <c r="EM17" i="1"/>
  <c r="Q17" i="1"/>
  <c r="KT17" i="1"/>
  <c r="KL12" i="1"/>
  <c r="KL16" i="1" s="1"/>
  <c r="KJ12" i="6" s="1" a="1"/>
  <c r="KJ12" i="6" s="1"/>
  <c r="DV23" i="1"/>
  <c r="IN17" i="1"/>
  <c r="JK23" i="1"/>
  <c r="DP29" i="1"/>
  <c r="KV29" i="1"/>
  <c r="Y12" i="1"/>
  <c r="Y16" i="1" s="1"/>
  <c r="W12" i="6" s="1" a="1"/>
  <c r="W12" i="6" s="1"/>
  <c r="W6" i="6" s="1"/>
  <c r="HG17" i="1"/>
  <c r="HG18" i="1" s="1"/>
  <c r="KJ12" i="1"/>
  <c r="AY23" i="1"/>
  <c r="JO12" i="1"/>
  <c r="JO16" i="1" s="1"/>
  <c r="JM12" i="6" s="1" a="1"/>
  <c r="JM12" i="6" s="1"/>
  <c r="KT23" i="1"/>
  <c r="EU29" i="1"/>
  <c r="LM29" i="1"/>
  <c r="X17" i="1"/>
  <c r="CK17" i="1"/>
  <c r="IE17" i="1"/>
  <c r="IE18" i="1" s="1"/>
  <c r="CP17" i="1"/>
  <c r="DW23" i="1"/>
  <c r="FY12" i="1"/>
  <c r="FY16" i="1" s="1"/>
  <c r="FW12" i="6" s="1" a="1"/>
  <c r="FW12" i="6" s="1"/>
  <c r="HG29" i="1"/>
  <c r="G12" i="1"/>
  <c r="G16" i="1" s="1"/>
  <c r="E12" i="6" s="1" a="1"/>
  <c r="E12" i="6" s="1"/>
  <c r="E6" i="6" s="1"/>
  <c r="S29" i="1"/>
  <c r="HK12" i="1"/>
  <c r="HK16" i="1" s="1"/>
  <c r="HI12" i="6" s="1" a="1"/>
  <c r="HI12" i="6" s="1"/>
  <c r="IR23" i="1"/>
  <c r="DB23" i="1"/>
  <c r="CB17" i="1"/>
  <c r="KA12" i="1"/>
  <c r="FZ23" i="1"/>
  <c r="FZ24" i="1" s="1"/>
  <c r="AM12" i="1"/>
  <c r="AM16" i="1" s="1"/>
  <c r="AK12" i="6" s="1" a="1"/>
  <c r="AK12" i="6" s="1"/>
  <c r="AK6" i="6" s="1"/>
  <c r="CO29" i="1"/>
  <c r="GC29" i="1"/>
  <c r="GC30" i="1" s="1"/>
  <c r="AJ29" i="1"/>
  <c r="EQ23" i="1"/>
  <c r="EQ24" i="1" s="1"/>
  <c r="EN17" i="1"/>
  <c r="EN18" i="1" s="1"/>
  <c r="K29" i="1"/>
  <c r="K30" i="1" s="1"/>
  <c r="AF29" i="1"/>
  <c r="CM17" i="1"/>
  <c r="KB17" i="1"/>
  <c r="HK17" i="1"/>
  <c r="M23" i="1"/>
  <c r="LD29" i="1"/>
  <c r="LD30" i="1" s="1"/>
  <c r="AS23" i="1"/>
  <c r="IY23" i="1"/>
  <c r="JX23" i="1"/>
  <c r="LE23" i="1"/>
  <c r="HC17" i="1"/>
  <c r="CA23" i="1"/>
  <c r="GQ23" i="1"/>
  <c r="DT17" i="1"/>
  <c r="FQ23" i="1"/>
  <c r="GA23" i="1"/>
  <c r="ED29" i="1"/>
  <c r="IB29" i="1"/>
  <c r="KU29" i="1"/>
  <c r="EU17" i="1"/>
  <c r="JZ17" i="1"/>
  <c r="GH29" i="1"/>
  <c r="LM17" i="1"/>
  <c r="JL23" i="1"/>
  <c r="Q29" i="1"/>
  <c r="II23" i="1"/>
  <c r="GW29" i="1"/>
  <c r="FX12" i="1"/>
  <c r="FX16" i="1" s="1"/>
  <c r="FV12" i="6" s="1" a="1"/>
  <c r="FV12" i="6" s="1"/>
  <c r="DS12" i="1"/>
  <c r="DS16" i="1" s="1"/>
  <c r="DQ12" i="6" s="1" a="1"/>
  <c r="DQ12" i="6" s="1"/>
  <c r="DQ6" i="6" s="1"/>
  <c r="L29" i="1"/>
  <c r="L30" i="1" s="1"/>
  <c r="K17" i="1"/>
  <c r="DN29" i="1"/>
  <c r="DR23" i="1"/>
  <c r="DR24" i="1" s="1"/>
  <c r="DQ29" i="1"/>
  <c r="DB12" i="1"/>
  <c r="DB16" i="1" s="1"/>
  <c r="CZ12" i="6" s="1" a="1"/>
  <c r="CZ12" i="6" s="1"/>
  <c r="CZ6" i="6" s="1"/>
  <c r="HE23" i="1"/>
  <c r="JZ12" i="1"/>
  <c r="JZ16" i="1" s="1"/>
  <c r="JX12" i="6" s="1" a="1"/>
  <c r="JX12" i="6" s="1"/>
  <c r="IZ17" i="1"/>
  <c r="IC23" i="1"/>
  <c r="BL29" i="1"/>
  <c r="DH23" i="1"/>
  <c r="DP23" i="1"/>
  <c r="JP12" i="1"/>
  <c r="JP16" i="1" s="1"/>
  <c r="JN12" i="6" s="1" a="1"/>
  <c r="JN12" i="6" s="1"/>
  <c r="AV29" i="1"/>
  <c r="CM12" i="1"/>
  <c r="CM16" i="1" s="1"/>
  <c r="CK12" i="6" s="1" a="1"/>
  <c r="CK12" i="6" s="1"/>
  <c r="CK6" i="6" s="1"/>
  <c r="GI17" i="1"/>
  <c r="HP23" i="1"/>
  <c r="IM23" i="1"/>
  <c r="Y23" i="1"/>
  <c r="Q23" i="1"/>
  <c r="KG29" i="1"/>
  <c r="BA17" i="1"/>
  <c r="EZ17" i="1"/>
  <c r="AY17" i="1"/>
  <c r="DQ12" i="1"/>
  <c r="DQ16" i="1" s="1"/>
  <c r="DO12" i="6" s="1" a="1"/>
  <c r="DO12" i="6" s="1"/>
  <c r="DO6" i="6" s="1"/>
  <c r="BP23" i="1"/>
  <c r="EG12" i="1"/>
  <c r="EG16" i="1" s="1"/>
  <c r="EE12" i="6" s="1" a="1"/>
  <c r="EE12" i="6" s="1"/>
  <c r="EE6" i="6" s="1"/>
  <c r="GK17" i="1"/>
  <c r="X29" i="1"/>
  <c r="O12" i="1"/>
  <c r="O16" i="1" s="1"/>
  <c r="M12" i="6" s="1" a="1"/>
  <c r="M12" i="6" s="1"/>
  <c r="M6" i="6" s="1"/>
  <c r="KW23" i="1"/>
  <c r="HY17" i="1"/>
  <c r="JF17" i="1"/>
  <c r="DY29" i="1"/>
  <c r="DY30" i="1" s="1"/>
  <c r="EO23" i="1"/>
  <c r="I23" i="1"/>
  <c r="HO12" i="1"/>
  <c r="HO16" i="1" s="1"/>
  <c r="HM12" i="6" s="1" a="1"/>
  <c r="HM12" i="6" s="1"/>
  <c r="KB12" i="1"/>
  <c r="KB16" i="1" s="1"/>
  <c r="JZ12" i="6" s="1" a="1"/>
  <c r="JZ12" i="6" s="1"/>
  <c r="HO29" i="1"/>
  <c r="JZ23" i="1"/>
  <c r="HZ12" i="1"/>
  <c r="HZ16" i="1" s="1"/>
  <c r="HX12" i="6" s="1" a="1"/>
  <c r="HX12" i="6" s="1"/>
  <c r="JJ23" i="1"/>
  <c r="EC23" i="1"/>
  <c r="FW17" i="1"/>
  <c r="ID23" i="1"/>
  <c r="JI17" i="1"/>
  <c r="HP29" i="1"/>
  <c r="AJ12" i="1"/>
  <c r="AJ16" i="1" s="1"/>
  <c r="AH12" i="6" s="1" a="1"/>
  <c r="AH12" i="6" s="1"/>
  <c r="AH6" i="6" s="1"/>
  <c r="GR29" i="1"/>
  <c r="AX12" i="1"/>
  <c r="AX16" i="1" s="1"/>
  <c r="AV12" i="6" s="1" a="1"/>
  <c r="AV12" i="6" s="1"/>
  <c r="AV6" i="6" s="1"/>
  <c r="GS17" i="1"/>
  <c r="FL29" i="1"/>
  <c r="HW12" i="1"/>
  <c r="HW16" i="1" s="1"/>
  <c r="HU12" i="6" s="1" a="1"/>
  <c r="HU12" i="6" s="1"/>
  <c r="BN12" i="1"/>
  <c r="BN16" i="1" s="1"/>
  <c r="BL12" i="6" s="1" a="1"/>
  <c r="BL12" i="6" s="1"/>
  <c r="BL6" i="6" s="1"/>
  <c r="JG23" i="1"/>
  <c r="DE29" i="1"/>
  <c r="AE29" i="1"/>
  <c r="EF23" i="1"/>
  <c r="BB17" i="1"/>
  <c r="BH12" i="1"/>
  <c r="BH16" i="1" s="1"/>
  <c r="BF12" i="6" s="1" a="1"/>
  <c r="BF12" i="6" s="1"/>
  <c r="BF6" i="6" s="1"/>
  <c r="DK12" i="1"/>
  <c r="DK16" i="1" s="1"/>
  <c r="DI12" i="6" s="1" a="1"/>
  <c r="DI12" i="6" s="1"/>
  <c r="DI6" i="6" s="1"/>
  <c r="KQ17" i="1"/>
  <c r="II29" i="1"/>
  <c r="CV23" i="1"/>
  <c r="DZ29" i="1"/>
  <c r="CV17" i="1"/>
  <c r="KT12" i="1"/>
  <c r="KT16" i="1" s="1"/>
  <c r="KR12" i="6" s="1" a="1"/>
  <c r="KR12" i="6" s="1"/>
  <c r="JK12" i="1"/>
  <c r="JK16" i="1" s="1"/>
  <c r="JI12" i="6" s="1" a="1"/>
  <c r="JI12" i="6" s="1"/>
  <c r="HK29" i="1"/>
  <c r="V29" i="1"/>
  <c r="JJ17" i="1"/>
  <c r="KV23" i="1"/>
  <c r="IC17" i="1"/>
  <c r="Z29" i="1"/>
  <c r="BJ23" i="1"/>
  <c r="KE23" i="1"/>
  <c r="FC23" i="1"/>
  <c r="DU23" i="1"/>
  <c r="FV23" i="1"/>
  <c r="ET29" i="1"/>
  <c r="DR29" i="1"/>
  <c r="AV12" i="1"/>
  <c r="AV16" i="1" s="1"/>
  <c r="AT12" i="6" s="1" a="1"/>
  <c r="AT12" i="6" s="1"/>
  <c r="AT6" i="6" s="1"/>
  <c r="U29" i="1"/>
  <c r="DA17" i="1"/>
  <c r="DA18" i="1" s="1"/>
  <c r="AB23" i="1"/>
  <c r="CC12" i="1"/>
  <c r="BJ12" i="1"/>
  <c r="BJ16" i="1" s="1"/>
  <c r="BH12" i="6" s="1" a="1"/>
  <c r="BH12" i="6" s="1"/>
  <c r="BH6" i="6" s="1"/>
  <c r="AP23" i="1"/>
  <c r="AP24" i="1" s="1"/>
  <c r="FN23" i="1"/>
  <c r="IF29" i="1"/>
  <c r="HS17" i="1"/>
  <c r="HS18" i="1" s="1"/>
  <c r="ET12" i="1"/>
  <c r="ET16" i="1" s="1"/>
  <c r="ER12" i="6" s="1" a="1"/>
  <c r="ER12" i="6" s="1"/>
  <c r="ER6" i="6" s="1"/>
  <c r="GP12" i="1"/>
  <c r="GP16" i="1" s="1"/>
  <c r="GN12" i="6" s="1" a="1"/>
  <c r="GN12" i="6" s="1"/>
  <c r="FW29" i="1"/>
  <c r="CF17" i="1"/>
  <c r="AV23" i="1"/>
  <c r="CL17" i="1"/>
  <c r="DA23" i="1"/>
  <c r="CF23" i="1"/>
  <c r="LW17" i="1"/>
  <c r="EF17" i="1"/>
  <c r="JU29" i="1"/>
  <c r="GF17" i="1"/>
  <c r="GJ29" i="1"/>
  <c r="EL29" i="1"/>
  <c r="HY29" i="1"/>
  <c r="GH17" i="1"/>
  <c r="JN29" i="1"/>
  <c r="JN30" i="1" s="1"/>
  <c r="FU12" i="1"/>
  <c r="FU16" i="1" s="1"/>
  <c r="FS12" i="6" s="1" a="1"/>
  <c r="FS12" i="6" s="1"/>
  <c r="KW17" i="1"/>
  <c r="KW18" i="1" s="1"/>
  <c r="BM23" i="1"/>
  <c r="BM24" i="1" s="1"/>
  <c r="AA12" i="1"/>
  <c r="AA16" i="1" s="1"/>
  <c r="Y12" i="6" s="1" a="1"/>
  <c r="Y12" i="6" s="1"/>
  <c r="Y6" i="6" s="1"/>
  <c r="IV12" i="1"/>
  <c r="IV16" i="1" s="1"/>
  <c r="IT12" i="6" s="1" a="1"/>
  <c r="IT12" i="6" s="1"/>
  <c r="HF17" i="1"/>
  <c r="CV12" i="1"/>
  <c r="CV16" i="1" s="1"/>
  <c r="CT12" i="6" s="1" a="1"/>
  <c r="CT12" i="6" s="1"/>
  <c r="CT6" i="6" s="1"/>
  <c r="AY12" i="1"/>
  <c r="AY16" i="1" s="1"/>
  <c r="AW12" i="6" s="1" a="1"/>
  <c r="AW12" i="6" s="1"/>
  <c r="AW6" i="6" s="1"/>
  <c r="CT17" i="1"/>
  <c r="DV29" i="1"/>
  <c r="GV29" i="1"/>
  <c r="S23" i="1"/>
  <c r="S24" i="1" s="1"/>
  <c r="DS23" i="1"/>
  <c r="DP12" i="1"/>
  <c r="DP16" i="1" s="1"/>
  <c r="DN12" i="6" s="1" a="1"/>
  <c r="DN12" i="6" s="1"/>
  <c r="DN6" i="6" s="1"/>
  <c r="DL12" i="1"/>
  <c r="GZ17" i="1"/>
  <c r="BH23" i="1"/>
  <c r="KS23" i="1"/>
  <c r="LO29" i="1"/>
  <c r="CZ17" i="1"/>
  <c r="JK17" i="1"/>
  <c r="LM12" i="1"/>
  <c r="LM16" i="1" s="1"/>
  <c r="EV29" i="1"/>
  <c r="EI29" i="1"/>
  <c r="LO12" i="1"/>
  <c r="LO16" i="1" s="1"/>
  <c r="AF17" i="1"/>
  <c r="AR12" i="1"/>
  <c r="AR16" i="1" s="1"/>
  <c r="AP12" i="6" s="1" a="1"/>
  <c r="AP12" i="6" s="1"/>
  <c r="AP6" i="6" s="1"/>
  <c r="HN17" i="1"/>
  <c r="HN18" i="1" s="1"/>
  <c r="FX23" i="1"/>
  <c r="CR29" i="1"/>
  <c r="BO12" i="1"/>
  <c r="BO16" i="1" s="1"/>
  <c r="BM12" i="6" s="1" a="1"/>
  <c r="BM12" i="6" s="1"/>
  <c r="BM6" i="6" s="1"/>
  <c r="I12" i="1"/>
  <c r="I16" i="1" s="1"/>
  <c r="G12" i="6" s="1" a="1"/>
  <c r="G12" i="6" s="1"/>
  <c r="G6" i="6" s="1"/>
  <c r="EV17" i="1"/>
  <c r="KL29" i="1"/>
  <c r="GW12" i="1"/>
  <c r="GW16" i="1" s="1"/>
  <c r="GU12" i="6" s="1" a="1"/>
  <c r="GU12" i="6" s="1"/>
  <c r="ET17" i="1"/>
  <c r="GP23" i="1"/>
  <c r="EC17" i="1"/>
  <c r="JE23" i="1"/>
  <c r="HU17" i="1"/>
  <c r="FL17" i="1"/>
  <c r="FL18" i="1" s="1"/>
  <c r="CT12" i="1"/>
  <c r="CT16" i="1" s="1"/>
  <c r="CR12" i="6" s="1" a="1"/>
  <c r="CR12" i="6" s="1"/>
  <c r="CR6" i="6" s="1"/>
  <c r="HQ17" i="1"/>
  <c r="HQ18" i="1" s="1"/>
  <c r="EG29" i="1"/>
  <c r="AR23" i="1"/>
  <c r="BX12" i="1"/>
  <c r="BX16" i="1" s="1"/>
  <c r="BV12" i="6" s="1" a="1"/>
  <c r="BV12" i="6" s="1"/>
  <c r="BV6" i="6" s="1"/>
  <c r="CE29" i="1"/>
  <c r="CE30" i="1" s="1"/>
  <c r="HA23" i="1"/>
  <c r="DH17" i="1"/>
  <c r="IR29" i="1"/>
  <c r="GM17" i="1"/>
  <c r="CG17" i="1"/>
  <c r="HL29" i="1"/>
  <c r="HR17" i="1"/>
  <c r="BG23" i="1"/>
  <c r="E23" i="1"/>
  <c r="E24" i="1" s="1"/>
  <c r="GC24" i="1"/>
  <c r="LK24" i="1"/>
  <c r="AT30" i="1"/>
  <c r="LK18" i="1" l="1"/>
  <c r="FN24" i="1"/>
  <c r="BD24" i="1"/>
  <c r="BD18" i="1"/>
  <c r="FQ24" i="1"/>
  <c r="S30" i="1"/>
  <c r="DW18" i="1"/>
  <c r="IN24" i="1"/>
  <c r="LW24" i="1"/>
  <c r="FC18" i="1"/>
  <c r="KU30" i="1"/>
  <c r="CJ30" i="1"/>
  <c r="IE24" i="1"/>
  <c r="BT30" i="1"/>
  <c r="CK18" i="1"/>
  <c r="CA30" i="1"/>
  <c r="LE24" i="1"/>
  <c r="DH24" i="1"/>
  <c r="HG30" i="1"/>
  <c r="KU18" i="1"/>
  <c r="CN30" i="1"/>
  <c r="DH18" i="1"/>
  <c r="LW18" i="1"/>
  <c r="JM18" i="1"/>
  <c r="DU24" i="1"/>
  <c r="CA24" i="1"/>
  <c r="BC18" i="1"/>
  <c r="FC24" i="1"/>
  <c r="IF30" i="1"/>
  <c r="AE30" i="1"/>
  <c r="JF18" i="1"/>
  <c r="DW24" i="1"/>
  <c r="IN18" i="1"/>
  <c r="IN30" i="1"/>
  <c r="CK24" i="1"/>
  <c r="BM18" i="1"/>
  <c r="AP30" i="1"/>
  <c r="LT30" i="1"/>
  <c r="LD18" i="1"/>
  <c r="GN24" i="1"/>
  <c r="W30" i="1"/>
  <c r="LY18" i="1"/>
  <c r="AT24" i="1"/>
  <c r="FE30" i="1"/>
  <c r="FE18" i="1"/>
  <c r="AT18" i="1"/>
  <c r="AS24" i="1"/>
  <c r="KP18" i="1"/>
  <c r="KP30" i="1"/>
  <c r="KP24" i="1"/>
  <c r="CI24" i="1"/>
  <c r="EC30" i="1"/>
  <c r="LL30" i="1"/>
  <c r="KC18" i="1"/>
  <c r="JD30" i="1"/>
  <c r="JL24" i="1"/>
  <c r="IL24" i="1"/>
  <c r="JG24" i="1"/>
  <c r="GQ24" i="1"/>
  <c r="LD24" i="1"/>
  <c r="KY30" i="1"/>
  <c r="FR24" i="1"/>
  <c r="KN30" i="1"/>
  <c r="KN24" i="1"/>
  <c r="FE24" i="1"/>
  <c r="EP18" i="1"/>
  <c r="KQ18" i="1"/>
  <c r="BM30" i="1"/>
  <c r="AU18" i="1"/>
  <c r="KN18" i="1"/>
  <c r="EQ30" i="1"/>
  <c r="CX24" i="1"/>
  <c r="FB30" i="1"/>
  <c r="EW18" i="1"/>
  <c r="AC30" i="1"/>
  <c r="EN30" i="1"/>
  <c r="EQ18" i="1"/>
  <c r="EW30" i="1"/>
  <c r="DG18" i="1"/>
  <c r="IP18" i="1"/>
  <c r="AC24" i="1"/>
  <c r="IL30" i="1"/>
  <c r="EI30" i="1"/>
  <c r="FL30" i="1"/>
  <c r="KV30" i="1"/>
  <c r="KI30" i="1"/>
  <c r="IH24" i="1"/>
  <c r="BP24" i="1"/>
  <c r="IY24" i="1"/>
  <c r="FK18" i="1"/>
  <c r="IJ24" i="1"/>
  <c r="JQ30" i="1"/>
  <c r="GQ18" i="1"/>
  <c r="U30" i="1"/>
  <c r="GR30" i="1"/>
  <c r="JG18" i="1"/>
  <c r="AS18" i="1"/>
  <c r="JQ24" i="1"/>
  <c r="FT18" i="1"/>
  <c r="GJ30" i="1"/>
  <c r="KV24" i="1"/>
  <c r="HX18" i="1"/>
  <c r="IH30" i="1"/>
  <c r="KI24" i="1"/>
  <c r="IY18" i="1"/>
  <c r="EI18" i="1"/>
  <c r="BE18" i="1"/>
  <c r="IY30" i="1"/>
  <c r="EX24" i="1"/>
  <c r="AF18" i="1"/>
  <c r="FW30" i="1"/>
  <c r="FK24" i="1"/>
  <c r="CJ18" i="1"/>
  <c r="FT30" i="1"/>
  <c r="DT18" i="1"/>
  <c r="DV24" i="1"/>
  <c r="BA18" i="1"/>
  <c r="X30" i="1"/>
  <c r="CJ24" i="1"/>
  <c r="BC30" i="1"/>
  <c r="W24" i="1"/>
  <c r="GN18" i="1"/>
  <c r="AF30" i="1"/>
  <c r="LQ18" i="1"/>
  <c r="BR18" i="1"/>
  <c r="AG18" i="1"/>
  <c r="AG30" i="1"/>
  <c r="CZ18" i="1"/>
  <c r="GH30" i="1"/>
  <c r="DB24" i="1"/>
  <c r="CP18" i="1"/>
  <c r="AG24" i="1"/>
  <c r="CZ30" i="1"/>
  <c r="EV18" i="1"/>
  <c r="EF18" i="1"/>
  <c r="FQ18" i="1"/>
  <c r="FQ30" i="1"/>
  <c r="LQ24" i="1"/>
  <c r="C6" i="6"/>
  <c r="JZ24" i="1"/>
  <c r="EA18" i="1"/>
  <c r="KL30" i="1"/>
  <c r="HX24" i="1"/>
  <c r="BT24" i="1"/>
  <c r="GU24" i="1"/>
  <c r="DW30" i="1"/>
  <c r="FC30" i="1"/>
  <c r="FT24" i="1"/>
  <c r="W18" i="1"/>
  <c r="EG30" i="1"/>
  <c r="FK30" i="1"/>
  <c r="HY30" i="1"/>
  <c r="Z30" i="1"/>
  <c r="II18" i="1"/>
  <c r="LV18" i="1"/>
  <c r="IT30" i="1"/>
  <c r="CB18" i="1"/>
  <c r="BK24" i="1"/>
  <c r="FH30" i="1"/>
  <c r="FH18" i="1"/>
  <c r="CB24" i="1"/>
  <c r="GS24" i="1"/>
  <c r="CG18" i="1"/>
  <c r="IQ18" i="1"/>
  <c r="KF24" i="1"/>
  <c r="EV24" i="1"/>
  <c r="AD18" i="1"/>
  <c r="GS18" i="1"/>
  <c r="EO24" i="1"/>
  <c r="IQ30" i="1"/>
  <c r="HV18" i="1"/>
  <c r="EV30" i="1"/>
  <c r="DA24" i="1"/>
  <c r="EF24" i="1"/>
  <c r="CP24" i="1"/>
  <c r="FH24" i="1"/>
  <c r="EU18" i="1"/>
  <c r="GA24" i="1"/>
  <c r="DS24" i="1"/>
  <c r="DR30" i="1"/>
  <c r="AU24" i="1"/>
  <c r="AN18" i="1"/>
  <c r="FN18" i="1"/>
  <c r="HY24" i="1"/>
  <c r="ER30" i="1"/>
  <c r="DV30" i="1"/>
  <c r="ES24" i="1"/>
  <c r="IB24" i="1"/>
  <c r="EC18" i="1"/>
  <c r="JJ24" i="1"/>
  <c r="LC24" i="1"/>
  <c r="CH18" i="1"/>
  <c r="BB30" i="1"/>
  <c r="HP24" i="1"/>
  <c r="JJ18" i="1"/>
  <c r="HP30" i="1"/>
  <c r="KK30" i="1"/>
  <c r="JV24" i="1"/>
  <c r="DD30" i="1"/>
  <c r="BB24" i="1"/>
  <c r="BU18" i="1"/>
  <c r="BU24" i="1"/>
  <c r="HU18" i="1"/>
  <c r="KE24" i="1"/>
  <c r="IB30" i="1"/>
  <c r="EM18" i="1"/>
  <c r="GA18" i="1"/>
  <c r="FB18" i="1"/>
  <c r="FA30" i="1"/>
  <c r="IF18" i="1"/>
  <c r="DJ30" i="1"/>
  <c r="BQ18" i="1"/>
  <c r="DU18" i="1"/>
  <c r="LY24" i="1"/>
  <c r="BB18" i="1"/>
  <c r="FA24" i="1"/>
  <c r="HP18" i="1"/>
  <c r="IT24" i="1"/>
  <c r="HY18" i="1"/>
  <c r="CS24" i="1"/>
  <c r="IS30" i="1"/>
  <c r="IX18" i="1"/>
  <c r="GL24" i="1"/>
  <c r="BV24" i="1"/>
  <c r="IS18" i="1"/>
  <c r="GL30" i="1"/>
  <c r="AB30" i="1"/>
  <c r="Z24" i="1"/>
  <c r="II30" i="1"/>
  <c r="AK24" i="1"/>
  <c r="DI24" i="1"/>
  <c r="DI18" i="1"/>
  <c r="GL18" i="1"/>
  <c r="DF24" i="1"/>
  <c r="HE24" i="1"/>
  <c r="EK24" i="1"/>
  <c r="IT18" i="1"/>
  <c r="AB24" i="1"/>
  <c r="HC18" i="1"/>
  <c r="CO30" i="1"/>
  <c r="Q18" i="1"/>
  <c r="AK30" i="1"/>
  <c r="LI24" i="1"/>
  <c r="Q24" i="1"/>
  <c r="II24" i="1"/>
  <c r="HC30" i="1"/>
  <c r="EZ24" i="1"/>
  <c r="DF18" i="1"/>
  <c r="LH30" i="1"/>
  <c r="Q30" i="1"/>
  <c r="AB18" i="1"/>
  <c r="HC24" i="1"/>
  <c r="LH24" i="1"/>
  <c r="HL30" i="1"/>
  <c r="LF18" i="1"/>
  <c r="KC30" i="1"/>
  <c r="KW24" i="1"/>
  <c r="IR30" i="1"/>
  <c r="KG30" i="1"/>
  <c r="JJ30" i="1"/>
  <c r="JB30" i="1"/>
  <c r="IZ18" i="1"/>
  <c r="LA18" i="1"/>
  <c r="EL18" i="1"/>
  <c r="CM24" i="1"/>
  <c r="GB30" i="1"/>
  <c r="ET18" i="1"/>
  <c r="ET30" i="1"/>
  <c r="BH24" i="1"/>
  <c r="GW30" i="1"/>
  <c r="T24" i="1"/>
  <c r="KJ18" i="1"/>
  <c r="JM30" i="1"/>
  <c r="H18" i="1"/>
  <c r="AP18" i="1"/>
  <c r="GN30" i="1"/>
  <c r="HR18" i="1"/>
  <c r="CR30" i="1"/>
  <c r="HF18" i="1"/>
  <c r="CV18" i="1"/>
  <c r="IM24" i="1"/>
  <c r="BL30" i="1"/>
  <c r="DN30" i="1"/>
  <c r="KT24" i="1"/>
  <c r="JK24" i="1"/>
  <c r="BW18" i="1"/>
  <c r="BO24" i="1"/>
  <c r="BZ30" i="1"/>
  <c r="EL24" i="1"/>
  <c r="GK24" i="1"/>
  <c r="AY30" i="1"/>
  <c r="HD30" i="1"/>
  <c r="HR30" i="1"/>
  <c r="FS18" i="1"/>
  <c r="JE18" i="1"/>
  <c r="EE30" i="1"/>
  <c r="N30" i="1"/>
  <c r="CS18" i="1"/>
  <c r="FP24" i="1"/>
  <c r="EJ30" i="1"/>
  <c r="IO18" i="1"/>
  <c r="GM30" i="1"/>
  <c r="EE18" i="1"/>
  <c r="EX30" i="1"/>
  <c r="DN24" i="1"/>
  <c r="DV18" i="1"/>
  <c r="EA24" i="1"/>
  <c r="CN24" i="1"/>
  <c r="LE18" i="1"/>
  <c r="BH18" i="1"/>
  <c r="CW30" i="1"/>
  <c r="GT30" i="1"/>
  <c r="FI30" i="1"/>
  <c r="LJ24" i="1"/>
  <c r="JZ30" i="1"/>
  <c r="DU30" i="1"/>
  <c r="AN24" i="1"/>
  <c r="AK18" i="1"/>
  <c r="IH18" i="1"/>
  <c r="DG30" i="1"/>
  <c r="FW24" i="1"/>
  <c r="KH18" i="1"/>
  <c r="CE24" i="1"/>
  <c r="CV24" i="1"/>
  <c r="ES18" i="1"/>
  <c r="FN30" i="1"/>
  <c r="HT24" i="1"/>
  <c r="KG24" i="1"/>
  <c r="FR30" i="1"/>
  <c r="CX30" i="1"/>
  <c r="KT18" i="1"/>
  <c r="FW18" i="1"/>
  <c r="CM18" i="1"/>
  <c r="DM30" i="1"/>
  <c r="CA18" i="1"/>
  <c r="KC24" i="1"/>
  <c r="EH30" i="1"/>
  <c r="DE30" i="1"/>
  <c r="DT24" i="1"/>
  <c r="GI18" i="1"/>
  <c r="EX18" i="1"/>
  <c r="ER18" i="1"/>
  <c r="IP30" i="1"/>
  <c r="AW18" i="1"/>
  <c r="KE30" i="1"/>
  <c r="LH18" i="1"/>
  <c r="LL18" i="1"/>
  <c r="LX24" i="1"/>
  <c r="DR18" i="1"/>
  <c r="JI18" i="1"/>
  <c r="GP24" i="1"/>
  <c r="FX24" i="1"/>
  <c r="JK18" i="1"/>
  <c r="EL30" i="1"/>
  <c r="CL18" i="1"/>
  <c r="IC18" i="1"/>
  <c r="DZ30" i="1"/>
  <c r="IC24" i="1"/>
  <c r="K18" i="1"/>
  <c r="CG30" i="1"/>
  <c r="KL18" i="1"/>
  <c r="IU24" i="1"/>
  <c r="DS30" i="1"/>
  <c r="KS30" i="1"/>
  <c r="DX18" i="1"/>
  <c r="FI24" i="1"/>
  <c r="EA30" i="1"/>
  <c r="EG24" i="1"/>
  <c r="IW30" i="1"/>
  <c r="HJ24" i="1"/>
  <c r="AO24" i="1"/>
  <c r="P18" i="1"/>
  <c r="DN18" i="1"/>
  <c r="HS30" i="1"/>
  <c r="KF18" i="1"/>
  <c r="CE18" i="1"/>
  <c r="GB24" i="1"/>
  <c r="BK18" i="1"/>
  <c r="DO24" i="1"/>
  <c r="KI18" i="1"/>
  <c r="CX18" i="1"/>
  <c r="IP24" i="1"/>
  <c r="LS30" i="1"/>
  <c r="HJ18" i="1"/>
  <c r="LS24" i="1"/>
  <c r="P30" i="1"/>
  <c r="BQ30" i="1"/>
  <c r="JR18" i="1"/>
  <c r="DO30" i="1"/>
  <c r="LX30" i="1"/>
  <c r="FO30" i="1"/>
  <c r="JE30" i="1"/>
  <c r="M24" i="1"/>
  <c r="AJ30" i="1"/>
  <c r="EY18" i="1"/>
  <c r="AJ18" i="1"/>
  <c r="M18" i="1"/>
  <c r="DY18" i="1"/>
  <c r="F30" i="1"/>
  <c r="F18" i="1"/>
  <c r="JL18" i="1"/>
  <c r="JR30" i="1"/>
  <c r="CY18" i="1"/>
  <c r="GI30" i="1"/>
  <c r="GW18" i="1"/>
  <c r="HN30" i="1"/>
  <c r="EH18" i="1"/>
  <c r="HN24" i="1"/>
  <c r="GX30" i="1"/>
  <c r="KH30" i="1"/>
  <c r="IW24" i="1"/>
  <c r="P24" i="1"/>
  <c r="FR18" i="1"/>
  <c r="KG18" i="1"/>
  <c r="BC24" i="1"/>
  <c r="HK18" i="1"/>
  <c r="BL18" i="1"/>
  <c r="ID24" i="1"/>
  <c r="M30" i="1"/>
  <c r="IC30" i="1"/>
  <c r="GI24" i="1"/>
  <c r="DZ24" i="1"/>
  <c r="LF24" i="1"/>
  <c r="JV18" i="1"/>
  <c r="KH24" i="1"/>
  <c r="CI18" i="1"/>
  <c r="AI24" i="1"/>
  <c r="JF24" i="1"/>
  <c r="KS24" i="1"/>
  <c r="JU30" i="1"/>
  <c r="GK18" i="1"/>
  <c r="Y24" i="1"/>
  <c r="JX24" i="1"/>
  <c r="AJ24" i="1"/>
  <c r="T30" i="1"/>
  <c r="FD24" i="1"/>
  <c r="BN18" i="1"/>
  <c r="LO18" i="1"/>
  <c r="GZ30" i="1"/>
  <c r="JT16" i="1"/>
  <c r="JR12" i="6" s="1" a="1"/>
  <c r="JR12" i="6" s="1"/>
  <c r="JT30" i="1"/>
  <c r="CL24" i="1"/>
  <c r="CG24" i="1"/>
  <c r="BN30" i="1"/>
  <c r="LM18" i="1"/>
  <c r="BX24" i="1"/>
  <c r="JP24" i="1"/>
  <c r="JC30" i="1"/>
  <c r="IK18" i="1"/>
  <c r="FU24" i="1"/>
  <c r="EZ30" i="1"/>
  <c r="CR24" i="1"/>
  <c r="KA16" i="1"/>
  <c r="JY12" i="6" s="1" a="1"/>
  <c r="JY12" i="6" s="1"/>
  <c r="KA24" i="1"/>
  <c r="LO24" i="1"/>
  <c r="CT24" i="1"/>
  <c r="BI16" i="1"/>
  <c r="BG12" i="6" s="1" a="1"/>
  <c r="BG12" i="6" s="1"/>
  <c r="BG6" i="6" s="1"/>
  <c r="BI24" i="1"/>
  <c r="KR16" i="1"/>
  <c r="KP12" i="6" s="1" a="1"/>
  <c r="KP12" i="6" s="1"/>
  <c r="KR24" i="1"/>
  <c r="JO18" i="1"/>
  <c r="GM18" i="1"/>
  <c r="LO30" i="1"/>
  <c r="GV30" i="1"/>
  <c r="GV24" i="1"/>
  <c r="BL24" i="1"/>
  <c r="FG24" i="1"/>
  <c r="FS30" i="1"/>
  <c r="HA30" i="1"/>
  <c r="FY24" i="1"/>
  <c r="DC24" i="1"/>
  <c r="DC18" i="1"/>
  <c r="CL30" i="1"/>
  <c r="GZ24" i="1"/>
  <c r="CC16" i="1"/>
  <c r="CA12" i="6" s="1" a="1"/>
  <c r="CA12" i="6" s="1"/>
  <c r="CA6" i="6" s="1"/>
  <c r="CC30" i="1"/>
  <c r="CT18" i="1"/>
  <c r="KB18" i="1"/>
  <c r="FX30" i="1"/>
  <c r="HA24" i="1"/>
  <c r="IZ24" i="1"/>
  <c r="HZ24" i="1"/>
  <c r="LN16" i="1"/>
  <c r="LN18" i="1"/>
  <c r="JC18" i="1"/>
  <c r="HW30" i="1"/>
  <c r="DQ18" i="1"/>
  <c r="HK30" i="1"/>
  <c r="GZ18" i="1"/>
  <c r="DP24" i="1"/>
  <c r="DQ30" i="1"/>
  <c r="LM30" i="1"/>
  <c r="HF30" i="1"/>
  <c r="DF30" i="1"/>
  <c r="HR24" i="1"/>
  <c r="GK30" i="1"/>
  <c r="JH18" i="1"/>
  <c r="LG24" i="1"/>
  <c r="BG24" i="1"/>
  <c r="JE24" i="1"/>
  <c r="DL16" i="1"/>
  <c r="DJ12" i="6" s="1" a="1"/>
  <c r="DJ12" i="6" s="1"/>
  <c r="DJ6" i="6" s="1"/>
  <c r="DL18" i="1"/>
  <c r="GH18" i="1"/>
  <c r="CF24" i="1"/>
  <c r="BJ24" i="1"/>
  <c r="EC24" i="1"/>
  <c r="ED30" i="1"/>
  <c r="EU30" i="1"/>
  <c r="DP30" i="1"/>
  <c r="HI30" i="1"/>
  <c r="HI18" i="1"/>
  <c r="HK24" i="1"/>
  <c r="KS18" i="1"/>
  <c r="GW24" i="1"/>
  <c r="CH30" i="1"/>
  <c r="FU18" i="1"/>
  <c r="CD24" i="1"/>
  <c r="KO24" i="1"/>
  <c r="FU30" i="1"/>
  <c r="KB30" i="1"/>
  <c r="BY24" i="1"/>
  <c r="GG18" i="1"/>
  <c r="BX18" i="1"/>
  <c r="BO18" i="1"/>
  <c r="GT24" i="1"/>
  <c r="HE30" i="1"/>
  <c r="KV18" i="1"/>
  <c r="FM30" i="1"/>
  <c r="CD18" i="1"/>
  <c r="GY30" i="1"/>
  <c r="LN30" i="1"/>
  <c r="LP24" i="1"/>
  <c r="KZ18" i="1"/>
  <c r="CY30" i="1"/>
  <c r="DA30" i="1"/>
  <c r="IR18" i="1"/>
  <c r="GT18" i="1"/>
  <c r="DK18" i="1"/>
  <c r="EB30" i="1"/>
  <c r="KZ30" i="1"/>
  <c r="GH24" i="1"/>
  <c r="JA24" i="1"/>
  <c r="HD18" i="1"/>
  <c r="KE18" i="1"/>
  <c r="FF24" i="1"/>
  <c r="CZ24" i="1"/>
  <c r="DP18" i="1"/>
  <c r="BR24" i="1"/>
  <c r="HT18" i="1"/>
  <c r="IJ30" i="1"/>
  <c r="DZ18" i="1"/>
  <c r="LU30" i="1"/>
  <c r="JH24" i="1"/>
  <c r="JB24" i="1"/>
  <c r="KF30" i="1"/>
  <c r="LF30" i="1"/>
  <c r="KX24" i="1"/>
  <c r="HQ30" i="1"/>
  <c r="DD18" i="1"/>
  <c r="BJ18" i="1"/>
  <c r="LQ30" i="1"/>
  <c r="CU30" i="1"/>
  <c r="LV24" i="1"/>
  <c r="DO18" i="1"/>
  <c r="JS24" i="1"/>
  <c r="HJ30" i="1"/>
  <c r="HB18" i="1"/>
  <c r="LU18" i="1"/>
  <c r="JX30" i="1"/>
  <c r="CK30" i="1"/>
  <c r="JT24" i="1"/>
  <c r="IV18" i="1"/>
  <c r="CS30" i="1"/>
  <c r="CH24" i="1"/>
  <c r="FG30" i="1"/>
  <c r="CQ18" i="1"/>
  <c r="IM30" i="1"/>
  <c r="GS30" i="1"/>
  <c r="DL30" i="1"/>
  <c r="BS18" i="1"/>
  <c r="KQ24" i="1"/>
  <c r="EE24" i="1"/>
  <c r="BO30" i="1"/>
  <c r="DJ24" i="1"/>
  <c r="KM18" i="1"/>
  <c r="JW24" i="1"/>
  <c r="CU16" i="1"/>
  <c r="CS12" i="6" s="1" a="1"/>
  <c r="CS12" i="6" s="1"/>
  <c r="CS6" i="6" s="1"/>
  <c r="CU18" i="1"/>
  <c r="BY18" i="1"/>
  <c r="HV24" i="1"/>
  <c r="GP18" i="1"/>
  <c r="JT18" i="1"/>
  <c r="GE24" i="1"/>
  <c r="KY24" i="1"/>
  <c r="FP30" i="1"/>
  <c r="DE16" i="1"/>
  <c r="DC12" i="6" s="1" a="1"/>
  <c r="DC12" i="6" s="1"/>
  <c r="DC6" i="6" s="1"/>
  <c r="DE18" i="1"/>
  <c r="GG24" i="1"/>
  <c r="ID18" i="1"/>
  <c r="BR30" i="1"/>
  <c r="DE24" i="1"/>
  <c r="HS24" i="1"/>
  <c r="DY24" i="1"/>
  <c r="JH30" i="1"/>
  <c r="CU24" i="1"/>
  <c r="KZ24" i="1"/>
  <c r="JY30" i="1"/>
  <c r="FJ18" i="1"/>
  <c r="LX18" i="1"/>
  <c r="LP30" i="1"/>
  <c r="IA30" i="1"/>
  <c r="LS18" i="1"/>
  <c r="DB18" i="1"/>
  <c r="JP18" i="1"/>
  <c r="GV18" i="1"/>
  <c r="BG18" i="1"/>
  <c r="EG18" i="1"/>
  <c r="KR30" i="1"/>
  <c r="HH30" i="1"/>
  <c r="EJ18" i="1"/>
  <c r="KJ24" i="1"/>
  <c r="JK30" i="1"/>
  <c r="FM18" i="1"/>
  <c r="JO30" i="1"/>
  <c r="HI24" i="1"/>
  <c r="LC18" i="1"/>
  <c r="KA18" i="1"/>
  <c r="FG18" i="1"/>
  <c r="EB18" i="1"/>
  <c r="LJ18" i="1"/>
  <c r="JW30" i="1"/>
  <c r="DM18" i="1"/>
  <c r="BP18" i="1"/>
  <c r="LU24" i="1"/>
  <c r="IW18" i="1"/>
  <c r="HV30" i="1"/>
  <c r="GB18" i="1"/>
  <c r="GU18" i="1"/>
  <c r="CT30" i="1"/>
  <c r="JD18" i="1"/>
  <c r="HU30" i="1"/>
  <c r="GA30" i="1"/>
  <c r="IE30" i="1"/>
  <c r="IV30" i="1"/>
  <c r="HZ30" i="1"/>
  <c r="LC30" i="1"/>
  <c r="GD18" i="1"/>
  <c r="EU24" i="1"/>
  <c r="JO24" i="1"/>
  <c r="HA18" i="1"/>
  <c r="DB30" i="1"/>
  <c r="IG24" i="1"/>
  <c r="BF30" i="1"/>
  <c r="KB24" i="1"/>
  <c r="LN24" i="1"/>
  <c r="EK18" i="1"/>
  <c r="GG30" i="1"/>
  <c r="BQ24" i="1"/>
  <c r="HW24" i="1"/>
  <c r="CP30" i="1"/>
  <c r="BK30" i="1"/>
  <c r="BJ30" i="1"/>
  <c r="HB30" i="1"/>
  <c r="GE30" i="1"/>
  <c r="FM24" i="1"/>
  <c r="HO24" i="1"/>
  <c r="DD24" i="1"/>
  <c r="LG30" i="1"/>
  <c r="LA24" i="1"/>
  <c r="CC24" i="1"/>
  <c r="HB24" i="1"/>
  <c r="DM24" i="1"/>
  <c r="IS24" i="1"/>
  <c r="ER24" i="1"/>
  <c r="GF18" i="1"/>
  <c r="CF18" i="1"/>
  <c r="FV24" i="1"/>
  <c r="HO30" i="1"/>
  <c r="EZ18" i="1"/>
  <c r="JZ18" i="1"/>
  <c r="IR24" i="1"/>
  <c r="KJ16" i="1"/>
  <c r="KH12" i="6" s="1" a="1"/>
  <c r="KH12" i="6" s="1"/>
  <c r="KJ30" i="1"/>
  <c r="FX18" i="1"/>
  <c r="LM24" i="1"/>
  <c r="FV18" i="1"/>
  <c r="KX18" i="1"/>
  <c r="GP30" i="1"/>
  <c r="ED18" i="1"/>
  <c r="BX30" i="1"/>
  <c r="BS30" i="1"/>
  <c r="JC24" i="1"/>
  <c r="HZ18" i="1"/>
  <c r="KD18" i="1"/>
  <c r="HE18" i="1"/>
  <c r="CW18" i="1"/>
  <c r="JP30" i="1"/>
  <c r="IO16" i="1"/>
  <c r="IM12" i="6" s="1" a="1"/>
  <c r="IM12" i="6" s="1"/>
  <c r="IO24" i="1"/>
  <c r="CW24" i="1"/>
  <c r="EM24" i="1"/>
  <c r="HD24" i="1"/>
  <c r="BH30" i="1"/>
  <c r="HT30" i="1"/>
  <c r="DX24" i="1"/>
  <c r="JY18" i="1"/>
  <c r="IG18" i="1"/>
  <c r="HX30" i="1"/>
  <c r="JM24" i="1"/>
  <c r="EI24" i="1"/>
  <c r="IZ30" i="1"/>
  <c r="IX24" i="1"/>
  <c r="CY24" i="1"/>
  <c r="LB30" i="1"/>
  <c r="DQ24" i="1"/>
  <c r="BW30" i="1"/>
  <c r="DS18" i="1"/>
  <c r="BG30" i="1"/>
  <c r="CM30" i="1"/>
  <c r="HU24" i="1"/>
  <c r="GE18" i="1"/>
  <c r="BT18" i="1"/>
  <c r="JV30" i="1"/>
  <c r="FF30" i="1"/>
  <c r="FD18" i="1"/>
  <c r="JN18" i="1"/>
  <c r="BV18" i="1"/>
  <c r="CR18" i="1"/>
  <c r="BI30" i="1"/>
  <c r="FB24" i="1"/>
  <c r="GX18" i="1"/>
  <c r="JQ18" i="1"/>
  <c r="HM30" i="1"/>
  <c r="DK24" i="1"/>
  <c r="KA30" i="1"/>
  <c r="CC18" i="1"/>
  <c r="BP30" i="1"/>
  <c r="EY24" i="1"/>
  <c r="EW24" i="1"/>
  <c r="KW30" i="1"/>
  <c r="GR24" i="1"/>
  <c r="IA24" i="1"/>
  <c r="JN24" i="1"/>
  <c r="CB30" i="1"/>
  <c r="FY30" i="1"/>
  <c r="EB24" i="1"/>
  <c r="CQ24" i="1"/>
  <c r="KX30" i="1"/>
  <c r="DJ18" i="1"/>
  <c r="LP18" i="1"/>
  <c r="IQ24" i="1"/>
  <c r="CN18" i="1"/>
  <c r="HF24" i="1"/>
  <c r="LR30" i="1"/>
  <c r="LI18" i="1"/>
  <c r="FJ30" i="1"/>
  <c r="JA30" i="1"/>
  <c r="FV30" i="1"/>
  <c r="BY30" i="1"/>
  <c r="LL24" i="1"/>
  <c r="LE16" i="1"/>
  <c r="LC12" i="6" s="1" a="1"/>
  <c r="LC12" i="6" s="1"/>
  <c r="LE30" i="1"/>
  <c r="LI30" i="1"/>
  <c r="IB18" i="1"/>
  <c r="CV30" i="1"/>
  <c r="JY24" i="1"/>
  <c r="DK30" i="1"/>
  <c r="GF30" i="1"/>
  <c r="KD30" i="1"/>
  <c r="CQ30" i="1"/>
  <c r="KQ30" i="1"/>
  <c r="IU18" i="1"/>
  <c r="FP18" i="1"/>
  <c r="IX30" i="1"/>
  <c r="EF30" i="1"/>
  <c r="BN24" i="1"/>
  <c r="BZ24" i="1"/>
  <c r="IF24" i="1"/>
  <c r="BI18" i="1"/>
  <c r="IO30" i="1"/>
  <c r="BW24" i="1"/>
  <c r="LB18" i="1"/>
  <c r="IA18" i="1"/>
  <c r="DT30" i="1"/>
  <c r="BF18" i="1"/>
  <c r="BV30" i="1"/>
  <c r="ID30" i="1"/>
  <c r="EO30" i="1"/>
  <c r="HG24" i="1"/>
  <c r="DX30" i="1"/>
  <c r="FD30" i="1"/>
  <c r="CO24" i="1"/>
  <c r="FY18" i="1"/>
  <c r="BZ18" i="1"/>
  <c r="KO30" i="1"/>
  <c r="CO18" i="1"/>
  <c r="LJ30" i="1"/>
  <c r="IG30" i="1"/>
  <c r="JX18" i="1"/>
  <c r="GO24" i="1"/>
  <c r="ED16" i="1"/>
  <c r="EB12" i="6" s="1" a="1"/>
  <c r="EB12" i="6" s="1"/>
  <c r="EB6" i="6" s="1"/>
  <c r="ED24" i="1"/>
  <c r="HL24" i="1"/>
  <c r="GX24" i="1"/>
  <c r="JS18" i="1"/>
  <c r="KM30" i="1"/>
  <c r="JU24" i="1"/>
  <c r="HL18" i="1"/>
  <c r="GY24" i="1"/>
  <c r="DL24" i="1"/>
  <c r="FI18" i="1"/>
  <c r="KL24" i="1"/>
  <c r="HH24" i="1"/>
  <c r="JG30" i="1"/>
  <c r="HW18" i="1"/>
  <c r="JU18" i="1"/>
  <c r="IV24" i="1"/>
  <c r="GD30" i="1"/>
  <c r="GF24" i="1"/>
  <c r="HH18" i="1"/>
  <c r="FL16" i="1"/>
  <c r="FJ12" i="6" s="1" a="1"/>
  <c r="FJ12" i="6" s="1"/>
  <c r="FL24" i="1"/>
  <c r="BF24" i="1"/>
  <c r="EJ24" i="1"/>
  <c r="JB18" i="1"/>
  <c r="KD24" i="1"/>
  <c r="JD24" i="1"/>
  <c r="CD30" i="1"/>
  <c r="LR18" i="1"/>
  <c r="BU30" i="1"/>
  <c r="GJ18" i="1"/>
  <c r="CI30" i="1"/>
  <c r="IU30" i="1"/>
  <c r="FF18" i="1"/>
  <c r="FA18" i="1"/>
  <c r="BS24" i="1"/>
  <c r="ET24" i="1"/>
  <c r="JA18" i="1"/>
  <c r="KT30" i="1"/>
  <c r="HO18" i="1"/>
  <c r="FS24" i="1"/>
  <c r="GY18" i="1"/>
  <c r="GJ24" i="1"/>
  <c r="DC30" i="1"/>
  <c r="EM30" i="1"/>
  <c r="EO16" i="1"/>
  <c r="EM12" i="6" s="1" a="1"/>
  <c r="EM12" i="6" s="1"/>
  <c r="EM6" i="6" s="1"/>
  <c r="EO18" i="1"/>
  <c r="GM24" i="1"/>
  <c r="IJ18" i="1"/>
  <c r="GO30" i="1"/>
  <c r="LV30" i="1"/>
  <c r="IM18" i="1"/>
  <c r="LB24" i="1"/>
  <c r="ES30" i="1"/>
  <c r="JW18" i="1"/>
  <c r="KR18" i="1"/>
  <c r="EK30" i="1"/>
  <c r="KU24" i="1"/>
  <c r="LG18" i="1"/>
  <c r="KO18" i="1"/>
  <c r="IK24" i="1"/>
  <c r="KM24" i="1"/>
  <c r="IK30" i="1"/>
  <c r="LR24" i="1"/>
  <c r="HM24" i="1"/>
  <c r="EH24" i="1"/>
  <c r="GD24" i="1"/>
  <c r="HQ24" i="1"/>
  <c r="KK24" i="1"/>
  <c r="FO24" i="1"/>
  <c r="FO18" i="1"/>
  <c r="LY30" i="1"/>
  <c r="V30" i="1"/>
  <c r="I24" i="1"/>
  <c r="AX24" i="1"/>
  <c r="AF24" i="1"/>
  <c r="G30" i="1"/>
  <c r="AM30" i="1"/>
  <c r="AH18" i="1"/>
  <c r="N18" i="1"/>
  <c r="G18" i="1"/>
  <c r="AX30" i="1"/>
  <c r="F24" i="1"/>
  <c r="H24" i="1"/>
  <c r="S18" i="1"/>
  <c r="O24" i="1"/>
  <c r="AN30" i="1"/>
  <c r="J18" i="1"/>
  <c r="K24" i="1"/>
  <c r="O30" i="1"/>
  <c r="BA24" i="1"/>
  <c r="T18" i="1"/>
  <c r="AW24" i="1"/>
  <c r="L24" i="1"/>
  <c r="AO30" i="1"/>
  <c r="AU16" i="1"/>
  <c r="AS12" i="6" s="1" a="1"/>
  <c r="AS12" i="6" s="1"/>
  <c r="AS6" i="6" s="1"/>
  <c r="AU30" i="1"/>
  <c r="AL30" i="1"/>
  <c r="AA30" i="1"/>
  <c r="AV18" i="1"/>
  <c r="AX18" i="1"/>
  <c r="AA24" i="1"/>
  <c r="R18" i="1"/>
  <c r="O18" i="1"/>
  <c r="Y18" i="1"/>
  <c r="AR24" i="1"/>
  <c r="G24" i="1"/>
  <c r="AH30" i="1"/>
  <c r="AZ24" i="1"/>
  <c r="AL18" i="1"/>
  <c r="AD24" i="1"/>
  <c r="J30" i="1"/>
  <c r="AQ30" i="1"/>
  <c r="AA18" i="1"/>
  <c r="Y30" i="1"/>
  <c r="AI18" i="1"/>
  <c r="N24" i="1"/>
  <c r="AV24" i="1"/>
  <c r="AY18" i="1"/>
  <c r="AY24" i="1"/>
  <c r="R30" i="1"/>
  <c r="V18" i="1"/>
  <c r="AZ30" i="1"/>
  <c r="L18" i="1"/>
  <c r="AD30" i="1"/>
  <c r="AQ18" i="1"/>
  <c r="V24" i="1"/>
  <c r="I30" i="1"/>
  <c r="AS16" i="1"/>
  <c r="AQ12" i="6" s="1" a="1"/>
  <c r="AQ12" i="6" s="1"/>
  <c r="AQ6" i="6" s="1"/>
  <c r="AS30" i="1"/>
  <c r="AR30" i="1"/>
  <c r="AL24" i="1"/>
  <c r="AQ24" i="1"/>
  <c r="AM18" i="1"/>
  <c r="AM24" i="1"/>
  <c r="Z18" i="1"/>
  <c r="AV30" i="1"/>
  <c r="X18" i="1"/>
  <c r="BA30" i="1"/>
  <c r="AW30" i="1"/>
  <c r="R24" i="1"/>
  <c r="AR18" i="1"/>
  <c r="I18" i="1"/>
  <c r="X24" i="1"/>
  <c r="AH24" i="1"/>
  <c r="J24" i="1"/>
  <c r="U16" i="1"/>
  <c r="S12" i="6" s="1" a="1"/>
  <c r="S12" i="6" s="1"/>
  <c r="S6" i="6" s="1"/>
  <c r="U18" i="1"/>
  <c r="AZ18" i="1"/>
  <c r="AO18" i="1"/>
  <c r="H30" i="1"/>
  <c r="B20" i="6" l="1" a="1"/>
  <c r="B20" i="6" s="1"/>
  <c r="C20" i="6" a="1"/>
  <c r="C20" i="6" s="1"/>
  <c r="I20" i="6" a="1"/>
  <c r="I20" i="6" s="1"/>
  <c r="F20" i="6" a="1"/>
  <c r="F20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<sst xmlns="http://schemas.openxmlformats.org/spreadsheetml/2006/main" count="452" uniqueCount="402">
  <si>
    <t>Month/year</t>
  </si>
  <si>
    <t>Hours worked monthly</t>
  </si>
  <si>
    <t>Frequency Rates</t>
  </si>
  <si>
    <t>Lost Time Incident Frequency</t>
  </si>
  <si>
    <t>Total Recordable Injury</t>
  </si>
  <si>
    <t xml:space="preserve">Safety Observation Frequency </t>
  </si>
  <si>
    <t>Leading KPIs</t>
  </si>
  <si>
    <t>Number</t>
  </si>
  <si>
    <t>Leadership visits</t>
  </si>
  <si>
    <t>Client Audits/Inspections</t>
  </si>
  <si>
    <t>Categories:</t>
  </si>
  <si>
    <t>Fatality</t>
  </si>
  <si>
    <t>Lost time injury</t>
  </si>
  <si>
    <t>Reportable Injury (RIDDOR)</t>
  </si>
  <si>
    <t>Restricted work case</t>
  </si>
  <si>
    <t>Medical treatment case</t>
  </si>
  <si>
    <t>First aid treatment case</t>
  </si>
  <si>
    <t>Injury / Illness no treatment</t>
  </si>
  <si>
    <t>Near hit/miss</t>
  </si>
  <si>
    <t>Safety observation</t>
  </si>
  <si>
    <t xml:space="preserve">Environmental </t>
  </si>
  <si>
    <t>Contractors (Leading)</t>
  </si>
  <si>
    <t>Joint Contractor / Employer inspections</t>
  </si>
  <si>
    <t>Health &amp; Safety Audits / Inspections</t>
  </si>
  <si>
    <t>Emergency Drills</t>
  </si>
  <si>
    <t>Regulatory Visits</t>
  </si>
  <si>
    <t>Toolbox Talks</t>
  </si>
  <si>
    <t>Back to Work Brief</t>
  </si>
  <si>
    <t>Lessons Learned</t>
  </si>
  <si>
    <t>Monthly Rate</t>
  </si>
  <si>
    <t xml:space="preserve">Monthly Number </t>
  </si>
  <si>
    <t xml:space="preserve">Year </t>
  </si>
  <si>
    <t>Month</t>
  </si>
  <si>
    <t>Flag Year</t>
  </si>
  <si>
    <t>TOTAL Project</t>
  </si>
  <si>
    <t>End Period</t>
  </si>
  <si>
    <t>Flag Month</t>
  </si>
  <si>
    <t>Months between dates</t>
  </si>
  <si>
    <t>Client Name</t>
  </si>
  <si>
    <t>Last Author</t>
  </si>
  <si>
    <t>Start Period</t>
  </si>
  <si>
    <t>KPI</t>
  </si>
  <si>
    <t>KPI Selection</t>
  </si>
  <si>
    <t>Selection Period</t>
  </si>
  <si>
    <t>Period</t>
  </si>
  <si>
    <t>Monthly</t>
  </si>
  <si>
    <t>Years between dates</t>
  </si>
  <si>
    <t xml:space="preserve">Cumulative Hours Worked (within same Year) </t>
  </si>
  <si>
    <t>12-month Rolling total</t>
  </si>
  <si>
    <t xml:space="preserve">12-month rolling Number </t>
  </si>
  <si>
    <t>12-Month Rolling rate</t>
  </si>
  <si>
    <t>Active Flag</t>
  </si>
  <si>
    <t>Cumulative Year Rate</t>
  </si>
  <si>
    <t xml:space="preserve">Cumulative Year Number </t>
  </si>
  <si>
    <t>Actual User of the Register: fna</t>
  </si>
  <si>
    <t>Last Update</t>
  </si>
  <si>
    <t>Values</t>
  </si>
  <si>
    <t>Date</t>
  </si>
  <si>
    <t>Dates</t>
  </si>
  <si>
    <t>Contractor Name</t>
  </si>
  <si>
    <t>email:</t>
  </si>
  <si>
    <t>Insert/Modify data</t>
  </si>
  <si>
    <t>Feb-21</t>
  </si>
  <si>
    <t>Mar-21</t>
  </si>
  <si>
    <t>Apr-21</t>
  </si>
  <si>
    <t>May-21</t>
  </si>
  <si>
    <t>Jun-21</t>
  </si>
  <si>
    <t>Jul-21</t>
  </si>
  <si>
    <t>Aug-21</t>
  </si>
  <si>
    <t>Sep-21</t>
  </si>
  <si>
    <t>Oct-21</t>
  </si>
  <si>
    <t>Nov-21</t>
  </si>
  <si>
    <t>Dec-21</t>
  </si>
  <si>
    <t>Jan-22</t>
  </si>
  <si>
    <t>Oct-22</t>
  </si>
  <si>
    <t>Nov-22</t>
  </si>
  <si>
    <t>Dec-22</t>
  </si>
  <si>
    <t>Jan-23</t>
  </si>
  <si>
    <t>Feb-23</t>
  </si>
  <si>
    <t>Mar-23</t>
  </si>
  <si>
    <t>Apr-23</t>
  </si>
  <si>
    <t>May-23</t>
  </si>
  <si>
    <t>Jun-23</t>
  </si>
  <si>
    <t>Jul-23</t>
  </si>
  <si>
    <t>Aug-23</t>
  </si>
  <si>
    <t>Sep-23</t>
  </si>
  <si>
    <t>Oct-23</t>
  </si>
  <si>
    <t>Nov-23</t>
  </si>
  <si>
    <t>Dec-23</t>
  </si>
  <si>
    <t>Jan-24</t>
  </si>
  <si>
    <t>Feb-24</t>
  </si>
  <si>
    <t>Mar-24</t>
  </si>
  <si>
    <t>Apr-24</t>
  </si>
  <si>
    <t>May-24</t>
  </si>
  <si>
    <t>Jun-24</t>
  </si>
  <si>
    <t>Jul-24</t>
  </si>
  <si>
    <t>Aug-24</t>
  </si>
  <si>
    <t>Sep-24</t>
  </si>
  <si>
    <t>Oct-24</t>
  </si>
  <si>
    <t>Nov-24</t>
  </si>
  <si>
    <t>Dec-24</t>
  </si>
  <si>
    <t>Jan-25</t>
  </si>
  <si>
    <t>Feb-25</t>
  </si>
  <si>
    <t>Mar-25</t>
  </si>
  <si>
    <t>Apr-25</t>
  </si>
  <si>
    <t>May-25</t>
  </si>
  <si>
    <t>Jun-25</t>
  </si>
  <si>
    <t>Jul-25</t>
  </si>
  <si>
    <t>Aug-25</t>
  </si>
  <si>
    <t>Sep-25</t>
  </si>
  <si>
    <t>Oct-25</t>
  </si>
  <si>
    <t>Nov-25</t>
  </si>
  <si>
    <t>Dec-25</t>
  </si>
  <si>
    <t>Jan-26</t>
  </si>
  <si>
    <t>Feb-26</t>
  </si>
  <si>
    <t>Mar-26</t>
  </si>
  <si>
    <t>Apr-26</t>
  </si>
  <si>
    <t>May-26</t>
  </si>
  <si>
    <t>Jun-26</t>
  </si>
  <si>
    <t>Jul-26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</si>
  <si>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</si>
  <si>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</si>
  <si>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</si>
  <si>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</si>
  <si>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</si>
  <si>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</si>
  <si>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</si>
  <si>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</si>
  <si>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Apr-27</t>
  </si>
  <si>
    <t>May-27</t>
  </si>
  <si>
    <t>Jun-27</t>
  </si>
  <si>
    <t>Jul-27</t>
  </si>
  <si>
    <t>Aug-27</t>
  </si>
  <si>
    <t>Sep-27</t>
  </si>
  <si>
    <t>Oct-27</t>
  </si>
  <si>
    <t>Nov-27</t>
  </si>
  <si>
    <t>Dec-27</t>
  </si>
  <si>
    <t>Jan-28</t>
  </si>
  <si>
    <t>Feb-28</t>
  </si>
  <si>
    <t>Mar-28</t>
  </si>
  <si>
    <t>Apr-28</t>
  </si>
  <si>
    <t>May-28</t>
  </si>
  <si>
    <t>Jun-28</t>
  </si>
  <si>
    <t>Jul-28</t>
  </si>
  <si>
    <t>Aug-28</t>
  </si>
  <si>
    <t>Sep-28</t>
  </si>
  <si>
    <t>Oct-28</t>
  </si>
  <si>
    <t>Nov-28</t>
  </si>
  <si>
    <t>Dec-28</t>
  </si>
  <si>
    <t>Jan-29</t>
  </si>
  <si>
    <t>Feb-29</t>
  </si>
  <si>
    <t>Mar-29</t>
  </si>
  <si>
    <t>Apr-29</t>
  </si>
  <si>
    <t>May-29</t>
  </si>
  <si>
    <t>Jun-29</t>
  </si>
  <si>
    <t>Jul-29</t>
  </si>
  <si>
    <t>Aug-29</t>
  </si>
  <si>
    <t>Sep-29</t>
  </si>
  <si>
    <t>Oct-29</t>
  </si>
  <si>
    <t>Nov-29</t>
  </si>
  <si>
    <t>Dec-29</t>
  </si>
  <si>
    <t>Jan-30</t>
  </si>
  <si>
    <t>Feb-30</t>
  </si>
  <si>
    <t>Mar-30</t>
  </si>
  <si>
    <t>Apr-30</t>
  </si>
  <si>
    <t>May-30</t>
  </si>
  <si>
    <t>Jun-30</t>
  </si>
  <si>
    <t>Jul-30</t>
  </si>
  <si>
    <t>Aug-30</t>
  </si>
  <si>
    <t>Sep-30</t>
  </si>
  <si>
    <t>Oct-30</t>
  </si>
  <si>
    <t>Nov-30</t>
  </si>
  <si>
    <t>Dec-30</t>
  </si>
  <si>
    <t>Jan-31</t>
  </si>
  <si>
    <t>Feb-31</t>
  </si>
  <si>
    <t>Mar-31</t>
  </si>
  <si>
    <t>Apr-31</t>
  </si>
  <si>
    <t>May-31</t>
  </si>
  <si>
    <t>Jun-31</t>
  </si>
  <si>
    <t>Jul-31</t>
  </si>
  <si>
    <t>Aug-31</t>
  </si>
  <si>
    <t>Sep-31</t>
  </si>
  <si>
    <t>Oct-31</t>
  </si>
  <si>
    <t>Nov-31</t>
  </si>
  <si>
    <t>Dec-31</t>
  </si>
  <si>
    <t>Jan-32</t>
  </si>
  <si>
    <t>Feb-32</t>
  </si>
  <si>
    <t>Mar-32</t>
  </si>
  <si>
    <t>Apr-32</t>
  </si>
  <si>
    <t>May-32</t>
  </si>
  <si>
    <t>Jun-32</t>
  </si>
  <si>
    <t>Jul-32</t>
  </si>
  <si>
    <t>Aug-32</t>
  </si>
  <si>
    <t>Sep-32</t>
  </si>
  <si>
    <t>Oct-32</t>
  </si>
  <si>
    <t>Nov-32</t>
  </si>
  <si>
    <t>Dec-32</t>
  </si>
  <si>
    <t>Jan-33</t>
  </si>
  <si>
    <t>Feb-33</t>
  </si>
  <si>
    <t>Mar-33</t>
  </si>
  <si>
    <t>Apr-33</t>
  </si>
  <si>
    <t>May-33</t>
  </si>
  <si>
    <t>Jun-33</t>
  </si>
  <si>
    <t>Jul-33</t>
  </si>
  <si>
    <t>Aug-33</t>
  </si>
  <si>
    <t>Sep-33</t>
  </si>
  <si>
    <t>Oct-33</t>
  </si>
  <si>
    <t>Nov-33</t>
  </si>
  <si>
    <t>Dec-33</t>
  </si>
  <si>
    <t>Jan-34</t>
  </si>
  <si>
    <t>Feb-34</t>
  </si>
  <si>
    <t>Mar-34</t>
  </si>
  <si>
    <t>Apr-34</t>
  </si>
  <si>
    <t>May-34</t>
  </si>
  <si>
    <t>Jun-34</t>
  </si>
  <si>
    <t>Jul-34</t>
  </si>
  <si>
    <t>Aug-34</t>
  </si>
  <si>
    <t>Sep-34</t>
  </si>
  <si>
    <t>Oct-34</t>
  </si>
  <si>
    <t>Nov-34</t>
  </si>
  <si>
    <t>Dec-34</t>
  </si>
  <si>
    <t>Jan-35</t>
  </si>
  <si>
    <t>Feb-35</t>
  </si>
  <si>
    <t>Mar-35</t>
  </si>
  <si>
    <t>Apr-35</t>
  </si>
  <si>
    <t>May-35</t>
  </si>
  <si>
    <t>Jun-35</t>
  </si>
  <si>
    <t>Jul-35</t>
  </si>
  <si>
    <t>Aug-35</t>
  </si>
  <si>
    <t>Sep-35</t>
  </si>
  <si>
    <t>Oct-35</t>
  </si>
  <si>
    <t>Nov-35</t>
  </si>
  <si>
    <t>Dec-35</t>
  </si>
  <si>
    <t>Jan-36</t>
  </si>
  <si>
    <t>Feb-36</t>
  </si>
  <si>
    <t>Mar-36</t>
  </si>
  <si>
    <t>Apr-36</t>
  </si>
  <si>
    <t>May-36</t>
  </si>
  <si>
    <t>Jun-36</t>
  </si>
  <si>
    <t>Jul-36</t>
  </si>
  <si>
    <t>Aug-36</t>
  </si>
  <si>
    <t>Sep-36</t>
  </si>
  <si>
    <t>Oct-36</t>
  </si>
  <si>
    <t>Nov-36</t>
  </si>
  <si>
    <t>Dec-36</t>
  </si>
  <si>
    <t>Jan-37</t>
  </si>
  <si>
    <t>Feb-37</t>
  </si>
  <si>
    <t>Mar-37</t>
  </si>
  <si>
    <t>Apr-37</t>
  </si>
  <si>
    <t>May-37</t>
  </si>
  <si>
    <t>Jun-37</t>
  </si>
  <si>
    <t>Jul-37</t>
  </si>
  <si>
    <t>Aug-37</t>
  </si>
  <si>
    <t>Sep-37</t>
  </si>
  <si>
    <t>Oct-37</t>
  </si>
  <si>
    <t>Nov-37</t>
  </si>
  <si>
    <t>Dec-37</t>
  </si>
  <si>
    <t>Jan-38</t>
  </si>
  <si>
    <t>Feb-38</t>
  </si>
  <si>
    <t>Mar-38</t>
  </si>
  <si>
    <t>Apr-38</t>
  </si>
  <si>
    <t>May-38</t>
  </si>
  <si>
    <t>Jun-38</t>
  </si>
  <si>
    <t>Jul-38</t>
  </si>
  <si>
    <t>Aug-38</t>
  </si>
  <si>
    <t>Sep-38</t>
  </si>
  <si>
    <t>Oct-38</t>
  </si>
  <si>
    <t>Nov-38</t>
  </si>
  <si>
    <t>Dec-38</t>
  </si>
  <si>
    <t>Jan-39</t>
  </si>
  <si>
    <t>Feb-39</t>
  </si>
  <si>
    <t>Mar-39</t>
  </si>
  <si>
    <t>Apr-39</t>
  </si>
  <si>
    <t>May-39</t>
  </si>
  <si>
    <t>Jun-39</t>
  </si>
  <si>
    <t>Jul-39</t>
  </si>
  <si>
    <t>Aug-39</t>
  </si>
  <si>
    <t>Sep-39</t>
  </si>
  <si>
    <t>Oct-39</t>
  </si>
  <si>
    <t>Nov-39</t>
  </si>
  <si>
    <t>Dec-39</t>
  </si>
  <si>
    <t>Jan-40</t>
  </si>
  <si>
    <t>Feb-40</t>
  </si>
  <si>
    <t>Mar-40</t>
  </si>
  <si>
    <t>Apr-40</t>
  </si>
  <si>
    <t>May-40</t>
  </si>
  <si>
    <t>Jun-40</t>
  </si>
  <si>
    <t>Jul-40</t>
  </si>
  <si>
    <t>Aug-40</t>
  </si>
  <si>
    <t>Sep-40</t>
  </si>
  <si>
    <t>Oct-40</t>
  </si>
  <si>
    <t>Nov-40</t>
  </si>
  <si>
    <t>Dec-40</t>
  </si>
  <si>
    <t>Jan-41</t>
  </si>
  <si>
    <t>Feb-41</t>
  </si>
  <si>
    <t>Mar-41</t>
  </si>
  <si>
    <t>Apr-41</t>
  </si>
  <si>
    <t>May-41</t>
  </si>
  <si>
    <t>Jun-41</t>
  </si>
  <si>
    <t>Jul-41</t>
  </si>
  <si>
    <t>Aug-41</t>
  </si>
  <si>
    <t>Sep-41</t>
  </si>
  <si>
    <t>Oct-41</t>
  </si>
  <si>
    <t>Nov-41</t>
  </si>
  <si>
    <t>Dec-41</t>
  </si>
  <si>
    <t>Jan-42</t>
  </si>
  <si>
    <t>Feb-42</t>
  </si>
  <si>
    <t>Mar-42</t>
  </si>
  <si>
    <t>Apr-42</t>
  </si>
  <si>
    <t>May-42</t>
  </si>
  <si>
    <t>Jun-42</t>
  </si>
  <si>
    <t>Jul-42</t>
  </si>
  <si>
    <t>Aug-42</t>
  </si>
  <si>
    <t>Sep-42</t>
  </si>
  <si>
    <t>Oct-42</t>
  </si>
  <si>
    <t>Nov-42</t>
  </si>
  <si>
    <t>Dec-42</t>
  </si>
  <si>
    <t>Jan-43</t>
  </si>
  <si>
    <t>Feb-43</t>
  </si>
  <si>
    <t>Mar-43</t>
  </si>
  <si>
    <t>Apr-43</t>
  </si>
  <si>
    <t>May-43</t>
  </si>
  <si>
    <t>Jun-43</t>
  </si>
  <si>
    <t>Jul-43</t>
  </si>
  <si>
    <t>Aug-43</t>
  </si>
  <si>
    <t>Sep-43</t>
  </si>
  <si>
    <t>Oct-43</t>
  </si>
  <si>
    <t>Nov-43</t>
  </si>
  <si>
    <t>Dec-43</t>
  </si>
  <si>
    <t>Jan-44</t>
  </si>
  <si>
    <t>Feb-44</t>
  </si>
  <si>
    <t>Mar-44</t>
  </si>
  <si>
    <t>Apr-44</t>
  </si>
  <si>
    <t>May-44</t>
  </si>
  <si>
    <t>Jun-44</t>
  </si>
  <si>
    <t>Jul-44</t>
  </si>
  <si>
    <t>Aug-44</t>
  </si>
  <si>
    <t>Sep-44</t>
  </si>
  <si>
    <t>Oct-44</t>
  </si>
  <si>
    <t>Nov-44</t>
  </si>
  <si>
    <t>Dec-44</t>
  </si>
  <si>
    <t>Jan-45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</si>
  <si>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</si>
  <si>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</si>
  <si>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</si>
  <si>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</si>
  <si>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</si>
  <si>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</si>
  <si>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</si>
  <si>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</si>
  <si>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</si>
  <si>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</si>
  <si>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</si>
  <si>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</si>
  <si>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</si>
  <si>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</si>
  <si>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</si>
  <si>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</si>
  <si>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</si>
  <si>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</si>
  <si>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</si>
  <si>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</si>
  <si>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</si>
  <si>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</si>
  <si>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</si>
  <si>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</si>
  <si>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</si>
  <si>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</si>
  <si>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</si>
  <si>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</si>
  <si>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</si>
  <si>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</si>
  <si>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</si>
  <si>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</si>
  <si>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</si>
  <si>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</si>
  <si>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</si>
  <si>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</si>
  <si>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</si>
  <si>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Row Labels</t>
  </si>
  <si>
    <t>Grand Total</t>
  </si>
  <si>
    <t>Sep</t>
  </si>
  <si>
    <t>Oct</t>
  </si>
  <si>
    <t>Nov</t>
  </si>
  <si>
    <t>Dec</t>
  </si>
  <si>
    <t>Years</t>
  </si>
  <si>
    <t>Sum of Lost Time Incident Frequency - Monthly Rate</t>
  </si>
  <si>
    <t>Sum of Monthly Number  - Cumulative Year Rate</t>
  </si>
  <si>
    <t>Monthly Number  - Cumulative Year Rate</t>
  </si>
  <si>
    <t>(Multiple Items)</t>
  </si>
  <si>
    <t>Monthly cumulative (within same Year)</t>
  </si>
  <si>
    <t>Owner Model</t>
  </si>
  <si>
    <t>Name File excel</t>
  </si>
  <si>
    <t>fna@k2management.com</t>
  </si>
  <si>
    <t>Additional comments</t>
  </si>
  <si>
    <t>Additional Comments:</t>
  </si>
  <si>
    <t>*Use ALT+ENTER to to create a new line in the cell</t>
  </si>
  <si>
    <t>Flags</t>
  </si>
  <si>
    <t>rmc@k2management.com</t>
  </si>
  <si>
    <t>Mail</t>
  </si>
  <si>
    <t>Hi Rob, Please see attachment. Have a safe trip. Best, Francesco</t>
  </si>
  <si>
    <t>Contractor1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</si>
</sst>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800]dddd\,\ mmmm\ dd\,\ yyyy"/>
  </numFmts>
  <fonts count="3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b/>
      <sz val="9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i/>
      <sz val="10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i/>
      <sz val="12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EAAA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A6497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rgb="FFA3A3A3"/>
      </right>
      <top/>
      <bottom style="medium">
        <color rgb="FFA3A3A3"/>
      </bottom>
      <diagonal/>
    </border>
    <border>
      <left style="medium">
        <color rgb="FFA3A3A3"/>
      </left>
      <right/>
      <top style="medium">
        <color rgb="FFA3A3A3"/>
      </top>
      <bottom style="medium">
        <color rgb="FFA3A3A3"/>
      </bottom>
      <diagonal/>
    </border>
    <border>
      <left/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theme="4" tint="0.39997558519241921"/>
      </right>
      <top style="medium">
        <color indexed="64"/>
      </top>
      <bottom/>
      <diagonal/>
    </border>
    <border>
      <left style="thin">
        <color theme="4" tint="0.39997558519241921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medium">
        <color indexed="64"/>
      </top>
      <bottom style="thin">
        <color theme="4" tint="0.39997558519241921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68">
    <xf numFmtId="0" fontId="0" fillId="0" borderId="0" xfId="0"/>
    <xf numFmtId="0" fontId="3" fillId="0" borderId="1" xfId="0" applyFont="1" applyBorder="1" applyAlignment="1">
      <alignment horizontal="right" vertical="center"/>
    </xf>
    <xf numFmtId="0" fontId="0" fillId="4" borderId="5" xfId="0" applyFill="1" applyBorder="1" applyAlignment="1">
      <alignment horizontal="center" vertical="center"/>
    </xf>
    <xf numFmtId="0" fontId="3" fillId="5" borderId="1" xfId="0" applyFont="1" applyFill="1" applyBorder="1" applyAlignment="1">
      <alignment horizontal="right" vertical="center"/>
    </xf>
    <xf numFmtId="0" fontId="4" fillId="6" borderId="1" xfId="0" applyFont="1" applyFill="1" applyBorder="1" applyAlignment="1">
      <alignment horizontal="right" vertical="center"/>
    </xf>
    <xf numFmtId="0" fontId="4" fillId="6" borderId="5" xfId="0" applyFont="1" applyFill="1" applyBorder="1" applyAlignment="1">
      <alignment horizontal="right" vertical="center"/>
    </xf>
    <xf numFmtId="2" fontId="3" fillId="4" borderId="5" xfId="0" applyNumberFormat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right" vertical="center"/>
    </xf>
    <xf numFmtId="0" fontId="3" fillId="6" borderId="5" xfId="0" applyFont="1" applyFill="1" applyBorder="1" applyAlignment="1">
      <alignment horizontal="right" vertical="center"/>
    </xf>
    <xf numFmtId="0" fontId="6" fillId="8" borderId="9" xfId="0" applyFont="1" applyFill="1" applyBorder="1" applyAlignment="1">
      <alignment vertical="center" wrapText="1"/>
    </xf>
    <xf numFmtId="0" fontId="6" fillId="9" borderId="9" xfId="0" applyFont="1" applyFill="1" applyBorder="1" applyAlignment="1">
      <alignment horizontal="right" vertical="center" wrapText="1"/>
    </xf>
    <xf numFmtId="2" fontId="0" fillId="4" borderId="5" xfId="0" applyNumberForma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right" vertical="center"/>
    </xf>
    <xf numFmtId="0" fontId="4" fillId="10" borderId="1" xfId="0" applyFont="1" applyFill="1" applyBorder="1" applyAlignment="1">
      <alignment horizontal="right" vertical="center"/>
    </xf>
    <xf numFmtId="0" fontId="0" fillId="11" borderId="0" xfId="0" applyFill="1"/>
    <xf numFmtId="0" fontId="8" fillId="11" borderId="0" xfId="0" applyFont="1" applyFill="1" applyBorder="1" applyAlignment="1">
      <alignment horizontal="center" vertical="center"/>
    </xf>
    <xf numFmtId="0" fontId="0" fillId="0" borderId="0" xfId="0" applyFill="1"/>
    <xf numFmtId="0" fontId="0" fillId="12" borderId="15" xfId="0" applyFill="1" applyBorder="1"/>
    <xf numFmtId="0" fontId="0" fillId="0" borderId="12" xfId="0" applyFill="1" applyBorder="1" applyAlignment="1">
      <alignment vertical="center"/>
    </xf>
    <xf numFmtId="0" fontId="0" fillId="0" borderId="2" xfId="0" applyFill="1" applyBorder="1" applyAlignment="1">
      <alignment vertical="center"/>
    </xf>
    <xf numFmtId="0" fontId="0" fillId="11" borderId="0" xfId="0" applyFill="1" applyAlignment="1">
      <alignment horizontal="center"/>
    </xf>
    <xf numFmtId="17" fontId="0" fillId="3" borderId="24" xfId="0" applyNumberFormat="1" applyFill="1" applyBorder="1"/>
    <xf numFmtId="0" fontId="0" fillId="0" borderId="25" xfId="0" applyFill="1" applyBorder="1" applyAlignment="1">
      <alignment vertical="center"/>
    </xf>
    <xf numFmtId="0" fontId="0" fillId="11" borderId="17" xfId="0" applyFill="1" applyBorder="1"/>
    <xf numFmtId="0" fontId="0" fillId="11" borderId="18" xfId="0" applyFill="1" applyBorder="1"/>
    <xf numFmtId="0" fontId="0" fillId="0" borderId="26" xfId="0" applyFill="1" applyBorder="1" applyAlignment="1">
      <alignment vertical="center"/>
    </xf>
    <xf numFmtId="0" fontId="0" fillId="11" borderId="0" xfId="0" applyFill="1" applyBorder="1"/>
    <xf numFmtId="0" fontId="0" fillId="11" borderId="20" xfId="0" applyFill="1" applyBorder="1"/>
    <xf numFmtId="0" fontId="0" fillId="0" borderId="27" xfId="0" applyFill="1" applyBorder="1" applyAlignment="1">
      <alignment vertical="center"/>
    </xf>
    <xf numFmtId="0" fontId="0" fillId="11" borderId="22" xfId="0" applyFill="1" applyBorder="1"/>
    <xf numFmtId="0" fontId="0" fillId="11" borderId="23" xfId="0" applyFill="1" applyBorder="1"/>
    <xf numFmtId="0" fontId="0" fillId="13" borderId="6" xfId="0" applyFill="1" applyBorder="1" applyAlignment="1">
      <alignment horizontal="left" vertical="center"/>
    </xf>
    <xf numFmtId="0" fontId="0" fillId="13" borderId="7" xfId="0" applyFill="1" applyBorder="1" applyAlignment="1">
      <alignment horizontal="left" vertical="center"/>
    </xf>
    <xf numFmtId="0" fontId="0" fillId="13" borderId="2" xfId="0" applyFill="1" applyBorder="1" applyAlignment="1">
      <alignment horizontal="left" vertical="center"/>
    </xf>
    <xf numFmtId="17" fontId="1" fillId="2" borderId="2" xfId="0" applyNumberFormat="1" applyFont="1" applyFill="1" applyBorder="1" applyAlignment="1">
      <alignment horizontal="right"/>
    </xf>
    <xf numFmtId="0" fontId="6" fillId="8" borderId="9" xfId="0" applyFont="1" applyFill="1" applyBorder="1" applyAlignment="1">
      <alignment horizontal="right" vertical="center" wrapText="1"/>
    </xf>
    <xf numFmtId="0" fontId="0" fillId="11" borderId="16" xfId="0" applyFill="1" applyBorder="1"/>
    <xf numFmtId="0" fontId="0" fillId="11" borderId="19" xfId="0" applyFill="1" applyBorder="1"/>
    <xf numFmtId="0" fontId="0" fillId="11" borderId="21" xfId="0" applyFill="1" applyBorder="1"/>
    <xf numFmtId="0" fontId="12" fillId="14" borderId="1" xfId="0" applyFont="1" applyFill="1" applyBorder="1" applyAlignment="1">
      <alignment horizontal="left" vertical="center"/>
    </xf>
    <xf numFmtId="0" fontId="13" fillId="14" borderId="1" xfId="0" applyFont="1" applyFill="1" applyBorder="1" applyAlignment="1">
      <alignment horizontal="left" vertical="center"/>
    </xf>
    <xf numFmtId="0" fontId="11" fillId="10" borderId="1" xfId="0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right" vertical="center"/>
    </xf>
    <xf numFmtId="2" fontId="3" fillId="0" borderId="1" xfId="0" applyNumberFormat="1" applyFont="1" applyFill="1" applyBorder="1" applyAlignment="1">
      <alignment horizontal="right" vertical="center"/>
    </xf>
    <xf numFmtId="1" fontId="3" fillId="0" borderId="1" xfId="0" applyNumberFormat="1" applyFont="1" applyFill="1" applyBorder="1" applyAlignment="1">
      <alignment horizontal="right" vertical="center"/>
    </xf>
    <xf numFmtId="0" fontId="1" fillId="0" borderId="6" xfId="0" applyFont="1" applyFill="1" applyBorder="1" applyAlignment="1">
      <alignment horizontal="right" vertical="center"/>
    </xf>
    <xf numFmtId="0" fontId="1" fillId="0" borderId="4" xfId="0" applyFont="1" applyFill="1" applyBorder="1" applyAlignment="1">
      <alignment horizontal="right" vertical="center"/>
    </xf>
    <xf numFmtId="1" fontId="1" fillId="0" borderId="2" xfId="0" applyNumberFormat="1" applyFont="1" applyFill="1" applyBorder="1" applyAlignment="1">
      <alignment horizontal="right" vertical="center"/>
    </xf>
    <xf numFmtId="1" fontId="1" fillId="0" borderId="2" xfId="0" applyNumberFormat="1" applyFont="1" applyFill="1" applyBorder="1" applyAlignment="1">
      <alignment horizontal="right"/>
    </xf>
    <xf numFmtId="1" fontId="1" fillId="0" borderId="1" xfId="0" applyNumberFormat="1" applyFont="1" applyFill="1" applyBorder="1" applyAlignment="1">
      <alignment horizontal="right"/>
    </xf>
    <xf numFmtId="0" fontId="1" fillId="10" borderId="1" xfId="0" applyFont="1" applyFill="1" applyBorder="1" applyAlignment="1">
      <alignment horizontal="left" vertical="center"/>
    </xf>
    <xf numFmtId="0" fontId="0" fillId="11" borderId="0" xfId="0" applyFill="1" applyAlignment="1">
      <alignment horizontal="right"/>
    </xf>
    <xf numFmtId="0" fontId="2" fillId="11" borderId="0" xfId="0" applyFont="1" applyFill="1"/>
    <xf numFmtId="0" fontId="2" fillId="11" borderId="0" xfId="0" applyFont="1" applyFill="1" applyAlignment="1"/>
    <xf numFmtId="0" fontId="9" fillId="11" borderId="0" xfId="0" applyFont="1" applyFill="1"/>
    <xf numFmtId="0" fontId="15" fillId="11" borderId="0" xfId="0" applyFont="1" applyFill="1"/>
    <xf numFmtId="0" fontId="9" fillId="11" borderId="0" xfId="0" applyFont="1" applyFill="1" applyAlignment="1">
      <alignment horizontal="right"/>
    </xf>
    <xf numFmtId="0" fontId="9" fillId="11" borderId="4" xfId="0" applyFont="1" applyFill="1" applyBorder="1" applyAlignment="1"/>
    <xf numFmtId="14" fontId="0" fillId="3" borderId="15" xfId="0" applyNumberFormat="1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5" xfId="0" applyFill="1" applyBorder="1" applyAlignment="1">
      <alignment horizontal="center" vertical="center"/>
    </xf>
    <xf numFmtId="0" fontId="0" fillId="15" borderId="15" xfId="0" applyFill="1" applyBorder="1" applyAlignment="1">
      <alignment horizontal="center"/>
    </xf>
    <xf numFmtId="0" fontId="10" fillId="11" borderId="0" xfId="0" applyFont="1" applyFill="1" applyBorder="1" applyAlignment="1">
      <alignment horizontal="right" vertical="center"/>
    </xf>
    <xf numFmtId="0" fontId="0" fillId="16" borderId="0" xfId="0" applyFill="1"/>
    <xf numFmtId="0" fontId="9" fillId="0" borderId="0" xfId="0" applyFont="1" applyFill="1"/>
    <xf numFmtId="14" fontId="0" fillId="11" borderId="0" xfId="0" applyNumberFormat="1" applyFill="1"/>
    <xf numFmtId="0" fontId="0" fillId="13" borderId="6" xfId="0" applyFill="1" applyBorder="1" applyAlignment="1">
      <alignment horizontal="left" vertical="center"/>
    </xf>
    <xf numFmtId="0" fontId="0" fillId="13" borderId="7" xfId="0" applyFill="1" applyBorder="1" applyAlignment="1">
      <alignment horizontal="left" vertical="center"/>
    </xf>
    <xf numFmtId="165" fontId="0" fillId="0" borderId="0" xfId="0" applyNumberFormat="1"/>
    <xf numFmtId="0" fontId="0" fillId="11" borderId="16" xfId="0" applyFill="1" applyBorder="1" applyAlignment="1">
      <alignment horizontal="center" vertical="center"/>
    </xf>
    <xf numFmtId="0" fontId="0" fillId="11" borderId="17" xfId="0" applyFill="1" applyBorder="1" applyAlignment="1">
      <alignment horizontal="center" vertical="center"/>
    </xf>
    <xf numFmtId="0" fontId="0" fillId="11" borderId="18" xfId="0" applyFill="1" applyBorder="1" applyAlignment="1">
      <alignment horizontal="center" vertical="center"/>
    </xf>
    <xf numFmtId="0" fontId="0" fillId="11" borderId="19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165" fontId="0" fillId="11" borderId="0" xfId="0" applyNumberFormat="1" applyFill="1" applyBorder="1" applyAlignment="1">
      <alignment horizontal="center" vertical="center"/>
    </xf>
    <xf numFmtId="0" fontId="0" fillId="11" borderId="20" xfId="0" applyFill="1" applyBorder="1" applyAlignment="1">
      <alignment horizontal="center" vertical="center"/>
    </xf>
    <xf numFmtId="0" fontId="0" fillId="11" borderId="21" xfId="0" applyFill="1" applyBorder="1" applyAlignment="1">
      <alignment horizontal="center" vertical="center"/>
    </xf>
    <xf numFmtId="0" fontId="0" fillId="11" borderId="22" xfId="0" applyFill="1" applyBorder="1" applyAlignment="1">
      <alignment horizontal="center" vertical="center"/>
    </xf>
    <xf numFmtId="0" fontId="0" fillId="11" borderId="23" xfId="0" applyFill="1" applyBorder="1" applyAlignment="1">
      <alignment horizontal="center" vertical="center"/>
    </xf>
    <xf numFmtId="165" fontId="0" fillId="18" borderId="0" xfId="0" applyNumberFormat="1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0" fontId="16" fillId="18" borderId="0" xfId="0" applyFont="1" applyFill="1" applyAlignment="1">
      <alignment horizontal="center" vertical="center"/>
    </xf>
    <xf numFmtId="0" fontId="16" fillId="18" borderId="0" xfId="0" applyNumberFormat="1" applyFont="1" applyFill="1" applyAlignment="1">
      <alignment horizontal="center" vertical="center"/>
    </xf>
    <xf numFmtId="0" fontId="0" fillId="11" borderId="0" xfId="0" applyFill="1" applyAlignment="1">
      <alignment horizontal="left"/>
    </xf>
    <xf numFmtId="0" fontId="0" fillId="18" borderId="15" xfId="0" applyFill="1" applyBorder="1" applyAlignment="1">
      <alignment horizontal="center"/>
    </xf>
    <xf numFmtId="164" fontId="0" fillId="18" borderId="0" xfId="0" applyNumberFormat="1" applyFill="1" applyBorder="1" applyAlignment="1">
      <alignment horizontal="center" vertical="center"/>
    </xf>
    <xf numFmtId="1" fontId="0" fillId="18" borderId="0" xfId="0" applyNumberForma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7" fontId="1" fillId="18" borderId="16" xfId="0" applyNumberFormat="1" applyFont="1" applyFill="1" applyBorder="1" applyAlignment="1">
      <alignment horizontal="center"/>
    </xf>
    <xf numFmtId="17" fontId="1" fillId="18" borderId="17" xfId="0" applyNumberFormat="1" applyFont="1" applyFill="1" applyBorder="1" applyAlignment="1">
      <alignment horizontal="center"/>
    </xf>
    <xf numFmtId="17" fontId="1" fillId="18" borderId="31" xfId="0" applyNumberFormat="1" applyFont="1" applyFill="1" applyBorder="1" applyAlignment="1">
      <alignment horizontal="center"/>
    </xf>
    <xf numFmtId="164" fontId="0" fillId="18" borderId="32" xfId="0" applyNumberFormat="1" applyFont="1" applyFill="1" applyBorder="1" applyAlignment="1">
      <alignment horizontal="center"/>
    </xf>
    <xf numFmtId="164" fontId="0" fillId="18" borderId="33" xfId="0" applyNumberFormat="1" applyFont="1" applyFill="1" applyBorder="1" applyAlignment="1">
      <alignment horizontal="center"/>
    </xf>
    <xf numFmtId="0" fontId="0" fillId="18" borderId="33" xfId="0" applyFont="1" applyFill="1" applyBorder="1" applyAlignment="1">
      <alignment horizontal="center"/>
    </xf>
    <xf numFmtId="0" fontId="0" fillId="18" borderId="34" xfId="0" applyFont="1" applyFill="1" applyBorder="1" applyAlignment="1">
      <alignment horizontal="center"/>
    </xf>
    <xf numFmtId="165" fontId="0" fillId="11" borderId="0" xfId="0" applyNumberFormat="1" applyFill="1" applyAlignment="1">
      <alignment horizontal="center" vertical="center"/>
    </xf>
    <xf numFmtId="0" fontId="0" fillId="0" borderId="0" xfId="0" applyNumberFormat="1"/>
    <xf numFmtId="0" fontId="20" fillId="18" borderId="15" xfId="1" applyFont="1" applyFill="1" applyBorder="1" applyAlignment="1">
      <alignment horizontal="center"/>
    </xf>
    <xf numFmtId="0" fontId="22" fillId="0" borderId="1" xfId="0" applyFont="1" applyBorder="1" applyAlignment="1">
      <alignment horizontal="right" vertical="center" wrapText="1"/>
    </xf>
    <xf numFmtId="0" fontId="23" fillId="11" borderId="0" xfId="0" applyFont="1" applyFill="1"/>
    <xf numFmtId="0" fontId="25" fillId="11" borderId="0" xfId="0" applyFont="1" applyFill="1" applyAlignment="1">
      <alignment horizontal="center" vertical="center" wrapText="1"/>
    </xf>
    <xf numFmtId="0" fontId="11" fillId="18" borderId="0" xfId="0" applyFont="1" applyFill="1" applyAlignment="1">
      <alignment horizontal="left" vertical="top" wrapText="1"/>
    </xf>
    <xf numFmtId="0" fontId="21" fillId="19" borderId="15" xfId="0" applyFont="1" applyFill="1" applyBorder="1"/>
    <xf numFmtId="0" fontId="18" fillId="11" borderId="0" xfId="0" applyFont="1" applyFill="1"/>
    <xf numFmtId="14" fontId="0" fillId="18" borderId="15" xfId="0" applyNumberForma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9" fillId="0" borderId="0" xfId="1"/>
    <xf numFmtId="0" fontId="0" fillId="12" borderId="19" xfId="0" applyFill="1" applyBorder="1"/>
    <xf numFmtId="0" fontId="28" fillId="3" borderId="16" xfId="0" applyFont="1" applyFill="1" applyBorder="1" applyAlignment="1">
      <alignment horizontal="center" vertical="center"/>
    </xf>
    <xf numFmtId="0" fontId="28" fillId="3" borderId="17" xfId="0" applyFont="1" applyFill="1" applyBorder="1" applyAlignment="1">
      <alignment horizontal="center" vertical="center"/>
    </xf>
    <xf numFmtId="0" fontId="28" fillId="3" borderId="18" xfId="0" applyFont="1" applyFill="1" applyBorder="1" applyAlignment="1">
      <alignment horizontal="center" vertical="center"/>
    </xf>
    <xf numFmtId="0" fontId="28" fillId="3" borderId="19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8" fillId="3" borderId="20" xfId="0" applyFont="1" applyFill="1" applyBorder="1" applyAlignment="1">
      <alignment horizontal="center" vertical="center"/>
    </xf>
    <xf numFmtId="0" fontId="28" fillId="3" borderId="21" xfId="0" applyFont="1" applyFill="1" applyBorder="1" applyAlignment="1">
      <alignment horizontal="center" vertical="center"/>
    </xf>
    <xf numFmtId="0" fontId="28" fillId="3" borderId="22" xfId="0" applyFont="1" applyFill="1" applyBorder="1" applyAlignment="1">
      <alignment horizontal="center" vertical="center"/>
    </xf>
    <xf numFmtId="0" fontId="28" fillId="3" borderId="23" xfId="0" applyFont="1" applyFill="1" applyBorder="1" applyAlignment="1">
      <alignment horizontal="center" vertical="center"/>
    </xf>
    <xf numFmtId="0" fontId="18" fillId="17" borderId="0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7" fillId="11" borderId="16" xfId="0" applyFont="1" applyFill="1" applyBorder="1" applyAlignment="1">
      <alignment horizontal="center" vertical="center"/>
    </xf>
    <xf numFmtId="0" fontId="17" fillId="11" borderId="17" xfId="0" applyFont="1" applyFill="1" applyBorder="1" applyAlignment="1">
      <alignment horizontal="center" vertical="center"/>
    </xf>
    <xf numFmtId="0" fontId="17" fillId="11" borderId="18" xfId="0" applyFont="1" applyFill="1" applyBorder="1" applyAlignment="1">
      <alignment horizontal="center" vertical="center"/>
    </xf>
    <xf numFmtId="0" fontId="17" fillId="11" borderId="19" xfId="0" applyFont="1" applyFill="1" applyBorder="1" applyAlignment="1">
      <alignment horizontal="center" vertical="center"/>
    </xf>
    <xf numFmtId="0" fontId="17" fillId="11" borderId="0" xfId="0" applyFont="1" applyFill="1" applyBorder="1" applyAlignment="1">
      <alignment horizontal="center" vertical="center"/>
    </xf>
    <xf numFmtId="0" fontId="17" fillId="11" borderId="20" xfId="0" applyFont="1" applyFill="1" applyBorder="1" applyAlignment="1">
      <alignment horizontal="center" vertical="center"/>
    </xf>
    <xf numFmtId="0" fontId="17" fillId="11" borderId="21" xfId="0" applyFont="1" applyFill="1" applyBorder="1" applyAlignment="1">
      <alignment horizontal="center" vertical="center"/>
    </xf>
    <xf numFmtId="0" fontId="17" fillId="11" borderId="22" xfId="0" applyFont="1" applyFill="1" applyBorder="1" applyAlignment="1">
      <alignment horizontal="center" vertical="center"/>
    </xf>
    <xf numFmtId="0" fontId="17" fillId="11" borderId="23" xfId="0" applyFont="1" applyFill="1" applyBorder="1" applyAlignment="1">
      <alignment horizontal="center" vertical="center"/>
    </xf>
    <xf numFmtId="0" fontId="0" fillId="13" borderId="6" xfId="0" applyFill="1" applyBorder="1" applyAlignment="1">
      <alignment horizontal="left" vertical="center"/>
    </xf>
    <xf numFmtId="0" fontId="0" fillId="13" borderId="7" xfId="0" applyFill="1" applyBorder="1" applyAlignment="1">
      <alignment horizontal="left" vertical="center"/>
    </xf>
    <xf numFmtId="0" fontId="26" fillId="19" borderId="6" xfId="0" applyFont="1" applyFill="1" applyBorder="1" applyAlignment="1">
      <alignment horizontal="left" vertical="top"/>
    </xf>
    <xf numFmtId="0" fontId="26" fillId="19" borderId="7" xfId="0" applyFont="1" applyFill="1" applyBorder="1" applyAlignment="1">
      <alignment horizontal="left" vertical="top"/>
    </xf>
    <xf numFmtId="0" fontId="26" fillId="19" borderId="6" xfId="0" applyFont="1" applyFill="1" applyBorder="1" applyAlignment="1">
      <alignment horizontal="left"/>
    </xf>
    <xf numFmtId="0" fontId="26" fillId="19" borderId="7" xfId="0" applyFont="1" applyFill="1" applyBorder="1" applyAlignment="1">
      <alignment horizontal="left"/>
    </xf>
    <xf numFmtId="0" fontId="7" fillId="13" borderId="10" xfId="0" applyFont="1" applyFill="1" applyBorder="1" applyAlignment="1">
      <alignment vertical="top" wrapText="1"/>
    </xf>
    <xf numFmtId="0" fontId="7" fillId="13" borderId="11" xfId="0" applyFont="1" applyFill="1" applyBorder="1" applyAlignment="1">
      <alignment vertical="top" wrapText="1"/>
    </xf>
    <xf numFmtId="0" fontId="21" fillId="19" borderId="6" xfId="0" applyFont="1" applyFill="1" applyBorder="1" applyAlignment="1">
      <alignment horizontal="left"/>
    </xf>
    <xf numFmtId="0" fontId="21" fillId="19" borderId="7" xfId="0" applyFont="1" applyFill="1" applyBorder="1" applyAlignment="1">
      <alignment horizontal="left"/>
    </xf>
    <xf numFmtId="0" fontId="21" fillId="19" borderId="6" xfId="0" applyFont="1" applyFill="1" applyBorder="1" applyAlignment="1">
      <alignment horizontal="center"/>
    </xf>
    <xf numFmtId="0" fontId="21" fillId="19" borderId="7" xfId="0" applyFont="1" applyFill="1" applyBorder="1" applyAlignment="1">
      <alignment horizontal="center"/>
    </xf>
    <xf numFmtId="0" fontId="0" fillId="3" borderId="1" xfId="0" applyFill="1" applyBorder="1" applyAlignment="1"/>
    <xf numFmtId="0" fontId="1" fillId="0" borderId="6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14" fillId="7" borderId="2" xfId="0" applyFont="1" applyFill="1" applyBorder="1" applyAlignment="1">
      <alignment horizontal="center" vertical="center"/>
    </xf>
    <xf numFmtId="0" fontId="14" fillId="7" borderId="12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29" xfId="0" applyFont="1" applyFill="1" applyBorder="1" applyAlignment="1">
      <alignment horizontal="center" vertical="center"/>
    </xf>
    <xf numFmtId="0" fontId="14" fillId="7" borderId="30" xfId="0" applyFont="1" applyFill="1" applyBorder="1" applyAlignment="1">
      <alignment horizontal="center" vertical="center"/>
    </xf>
    <xf numFmtId="0" fontId="14" fillId="7" borderId="28" xfId="0" applyFont="1" applyFill="1" applyBorder="1" applyAlignment="1">
      <alignment horizontal="center" vertical="center"/>
    </xf>
    <xf numFmtId="0" fontId="29" fillId="19" borderId="6" xfId="0" applyFont="1" applyFill="1" applyBorder="1" applyAlignment="1">
      <alignment horizontal="left" vertical="center"/>
    </xf>
    <xf numFmtId="0" fontId="29" fillId="19" borderId="7" xfId="0" applyFont="1" applyFill="1" applyBorder="1" applyAlignment="1">
      <alignment horizontal="left" vertical="center"/>
    </xf>
    <xf numFmtId="17" fontId="1" fillId="2" borderId="3" xfId="0" applyNumberFormat="1" applyFont="1" applyFill="1" applyBorder="1" applyAlignment="1">
      <alignment horizontal="center" vertical="center"/>
    </xf>
    <xf numFmtId="17" fontId="1" fillId="2" borderId="13" xfId="0" applyNumberFormat="1" applyFont="1" applyFill="1" applyBorder="1" applyAlignment="1">
      <alignment horizontal="center" vertical="center"/>
    </xf>
    <xf numFmtId="17" fontId="1" fillId="2" borderId="14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27" fillId="19" borderId="16" xfId="0" applyFont="1" applyFill="1" applyBorder="1" applyAlignment="1">
      <alignment horizontal="center" vertical="center"/>
    </xf>
    <xf numFmtId="0" fontId="27" fillId="19" borderId="17" xfId="0" applyFont="1" applyFill="1" applyBorder="1" applyAlignment="1">
      <alignment horizontal="center" vertical="center"/>
    </xf>
    <xf numFmtId="0" fontId="27" fillId="19" borderId="18" xfId="0" applyFont="1" applyFill="1" applyBorder="1" applyAlignment="1">
      <alignment horizontal="center" vertical="center"/>
    </xf>
    <xf numFmtId="0" fontId="27" fillId="19" borderId="19" xfId="0" applyFont="1" applyFill="1" applyBorder="1" applyAlignment="1">
      <alignment horizontal="center" vertical="center"/>
    </xf>
    <xf numFmtId="0" fontId="27" fillId="19" borderId="0" xfId="0" applyFont="1" applyFill="1" applyBorder="1" applyAlignment="1">
      <alignment horizontal="center" vertical="center"/>
    </xf>
    <xf numFmtId="0" fontId="27" fillId="19" borderId="20" xfId="0" applyFont="1" applyFill="1" applyBorder="1" applyAlignment="1">
      <alignment horizontal="center" vertical="center"/>
    </xf>
    <xf numFmtId="0" fontId="27" fillId="19" borderId="21" xfId="0" applyFont="1" applyFill="1" applyBorder="1" applyAlignment="1">
      <alignment horizontal="center" vertical="center"/>
    </xf>
    <xf numFmtId="0" fontId="27" fillId="19" borderId="22" xfId="0" applyFont="1" applyFill="1" applyBorder="1" applyAlignment="1">
      <alignment horizontal="center" vertical="center"/>
    </xf>
    <xf numFmtId="0" fontId="27" fillId="19" borderId="2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9">
    <dxf>
      <fill>
        <patternFill>
          <bgColor theme="9" tint="0.79998168889431442"/>
        </patternFill>
      </fill>
    </dxf>
    <dxf>
      <fill>
        <patternFill>
          <bgColor rgb="FFFFC1C1"/>
        </patternFill>
      </fill>
    </dxf>
    <dxf>
      <fill>
        <patternFill>
          <bgColor theme="9" tint="0.79998168889431442"/>
        </patternFill>
      </fill>
    </dxf>
    <dxf>
      <fill>
        <patternFill>
          <bgColor rgb="FFFFC1C1"/>
        </patternFill>
      </fill>
    </dxf>
    <dxf>
      <fill>
        <patternFill>
          <bgColor theme="9" tint="0.79998168889431442"/>
        </patternFill>
      </fill>
    </dxf>
    <dxf>
      <fill>
        <patternFill>
          <bgColor rgb="FFFFC1C1"/>
        </patternFill>
      </fill>
    </dxf>
    <dxf>
      <fill>
        <patternFill>
          <bgColor rgb="FFFFA3A3"/>
        </patternFill>
      </fill>
    </dxf>
    <dxf>
      <fill>
        <patternFill>
          <bgColor theme="9" tint="0.79998168889431442"/>
        </patternFill>
      </fill>
    </dxf>
    <dxf>
      <fill>
        <patternFill>
          <bgColor rgb="FFFFA3A3"/>
        </patternFill>
      </fill>
    </dxf>
    <dxf>
      <fill>
        <patternFill>
          <bgColor theme="9" tint="0.79998168889431442"/>
        </patternFill>
      </fill>
    </dxf>
    <dxf>
      <fill>
        <patternFill>
          <bgColor rgb="FFFFA3A3"/>
        </patternFill>
      </fill>
    </dxf>
    <dxf>
      <fill>
        <patternFill>
          <bgColor theme="9" tint="0.79998168889431442"/>
        </patternFill>
      </fill>
    </dxf>
    <dxf>
      <fill>
        <patternFill>
          <bgColor rgb="FFFFA3A3"/>
        </patternFill>
      </fill>
    </dxf>
    <dxf>
      <fill>
        <patternFill>
          <bgColor theme="9" tint="0.79998168889431442"/>
        </patternFill>
      </fill>
    </dxf>
    <dxf>
      <fill>
        <patternFill>
          <bgColor rgb="FFFFA3A3"/>
        </patternFill>
      </fill>
    </dxf>
    <dxf>
      <fill>
        <patternFill>
          <bgColor theme="9" tint="0.79998168889431442"/>
        </patternFill>
      </fill>
    </dxf>
    <dxf>
      <fill>
        <patternFill>
          <bgColor rgb="FFFFA3A3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F6D6D"/>
      <color rgb="FFFFC1C1"/>
      <color rgb="FFFFA3A3"/>
      <color rgb="FFFD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'Table(related to graph)'!$A$6</c:f>
              <c:strCache>
                <c:ptCount val="1"/>
                <c:pt idx="0">
                  <c:v>Total Recordable Injury - 12-Month Rolling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'Table(related to graph)'!$C$5:$FH$5</c:f>
              <c:strCache>
                <c:ptCount val="162"/>
                <c:pt idx="0">
                  <c:v>Jan-21</c:v>
                </c:pt>
                <c:pt idx="1">
                  <c:v>Feb-21</c:v>
                </c:pt>
                <c:pt idx="2">
                  <c:v>Mar-21</c:v>
                </c:pt>
                <c:pt idx="3">
                  <c:v>Apr-21</c:v>
                </c:pt>
                <c:pt idx="4">
                  <c:v>May-21</c:v>
                </c:pt>
                <c:pt idx="5">
                  <c:v>Jun-21</c:v>
                </c:pt>
                <c:pt idx="6">
                  <c:v>Jul-21</c:v>
                </c:pt>
                <c:pt idx="7">
                  <c:v>Aug-21</c:v>
                </c:pt>
                <c:pt idx="8">
                  <c:v>Sep-21</c:v>
                </c:pt>
                <c:pt idx="9">
                  <c:v>Oct-21</c:v>
                </c:pt>
                <c:pt idx="10">
                  <c:v>Nov-21</c:v>
                </c:pt>
                <c:pt idx="11">
                  <c:v>Dec-21</c:v>
                </c:pt>
                <c:pt idx="12">
                  <c:v>Jan-22</c:v>
                </c:pt>
                <c:pt idx="13">
                  <c:v>Oct-22</c:v>
                </c:pt>
                <c:pt idx="14">
                  <c:v>Nov-22</c:v>
                </c:pt>
                <c:pt idx="15">
                  <c:v>Dec-22</c:v>
                </c:pt>
                <c:pt idx="16">
                  <c:v>Jan-23</c:v>
                </c:pt>
                <c:pt idx="17">
                  <c:v>Feb-23</c:v>
                </c:pt>
                <c:pt idx="18">
                  <c:v>Mar-23</c:v>
                </c:pt>
                <c:pt idx="19">
                  <c:v>Apr-23</c:v>
                </c:pt>
                <c:pt idx="20">
                  <c:v>May-23</c:v>
                </c:pt>
                <c:pt idx="21">
                  <c:v>Jun-23</c:v>
                </c:pt>
                <c:pt idx="22">
                  <c:v>Jul-23</c:v>
                </c:pt>
                <c:pt idx="23">
                  <c:v>Aug-23</c:v>
                </c:pt>
                <c:pt idx="24">
                  <c:v>Sep-23</c:v>
                </c:pt>
                <c:pt idx="25">
                  <c:v>Oct-23</c:v>
                </c:pt>
                <c:pt idx="26">
                  <c:v>Nov-23</c:v>
                </c:pt>
                <c:pt idx="27">
                  <c:v>Dec-23</c:v>
                </c:pt>
                <c:pt idx="28">
                  <c:v>Jan-24</c:v>
                </c:pt>
                <c:pt idx="29">
                  <c:v>Feb-24</c:v>
                </c:pt>
                <c:pt idx="30">
                  <c:v>Mar-24</c:v>
                </c:pt>
                <c:pt idx="31">
                  <c:v>Apr-24</c:v>
                </c:pt>
                <c:pt idx="32">
                  <c:v>May-24</c:v>
                </c:pt>
                <c:pt idx="33">
                  <c:v>Jun-24</c:v>
                </c:pt>
                <c:pt idx="34">
                  <c:v>Jul-24</c:v>
                </c:pt>
                <c:pt idx="35">
                  <c:v>Aug-24</c:v>
                </c:pt>
                <c:pt idx="36">
                  <c:v>Sep-24</c:v>
                </c:pt>
                <c:pt idx="37">
                  <c:v>Oct-24</c:v>
                </c:pt>
                <c:pt idx="38">
                  <c:v>Nov-24</c:v>
                </c:pt>
                <c:pt idx="39">
                  <c:v>Dec-24</c:v>
                </c:pt>
                <c:pt idx="40">
                  <c:v>Jan-25</c:v>
                </c:pt>
                <c:pt idx="41">
                  <c:v>Feb-25</c:v>
                </c:pt>
                <c:pt idx="42">
                  <c:v>Mar-25</c:v>
                </c:pt>
                <c:pt idx="43">
                  <c:v>Apr-25</c:v>
                </c:pt>
                <c:pt idx="44">
                  <c:v>May-25</c:v>
                </c:pt>
                <c:pt idx="45">
                  <c:v>Jun-25</c:v>
                </c:pt>
                <c:pt idx="46">
                  <c:v>Jul-25</c:v>
                </c:pt>
                <c:pt idx="47">
                  <c:v>Aug-25</c:v>
                </c:pt>
                <c:pt idx="48">
                  <c:v>Sep-25</c:v>
                </c:pt>
                <c:pt idx="49">
                  <c:v>Oct-25</c:v>
                </c:pt>
                <c:pt idx="50">
                  <c:v>Nov-25</c:v>
                </c:pt>
                <c:pt idx="51">
                  <c:v>Dec-25</c:v>
                </c:pt>
                <c:pt idx="52">
                  <c:v>Jan-26</c:v>
                </c:pt>
                <c:pt idx="53">
                  <c:v>Feb-26</c:v>
                </c:pt>
                <c:pt idx="54">
                  <c:v>Mar-26</c:v>
                </c:pt>
                <c:pt idx="55">
                  <c:v>Apr-26</c:v>
                </c:pt>
                <c:pt idx="56">
                  <c:v>May-26</c:v>
                </c:pt>
                <c:pt idx="57">
                  <c:v>Jun-26</c:v>
                </c:pt>
                <c:pt idx="58">
                  <c:v>Jul-26</c:v>
                </c:pt>
                <c:pt idx="59">
                  <c:v>Aug-26</c:v>
                </c:pt>
                <c:pt idx="60">
                  <c:v>Sep-26</c:v>
                </c:pt>
                <c:pt idx="61">
                  <c:v>Oct-26</c:v>
                </c:pt>
                <c:pt idx="62">
                  <c:v>Nov-26</c:v>
                </c:pt>
                <c:pt idx="63">
                  <c:v>Dec-26</c:v>
                </c:pt>
                <c:pt idx="64">
                  <c:v>Jan-27</c:v>
                </c:pt>
                <c:pt idx="65">
                  <c:v>Feb-27</c:v>
                </c:pt>
                <c:pt idx="66">
                  <c:v>Mar-27</c:v>
                </c:pt>
                <c:pt idx="67">
                  <c:v>Apr-27</c:v>
                </c:pt>
                <c:pt idx="68">
                  <c:v>May-27</c:v>
                </c:pt>
                <c:pt idx="69">
                  <c:v>Jun-27</c:v>
                </c:pt>
                <c:pt idx="70">
                  <c:v>Jul-27</c:v>
                </c:pt>
                <c:pt idx="71">
                  <c:v>Aug-27</c:v>
                </c:pt>
                <c:pt idx="72">
                  <c:v>Sep-27</c:v>
                </c:pt>
                <c:pt idx="73">
                  <c:v>Oct-27</c:v>
                </c:pt>
                <c:pt idx="74">
                  <c:v>Nov-27</c:v>
                </c:pt>
                <c:pt idx="75">
                  <c:v>Dec-27</c:v>
                </c:pt>
                <c:pt idx="76">
                  <c:v>Jan-28</c:v>
                </c:pt>
                <c:pt idx="77">
                  <c:v>Feb-28</c:v>
                </c:pt>
                <c:pt idx="78">
                  <c:v>Mar-28</c:v>
                </c:pt>
                <c:pt idx="79">
                  <c:v>Apr-28</c:v>
                </c:pt>
                <c:pt idx="80">
                  <c:v>May-28</c:v>
                </c:pt>
                <c:pt idx="81">
                  <c:v>Jun-28</c:v>
                </c:pt>
                <c:pt idx="82">
                  <c:v>Jul-28</c:v>
                </c:pt>
                <c:pt idx="83">
                  <c:v>Aug-28</c:v>
                </c:pt>
                <c:pt idx="84">
                  <c:v>Sep-28</c:v>
                </c:pt>
                <c:pt idx="85">
                  <c:v>Oct-28</c:v>
                </c:pt>
                <c:pt idx="86">
                  <c:v>Nov-28</c:v>
                </c:pt>
                <c:pt idx="87">
                  <c:v>Dec-28</c:v>
                </c:pt>
                <c:pt idx="88">
                  <c:v>Jan-29</c:v>
                </c:pt>
                <c:pt idx="89">
                  <c:v>Feb-29</c:v>
                </c:pt>
                <c:pt idx="90">
                  <c:v>Mar-29</c:v>
                </c:pt>
                <c:pt idx="91">
                  <c:v>Apr-29</c:v>
                </c:pt>
                <c:pt idx="92">
                  <c:v>May-29</c:v>
                </c:pt>
                <c:pt idx="93">
                  <c:v>Jun-29</c:v>
                </c:pt>
                <c:pt idx="94">
                  <c:v>Jul-29</c:v>
                </c:pt>
                <c:pt idx="95">
                  <c:v>Aug-29</c:v>
                </c:pt>
                <c:pt idx="96">
                  <c:v>Sep-29</c:v>
                </c:pt>
                <c:pt idx="97">
                  <c:v>Oct-29</c:v>
                </c:pt>
                <c:pt idx="98">
                  <c:v>Nov-29</c:v>
                </c:pt>
                <c:pt idx="99">
                  <c:v>Dec-29</c:v>
                </c:pt>
                <c:pt idx="100">
                  <c:v>Jan-30</c:v>
                </c:pt>
                <c:pt idx="101">
                  <c:v>Feb-30</c:v>
                </c:pt>
                <c:pt idx="102">
                  <c:v>Mar-30</c:v>
                </c:pt>
                <c:pt idx="103">
                  <c:v>Apr-30</c:v>
                </c:pt>
                <c:pt idx="104">
                  <c:v>May-30</c:v>
                </c:pt>
                <c:pt idx="105">
                  <c:v>Jun-30</c:v>
                </c:pt>
                <c:pt idx="106">
                  <c:v>Jul-30</c:v>
                </c:pt>
                <c:pt idx="107">
                  <c:v>Aug-30</c:v>
                </c:pt>
                <c:pt idx="108">
                  <c:v>Sep-30</c:v>
                </c:pt>
                <c:pt idx="109">
                  <c:v>Oct-30</c:v>
                </c:pt>
                <c:pt idx="110">
                  <c:v>Nov-30</c:v>
                </c:pt>
                <c:pt idx="111">
                  <c:v>Dec-30</c:v>
                </c:pt>
                <c:pt idx="112">
                  <c:v>Jan-31</c:v>
                </c:pt>
                <c:pt idx="113">
                  <c:v>Feb-31</c:v>
                </c:pt>
                <c:pt idx="114">
                  <c:v>Mar-31</c:v>
                </c:pt>
                <c:pt idx="115">
                  <c:v>Apr-31</c:v>
                </c:pt>
                <c:pt idx="116">
                  <c:v>May-31</c:v>
                </c:pt>
                <c:pt idx="117">
                  <c:v>Jun-31</c:v>
                </c:pt>
                <c:pt idx="118">
                  <c:v>Jul-31</c:v>
                </c:pt>
                <c:pt idx="119">
                  <c:v>Aug-31</c:v>
                </c:pt>
                <c:pt idx="120">
                  <c:v>Sep-31</c:v>
                </c:pt>
                <c:pt idx="121">
                  <c:v>Oct-31</c:v>
                </c:pt>
                <c:pt idx="122">
                  <c:v>Nov-31</c:v>
                </c:pt>
                <c:pt idx="123">
                  <c:v>Dec-31</c:v>
                </c:pt>
                <c:pt idx="124">
                  <c:v>Jan-32</c:v>
                </c:pt>
                <c:pt idx="125">
                  <c:v>Feb-32</c:v>
                </c:pt>
                <c:pt idx="126">
                  <c:v>Mar-32</c:v>
                </c:pt>
                <c:pt idx="127">
                  <c:v>Apr-32</c:v>
                </c:pt>
                <c:pt idx="128">
                  <c:v>May-32</c:v>
                </c:pt>
                <c:pt idx="129">
                  <c:v>Jun-32</c:v>
                </c:pt>
                <c:pt idx="130">
                  <c:v>Jul-32</c:v>
                </c:pt>
                <c:pt idx="131">
                  <c:v>Aug-32</c:v>
                </c:pt>
                <c:pt idx="132">
                  <c:v>Sep-32</c:v>
                </c:pt>
                <c:pt idx="133">
                  <c:v>Oct-32</c:v>
                </c:pt>
                <c:pt idx="134">
                  <c:v>Nov-32</c:v>
                </c:pt>
                <c:pt idx="135">
                  <c:v>Dec-32</c:v>
                </c:pt>
                <c:pt idx="136">
                  <c:v>Jan-33</c:v>
                </c:pt>
                <c:pt idx="137">
                  <c:v>Feb-33</c:v>
                </c:pt>
                <c:pt idx="138">
                  <c:v>Mar-33</c:v>
                </c:pt>
                <c:pt idx="139">
                  <c:v>Apr-33</c:v>
                </c:pt>
                <c:pt idx="140">
                  <c:v>May-33</c:v>
                </c:pt>
                <c:pt idx="141">
                  <c:v>Jun-33</c:v>
                </c:pt>
                <c:pt idx="142">
                  <c:v>Jul-33</c:v>
                </c:pt>
                <c:pt idx="143">
                  <c:v>Aug-33</c:v>
                </c:pt>
                <c:pt idx="144">
                  <c:v>Sep-33</c:v>
                </c:pt>
                <c:pt idx="145">
                  <c:v>Oct-33</c:v>
                </c:pt>
                <c:pt idx="146">
                  <c:v>Nov-33</c:v>
                </c:pt>
                <c:pt idx="147">
                  <c:v>Dec-33</c:v>
                </c:pt>
                <c:pt idx="148">
                  <c:v>Jan-34</c:v>
                </c:pt>
                <c:pt idx="149">
                  <c:v>Feb-34</c:v>
                </c:pt>
                <c:pt idx="150">
                  <c:v>Mar-34</c:v>
                </c:pt>
                <c:pt idx="151">
                  <c:v>Apr-34</c:v>
                </c:pt>
                <c:pt idx="152">
                  <c:v>May-34</c:v>
                </c:pt>
                <c:pt idx="153">
                  <c:v>Jun-34</c:v>
                </c:pt>
                <c:pt idx="154">
                  <c:v>Jul-34</c:v>
                </c:pt>
                <c:pt idx="155">
                  <c:v>Aug-34</c:v>
                </c:pt>
                <c:pt idx="156">
                  <c:v>Sep-34</c:v>
                </c:pt>
                <c:pt idx="157">
                  <c:v>Oct-34</c:v>
                </c:pt>
                <c:pt idx="158">
                  <c:v>Nov-34</c:v>
                </c:pt>
                <c:pt idx="159">
                  <c:v>Dec-34</c:v>
                </c:pt>
                <c:pt idx="160">
                  <c:v>Jan-35</c:v>
                </c:pt>
                <c:pt idx="161">
                  <c:v>Feb-35</c:v>
                </c:pt>
              </c:strCache>
            </c:strRef>
          </c:cat>
          <c:val>
            <c:numRef>
              <c:f>'Table(related to graph)'!$C$6:$FH$6</c:f>
              <c:numCache>
                <c:formatCode>0.0</c:formatCode>
                <c:ptCount val="1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17-4C94-A222-19EB74366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4543712"/>
        <c:axId val="1624543296"/>
      </c:lineChart>
      <c:catAx>
        <c:axId val="1624543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624543296"/>
        <c:crosses val="autoZero"/>
        <c:auto val="1"/>
        <c:lblAlgn val="ctr"/>
        <c:lblOffset val="100"/>
        <c:noMultiLvlLbl val="1"/>
      </c:catAx>
      <c:valAx>
        <c:axId val="162454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62454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43</xdr:row>
          <xdr:rowOff>57150</xdr:rowOff>
        </xdr:from>
        <xdr:to>
          <xdr:col>14</xdr:col>
          <xdr:colOff>581025</xdr:colOff>
          <xdr:row>44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Add/Change contact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7</xdr:row>
          <xdr:rowOff>333375</xdr:rowOff>
        </xdr:from>
        <xdr:to>
          <xdr:col>15</xdr:col>
          <xdr:colOff>38100</xdr:colOff>
          <xdr:row>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email to owner of the model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582706</xdr:colOff>
      <xdr:row>1</xdr:row>
      <xdr:rowOff>168088</xdr:rowOff>
    </xdr:from>
    <xdr:to>
      <xdr:col>15</xdr:col>
      <xdr:colOff>44824</xdr:colOff>
      <xdr:row>7</xdr:row>
      <xdr:rowOff>56030</xdr:rowOff>
    </xdr:to>
    <xdr:sp macro="[0]!ShowOptions" textlink="">
      <xdr:nvSpPr>
        <xdr:cNvPr id="2" name="Rectangle 1">
          <a:extLst>
            <a:ext uri="{FF2B5EF4-FFF2-40B4-BE49-F238E27FC236}">
              <a16:creationId xmlns:a16="http://schemas.microsoft.com/office/drawing/2014/main" id="{FFE8A9A3-FC87-4BCD-A953-4929784E57A1}"/>
            </a:ext>
          </a:extLst>
        </xdr:cNvPr>
        <xdr:cNvSpPr/>
      </xdr:nvSpPr>
      <xdr:spPr>
        <a:xfrm>
          <a:off x="8258735" y="358588"/>
          <a:ext cx="1389530" cy="8292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1590675</xdr:colOff>
          <xdr:row>40</xdr:row>
          <xdr:rowOff>133350</xdr:rowOff>
        </xdr:from>
        <xdr:to>
          <xdr:col>9</xdr:col>
          <xdr:colOff>19050</xdr:colOff>
          <xdr:row>42</xdr:row>
          <xdr:rowOff>142875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323849</xdr:colOff>
      <xdr:row>12</xdr:row>
      <xdr:rowOff>47625</xdr:rowOff>
    </xdr:from>
    <xdr:to>
      <xdr:col>17</xdr:col>
      <xdr:colOff>47624</xdr:colOff>
      <xdr:row>31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esco Napoli" refreshedDate="44455.491499305557" createdVersion="7" refreshedVersion="7" minRefreshableVersion="3" recordCount="333" xr:uid="{1C4E4B5A-6316-409A-9D34-84A44AF2554A}">
  <cacheSource type="worksheet">
    <worksheetSource ref="A19:J352" sheet="Table(related to graph)"/>
  </cacheSource>
  <cacheFields count="12">
    <cacheField name="Date" numFmtId="0">
      <sharedItems containsNonDate="0" containsDate="1" containsString="0" containsBlank="1" minDate="2021-01-01T00:00:00" maxDate="2045-01-02T00:00:00" count="290">
        <d v="2021-01-01T00:00:00"/>
        <d v="2021-02-01T00:00:00"/>
        <d v="2021-03-01T00:00:00"/>
        <d v="2021-04-01T00:00:00"/>
        <d v="2021-05-01T00:00:00"/>
        <d v="2021-06-01T00:00:00"/>
        <d v="2021-07-01T00:00:00"/>
        <d v="2021-08-01T00:00:00"/>
        <d v="2021-09-01T00:00:00"/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  <d v="2023-12-01T00:00:00"/>
        <d v="2024-01-01T00:00:00"/>
        <d v="2024-02-01T00:00:00"/>
        <d v="2024-03-01T00:00:00"/>
        <d v="2024-04-01T00:00:00"/>
        <d v="2024-05-01T00:00:00"/>
        <d v="2024-06-01T00:00:00"/>
        <d v="2024-07-01T00:00:00"/>
        <d v="2024-08-01T00:00:00"/>
        <d v="2024-09-01T00:00:00"/>
        <d v="2024-10-01T00:00:00"/>
        <d v="2024-11-01T00:00:00"/>
        <d v="2024-12-01T00:00:00"/>
        <d v="2025-01-01T00:00:00"/>
        <d v="2025-02-01T00:00:00"/>
        <d v="2025-03-01T00:00:00"/>
        <d v="2025-04-01T00:00:00"/>
        <d v="2025-05-01T00:00:00"/>
        <d v="2025-06-01T00:00:00"/>
        <d v="2025-07-01T00:00:00"/>
        <d v="2025-08-01T00:00:00"/>
        <d v="2025-09-01T00:00:00"/>
        <d v="2025-10-01T00:00:00"/>
        <d v="2025-11-01T00:00:00"/>
        <d v="2025-12-01T00:00:00"/>
        <d v="2026-01-01T00:00:00"/>
        <d v="2026-02-01T00:00:00"/>
        <d v="2026-03-01T00:00:00"/>
        <d v="2026-04-01T00:00:00"/>
        <d v="2026-05-01T00:00:00"/>
        <d v="2026-06-01T00:00:00"/>
        <d v="2026-07-01T00:00:00"/>
        <d v="2026-08-01T00:00:00"/>
        <d v="2026-09-01T00:00:00"/>
        <d v="2026-10-01T00:00:00"/>
        <d v="2026-11-01T00:00:00"/>
        <d v="2026-12-01T00:00:00"/>
        <d v="2027-01-01T00:00:00"/>
        <d v="2027-02-01T00:00:00"/>
        <d v="2027-03-01T00:00:00"/>
        <d v="2027-04-01T00:00:00"/>
        <d v="2027-05-01T00:00:00"/>
        <d v="2027-06-01T00:00:00"/>
        <d v="2027-07-01T00:00:00"/>
        <d v="2027-08-01T00:00:00"/>
        <d v="2027-09-01T00:00:00"/>
        <d v="2027-10-01T00:00:00"/>
        <d v="2027-11-01T00:00:00"/>
        <d v="2027-12-01T00:00:00"/>
        <d v="2028-01-01T00:00:00"/>
        <d v="2028-02-01T00:00:00"/>
        <d v="2028-03-01T00:00:00"/>
        <d v="2028-04-01T00:00:00"/>
        <d v="2028-05-01T00:00:00"/>
        <d v="2028-06-01T00:00:00"/>
        <d v="2028-07-01T00:00:00"/>
        <d v="2028-08-01T00:00:00"/>
        <d v="2028-09-01T00:00:00"/>
        <d v="2028-10-01T00:00:00"/>
        <d v="2028-11-01T00:00:00"/>
        <d v="2028-12-01T00:00:00"/>
        <d v="2029-01-01T00:00:00"/>
        <d v="2029-02-01T00:00:00"/>
        <d v="2029-03-01T00:00:00"/>
        <d v="2029-04-01T00:00:00"/>
        <d v="2029-05-01T00:00:00"/>
        <d v="2029-06-01T00:00:00"/>
        <d v="2029-07-01T00:00:00"/>
        <d v="2029-08-01T00:00:00"/>
        <d v="2029-09-01T00:00:00"/>
        <d v="2029-10-01T00:00:00"/>
        <d v="2029-11-01T00:00:00"/>
        <d v="2029-12-01T00:00:00"/>
        <d v="2030-01-01T00:00:00"/>
        <d v="2030-02-01T00:00:00"/>
        <d v="2030-03-01T00:00:00"/>
        <d v="2030-04-01T00:00:00"/>
        <d v="2030-05-01T00:00:00"/>
        <d v="2030-06-01T00:00:00"/>
        <d v="2030-07-01T00:00:00"/>
        <d v="2030-08-01T00:00:00"/>
        <d v="2030-09-01T00:00:00"/>
        <d v="2030-10-01T00:00:00"/>
        <d v="2030-11-01T00:00:00"/>
        <d v="2030-12-01T00:00:00"/>
        <d v="2031-01-01T00:00:00"/>
        <d v="2031-02-01T00:00:00"/>
        <d v="2031-03-01T00:00:00"/>
        <d v="2031-04-01T00:00:00"/>
        <d v="2031-05-01T00:00:00"/>
        <d v="2031-06-01T00:00:00"/>
        <d v="2031-07-01T00:00:00"/>
        <d v="2031-08-01T00:00:00"/>
        <d v="2031-09-01T00:00:00"/>
        <d v="2031-10-01T00:00:00"/>
        <d v="2031-11-01T00:00:00"/>
        <d v="2031-12-01T00:00:00"/>
        <d v="2032-01-01T00:00:00"/>
        <d v="2032-02-01T00:00:00"/>
        <d v="2032-03-01T00:00:00"/>
        <d v="2032-04-01T00:00:00"/>
        <d v="2032-05-01T00:00:00"/>
        <d v="2032-06-01T00:00:00"/>
        <d v="2032-07-01T00:00:00"/>
        <d v="2032-08-01T00:00:00"/>
        <d v="2032-09-01T00:00:00"/>
        <d v="2032-10-01T00:00:00"/>
        <d v="2032-11-01T00:00:00"/>
        <d v="2032-12-01T00:00:00"/>
        <d v="2033-01-01T00:00:00"/>
        <d v="2033-02-01T00:00:00"/>
        <d v="2033-03-01T00:00:00"/>
        <d v="2033-04-01T00:00:00"/>
        <d v="2033-05-01T00:00:00"/>
        <d v="2033-06-01T00:00:00"/>
        <d v="2033-07-01T00:00:00"/>
        <d v="2033-08-01T00:00:00"/>
        <d v="2033-09-01T00:00:00"/>
        <d v="2033-10-01T00:00:00"/>
        <d v="2033-11-01T00:00:00"/>
        <d v="2033-12-01T00:00:00"/>
        <d v="2034-01-01T00:00:00"/>
        <d v="2034-02-01T00:00:00"/>
        <d v="2034-03-01T00:00:00"/>
        <d v="2034-04-01T00:00:00"/>
        <d v="2034-05-01T00:00:00"/>
        <d v="2034-06-01T00:00:00"/>
        <d v="2034-07-01T00:00:00"/>
        <d v="2034-08-01T00:00:00"/>
        <d v="2034-09-01T00:00:00"/>
        <d v="2034-10-01T00:00:00"/>
        <d v="2034-11-01T00:00:00"/>
        <d v="2034-12-01T00:00:00"/>
        <d v="2035-01-01T00:00:00"/>
        <d v="2035-02-01T00:00:00"/>
        <d v="2035-03-01T00:00:00"/>
        <d v="2035-04-01T00:00:00"/>
        <d v="2035-05-01T00:00:00"/>
        <d v="2035-06-01T00:00:00"/>
        <d v="2035-07-01T00:00:00"/>
        <d v="2035-08-01T00:00:00"/>
        <d v="2035-09-01T00:00:00"/>
        <d v="2035-10-01T00:00:00"/>
        <d v="2035-11-01T00:00:00"/>
        <d v="2035-12-01T00:00:00"/>
        <d v="2036-01-01T00:00:00"/>
        <d v="2036-02-01T00:00:00"/>
        <d v="2036-03-01T00:00:00"/>
        <d v="2036-04-01T00:00:00"/>
        <d v="2036-05-01T00:00:00"/>
        <d v="2036-06-01T00:00:00"/>
        <d v="2036-07-01T00:00:00"/>
        <d v="2036-08-01T00:00:00"/>
        <d v="2036-09-01T00:00:00"/>
        <d v="2036-10-01T00:00:00"/>
        <d v="2036-11-01T00:00:00"/>
        <d v="2036-12-01T00:00:00"/>
        <d v="2037-01-01T00:00:00"/>
        <d v="2037-02-01T00:00:00"/>
        <d v="2037-03-01T00:00:00"/>
        <d v="2037-04-01T00:00:00"/>
        <d v="2037-05-01T00:00:00"/>
        <d v="2037-06-01T00:00:00"/>
        <d v="2037-07-01T00:00:00"/>
        <d v="2037-08-01T00:00:00"/>
        <d v="2037-09-01T00:00:00"/>
        <d v="2037-10-01T00:00:00"/>
        <d v="2037-11-01T00:00:00"/>
        <d v="2037-12-01T00:00:00"/>
        <d v="2038-01-01T00:00:00"/>
        <d v="2038-02-01T00:00:00"/>
        <d v="2038-03-01T00:00:00"/>
        <d v="2038-04-01T00:00:00"/>
        <d v="2038-05-01T00:00:00"/>
        <d v="2038-06-01T00:00:00"/>
        <d v="2038-07-01T00:00:00"/>
        <d v="2038-08-01T00:00:00"/>
        <d v="2038-09-01T00:00:00"/>
        <d v="2038-10-01T00:00:00"/>
        <d v="2038-11-01T00:00:00"/>
        <d v="2038-12-01T00:00:00"/>
        <d v="2039-01-01T00:00:00"/>
        <d v="2039-02-01T00:00:00"/>
        <d v="2039-03-01T00:00:00"/>
        <d v="2039-04-01T00:00:00"/>
        <d v="2039-05-01T00:00:00"/>
        <d v="2039-06-01T00:00:00"/>
        <d v="2039-07-01T00:00:00"/>
        <d v="2039-08-01T00:00:00"/>
        <d v="2039-09-01T00:00:00"/>
        <d v="2039-10-01T00:00:00"/>
        <d v="2039-11-01T00:00:00"/>
        <d v="2039-12-01T00:00:00"/>
        <d v="2040-01-01T00:00:00"/>
        <d v="2040-02-01T00:00:00"/>
        <d v="2040-03-01T00:00:00"/>
        <d v="2040-04-01T00:00:00"/>
        <d v="2040-05-01T00:00:00"/>
        <d v="2040-06-01T00:00:00"/>
        <d v="2040-07-01T00:00:00"/>
        <d v="2040-08-01T00:00:00"/>
        <d v="2040-09-01T00:00:00"/>
        <d v="2040-10-01T00:00:00"/>
        <d v="2040-11-01T00:00:00"/>
        <d v="2040-12-01T00:00:00"/>
        <d v="2041-01-01T00:00:00"/>
        <d v="2041-02-01T00:00:00"/>
        <d v="2041-03-01T00:00:00"/>
        <d v="2041-04-01T00:00:00"/>
        <d v="2041-05-01T00:00:00"/>
        <d v="2041-06-01T00:00:00"/>
        <d v="2041-07-01T00:00:00"/>
        <d v="2041-08-01T00:00:00"/>
        <d v="2041-09-01T00:00:00"/>
        <d v="2041-10-01T00:00:00"/>
        <d v="2041-11-01T00:00:00"/>
        <d v="2041-12-01T00:00:00"/>
        <d v="2042-01-01T00:00:00"/>
        <d v="2042-02-01T00:00:00"/>
        <d v="2042-03-01T00:00:00"/>
        <d v="2042-04-01T00:00:00"/>
        <d v="2042-05-01T00:00:00"/>
        <d v="2042-06-01T00:00:00"/>
        <d v="2042-07-01T00:00:00"/>
        <d v="2042-08-01T00:00:00"/>
        <d v="2042-09-01T00:00:00"/>
        <d v="2042-10-01T00:00:00"/>
        <d v="2042-11-01T00:00:00"/>
        <d v="2042-12-01T00:00:00"/>
        <d v="2043-01-01T00:00:00"/>
        <d v="2043-02-01T00:00:00"/>
        <d v="2043-03-01T00:00:00"/>
        <d v="2043-04-01T00:00:00"/>
        <d v="2043-05-01T00:00:00"/>
        <d v="2043-06-01T00:00:00"/>
        <d v="2043-07-01T00:00:00"/>
        <d v="2043-08-01T00:00:00"/>
        <d v="2043-09-01T00:00:00"/>
        <d v="2043-10-01T00:00:00"/>
        <d v="2043-11-01T00:00:00"/>
        <d v="2043-12-01T00:00:00"/>
        <d v="2044-01-01T00:00:00"/>
        <d v="2044-02-01T00:00:00"/>
        <d v="2044-03-01T00:00:00"/>
        <d v="2044-04-01T00:00:00"/>
        <d v="2044-05-01T00:00:00"/>
        <d v="2044-06-01T00:00:00"/>
        <d v="2044-07-01T00:00:00"/>
        <d v="2044-08-01T00:00:00"/>
        <d v="2044-09-01T00:00:00"/>
        <d v="2044-10-01T00:00:00"/>
        <d v="2044-11-01T00:00:00"/>
        <d v="2044-12-01T00:00:00"/>
        <d v="2045-01-01T00:00:00"/>
        <m/>
      </sharedItems>
      <fieldGroup par="11" base="0">
        <rangePr groupBy="months" startDate="2021-01-01T00:00:00" endDate="2045-01-02T00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/01/2045"/>
        </groupItems>
      </fieldGroup>
    </cacheField>
    <cacheField name="Lost Time Incident Frequency - Monthly Rate" numFmtId="0">
      <sharedItems containsMixedTypes="1" containsNumber="1" containsInteger="1" minValue="0" maxValue="14000" count="3">
        <s v="-"/>
        <n v="14000"/>
        <n v="0"/>
      </sharedItems>
    </cacheField>
    <cacheField name="Monthly Number  - Cumulative Year Rate" numFmtId="0">
      <sharedItems containsMixedTypes="1" containsNumber="1" containsInteger="1" minValue="14000" maxValue="14000" count="2">
        <s v="-"/>
        <n v="14000"/>
      </sharedItems>
    </cacheField>
    <cacheField name="Lost Time Incident Frequency - 12-Month Rolling rate" numFmtId="0">
      <sharedItems containsMixedTypes="1" containsNumber="1" containsInteger="1" minValue="14000" maxValue="14000" count="2">
        <s v="-"/>
        <n v="14000"/>
      </sharedItems>
    </cacheField>
    <cacheField name="Total Recordable Injury Monthly Rate" numFmtId="0">
      <sharedItems containsMixedTypes="1" containsNumber="1" containsInteger="1" minValue="24000" maxValue="24000" count="2">
        <s v="-"/>
        <n v="24000"/>
      </sharedItems>
    </cacheField>
    <cacheField name="Total Recordable Injury Cumulative Year Rate" numFmtId="0">
      <sharedItems containsMixedTypes="1" containsNumber="1" containsInteger="1" minValue="24000" maxValue="24000" count="2">
        <s v="-"/>
        <n v="24000"/>
      </sharedItems>
    </cacheField>
    <cacheField name="Total Recordable Injury  Monthly Rate" numFmtId="0">
      <sharedItems containsMixedTypes="1" containsNumber="1" containsInteger="1" minValue="24000" maxValue="24000" count="2">
        <s v="-"/>
        <n v="24000"/>
      </sharedItems>
    </cacheField>
    <cacheField name="Safety Observation Frequency  Monthly Rate" numFmtId="0">
      <sharedItems containsMixedTypes="1" containsNumber="1" containsInteger="1" minValue="400" maxValue="400" count="2">
        <s v="-"/>
        <n v="400"/>
      </sharedItems>
    </cacheField>
    <cacheField name="Safety Observation Frequency  Cumulative Year Rate" numFmtId="0">
      <sharedItems containsMixedTypes="1" containsNumber="1" containsInteger="1" minValue="400" maxValue="400" count="2">
        <s v="-"/>
        <n v="400"/>
      </sharedItems>
    </cacheField>
    <cacheField name="Safety Observation Frequency  12-Month Rolling rate" numFmtId="0">
      <sharedItems containsMixedTypes="1" containsNumber="1" containsInteger="1" minValue="400" maxValue="400" count="2">
        <s v="-"/>
        <n v="400"/>
      </sharedItems>
    </cacheField>
    <cacheField name="Quarters" numFmtId="0" databaseField="0">
      <fieldGroup base="0">
        <rangePr groupBy="quarters" startDate="2021-01-01T00:00:00" endDate="2045-01-02T00:00:00"/>
        <groupItems count="6">
          <s v="&lt;01/01/2021"/>
          <s v="Qtr1"/>
          <s v="Qtr2"/>
          <s v="Qtr3"/>
          <s v="Qtr4"/>
          <s v="&gt;02/01/2045"/>
        </groupItems>
      </fieldGroup>
    </cacheField>
    <cacheField name="Years" numFmtId="0" databaseField="0">
      <fieldGroup base="0">
        <rangePr groupBy="years" startDate="2021-01-01T00:00:00" endDate="2045-01-02T00:00:00"/>
        <groupItems count="27">
          <s v="&lt;01/01/2021"/>
          <s v="2021"/>
          <s v="2022"/>
          <s v="2023"/>
          <s v="2024"/>
          <s v="2025"/>
          <s v="2026"/>
          <s v="2027"/>
          <s v="2028"/>
          <s v="2029"/>
          <s v="2030"/>
          <s v="2031"/>
          <s v="2032"/>
          <s v="2033"/>
          <s v="2034"/>
          <s v="2035"/>
          <s v="2036"/>
          <s v="2037"/>
          <s v="2038"/>
          <s v="2039"/>
          <s v="2040"/>
          <s v="2041"/>
          <s v="2042"/>
          <s v="2043"/>
          <s v="2044"/>
          <s v="2045"/>
          <s v="&gt;02/01/2045"/>
        </groupItems>
      </fieldGroup>
    </cacheField>
  </cacheFields>
  <extLst>
    <ext xmlns:x14="http://schemas.microsoft.com/office/spreadsheetml/2009/9/main" uri="{725AE2AE-9491-48be-B2B4-4EB974FC3084}">
      <x14:pivotCacheDefinition pivotCacheId="125089720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3">
  <r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</r>
  <r>
    <x v="3"/>
    <x v="0"/>
    <x v="0"/>
    <x v="0"/>
    <x v="0"/>
    <x v="0"/>
    <x v="0"/>
    <x v="0"/>
    <x v="0"/>
    <x v="0"/>
  </r>
  <r>
    <x v="4"/>
    <x v="0"/>
    <x v="0"/>
    <x v="0"/>
    <x v="0"/>
    <x v="0"/>
    <x v="0"/>
    <x v="0"/>
    <x v="0"/>
    <x v="0"/>
  </r>
  <r>
    <x v="5"/>
    <x v="0"/>
    <x v="0"/>
    <x v="0"/>
    <x v="0"/>
    <x v="0"/>
    <x v="0"/>
    <x v="0"/>
    <x v="0"/>
    <x v="0"/>
  </r>
  <r>
    <x v="6"/>
    <x v="0"/>
    <x v="0"/>
    <x v="0"/>
    <x v="0"/>
    <x v="0"/>
    <x v="0"/>
    <x v="0"/>
    <x v="0"/>
    <x v="0"/>
  </r>
  <r>
    <x v="7"/>
    <x v="0"/>
    <x v="0"/>
    <x v="0"/>
    <x v="0"/>
    <x v="0"/>
    <x v="0"/>
    <x v="0"/>
    <x v="0"/>
    <x v="0"/>
  </r>
  <r>
    <x v="8"/>
    <x v="1"/>
    <x v="1"/>
    <x v="1"/>
    <x v="1"/>
    <x v="1"/>
    <x v="1"/>
    <x v="1"/>
    <x v="1"/>
    <x v="1"/>
  </r>
  <r>
    <x v="9"/>
    <x v="2"/>
    <x v="1"/>
    <x v="1"/>
    <x v="0"/>
    <x v="1"/>
    <x v="1"/>
    <x v="0"/>
    <x v="1"/>
    <x v="1"/>
  </r>
  <r>
    <x v="10"/>
    <x v="2"/>
    <x v="1"/>
    <x v="1"/>
    <x v="0"/>
    <x v="1"/>
    <x v="1"/>
    <x v="0"/>
    <x v="1"/>
    <x v="1"/>
  </r>
  <r>
    <x v="11"/>
    <x v="2"/>
    <x v="1"/>
    <x v="1"/>
    <x v="0"/>
    <x v="1"/>
    <x v="1"/>
    <x v="0"/>
    <x v="1"/>
    <x v="1"/>
  </r>
  <r>
    <x v="12"/>
    <x v="0"/>
    <x v="0"/>
    <x v="1"/>
    <x v="0"/>
    <x v="0"/>
    <x v="1"/>
    <x v="0"/>
    <x v="0"/>
    <x v="1"/>
  </r>
  <r>
    <x v="13"/>
    <x v="0"/>
    <x v="0"/>
    <x v="1"/>
    <x v="0"/>
    <x v="0"/>
    <x v="1"/>
    <x v="0"/>
    <x v="0"/>
    <x v="1"/>
  </r>
  <r>
    <x v="14"/>
    <x v="0"/>
    <x v="0"/>
    <x v="1"/>
    <x v="0"/>
    <x v="0"/>
    <x v="1"/>
    <x v="0"/>
    <x v="0"/>
    <x v="1"/>
  </r>
  <r>
    <x v="15"/>
    <x v="0"/>
    <x v="0"/>
    <x v="1"/>
    <x v="0"/>
    <x v="0"/>
    <x v="1"/>
    <x v="0"/>
    <x v="0"/>
    <x v="1"/>
  </r>
  <r>
    <x v="16"/>
    <x v="0"/>
    <x v="0"/>
    <x v="1"/>
    <x v="0"/>
    <x v="0"/>
    <x v="1"/>
    <x v="0"/>
    <x v="0"/>
    <x v="1"/>
  </r>
  <r>
    <x v="17"/>
    <x v="0"/>
    <x v="0"/>
    <x v="1"/>
    <x v="0"/>
    <x v="0"/>
    <x v="1"/>
    <x v="0"/>
    <x v="0"/>
    <x v="1"/>
  </r>
  <r>
    <x v="18"/>
    <x v="0"/>
    <x v="0"/>
    <x v="1"/>
    <x v="0"/>
    <x v="0"/>
    <x v="1"/>
    <x v="0"/>
    <x v="0"/>
    <x v="1"/>
  </r>
  <r>
    <x v="19"/>
    <x v="0"/>
    <x v="0"/>
    <x v="1"/>
    <x v="0"/>
    <x v="0"/>
    <x v="1"/>
    <x v="0"/>
    <x v="0"/>
    <x v="1"/>
  </r>
  <r>
    <x v="20"/>
    <x v="0"/>
    <x v="0"/>
    <x v="0"/>
    <x v="0"/>
    <x v="0"/>
    <x v="0"/>
    <x v="0"/>
    <x v="0"/>
    <x v="0"/>
  </r>
  <r>
    <x v="21"/>
    <x v="0"/>
    <x v="0"/>
    <x v="0"/>
    <x v="0"/>
    <x v="0"/>
    <x v="0"/>
    <x v="0"/>
    <x v="0"/>
    <x v="0"/>
  </r>
  <r>
    <x v="22"/>
    <x v="0"/>
    <x v="0"/>
    <x v="0"/>
    <x v="0"/>
    <x v="0"/>
    <x v="0"/>
    <x v="0"/>
    <x v="0"/>
    <x v="0"/>
  </r>
  <r>
    <x v="23"/>
    <x v="0"/>
    <x v="0"/>
    <x v="0"/>
    <x v="0"/>
    <x v="0"/>
    <x v="0"/>
    <x v="0"/>
    <x v="0"/>
    <x v="0"/>
  </r>
  <r>
    <x v="24"/>
    <x v="0"/>
    <x v="0"/>
    <x v="0"/>
    <x v="0"/>
    <x v="0"/>
    <x v="0"/>
    <x v="0"/>
    <x v="0"/>
    <x v="0"/>
  </r>
  <r>
    <x v="25"/>
    <x v="0"/>
    <x v="0"/>
    <x v="0"/>
    <x v="0"/>
    <x v="0"/>
    <x v="0"/>
    <x v="0"/>
    <x v="0"/>
    <x v="0"/>
  </r>
  <r>
    <x v="26"/>
    <x v="0"/>
    <x v="0"/>
    <x v="0"/>
    <x v="0"/>
    <x v="0"/>
    <x v="0"/>
    <x v="0"/>
    <x v="0"/>
    <x v="0"/>
  </r>
  <r>
    <x v="27"/>
    <x v="0"/>
    <x v="0"/>
    <x v="0"/>
    <x v="0"/>
    <x v="0"/>
    <x v="0"/>
    <x v="0"/>
    <x v="0"/>
    <x v="0"/>
  </r>
  <r>
    <x v="28"/>
    <x v="0"/>
    <x v="0"/>
    <x v="0"/>
    <x v="0"/>
    <x v="0"/>
    <x v="0"/>
    <x v="0"/>
    <x v="0"/>
    <x v="0"/>
  </r>
  <r>
    <x v="29"/>
    <x v="0"/>
    <x v="0"/>
    <x v="0"/>
    <x v="0"/>
    <x v="0"/>
    <x v="0"/>
    <x v="0"/>
    <x v="0"/>
    <x v="0"/>
  </r>
  <r>
    <x v="30"/>
    <x v="0"/>
    <x v="0"/>
    <x v="0"/>
    <x v="0"/>
    <x v="0"/>
    <x v="0"/>
    <x v="0"/>
    <x v="0"/>
    <x v="0"/>
  </r>
  <r>
    <x v="31"/>
    <x v="0"/>
    <x v="0"/>
    <x v="0"/>
    <x v="0"/>
    <x v="0"/>
    <x v="0"/>
    <x v="0"/>
    <x v="0"/>
    <x v="0"/>
  </r>
  <r>
    <x v="32"/>
    <x v="0"/>
    <x v="0"/>
    <x v="0"/>
    <x v="0"/>
    <x v="0"/>
    <x v="0"/>
    <x v="0"/>
    <x v="0"/>
    <x v="0"/>
  </r>
  <r>
    <x v="33"/>
    <x v="0"/>
    <x v="0"/>
    <x v="0"/>
    <x v="0"/>
    <x v="0"/>
    <x v="0"/>
    <x v="0"/>
    <x v="0"/>
    <x v="0"/>
  </r>
  <r>
    <x v="34"/>
    <x v="0"/>
    <x v="0"/>
    <x v="0"/>
    <x v="0"/>
    <x v="0"/>
    <x v="0"/>
    <x v="0"/>
    <x v="0"/>
    <x v="0"/>
  </r>
  <r>
    <x v="35"/>
    <x v="0"/>
    <x v="0"/>
    <x v="0"/>
    <x v="0"/>
    <x v="0"/>
    <x v="0"/>
    <x v="0"/>
    <x v="0"/>
    <x v="0"/>
  </r>
  <r>
    <x v="36"/>
    <x v="0"/>
    <x v="0"/>
    <x v="0"/>
    <x v="0"/>
    <x v="0"/>
    <x v="0"/>
    <x v="0"/>
    <x v="0"/>
    <x v="0"/>
  </r>
  <r>
    <x v="37"/>
    <x v="0"/>
    <x v="0"/>
    <x v="0"/>
    <x v="0"/>
    <x v="0"/>
    <x v="0"/>
    <x v="0"/>
    <x v="0"/>
    <x v="0"/>
  </r>
  <r>
    <x v="38"/>
    <x v="0"/>
    <x v="0"/>
    <x v="0"/>
    <x v="0"/>
    <x v="0"/>
    <x v="0"/>
    <x v="0"/>
    <x v="0"/>
    <x v="0"/>
  </r>
  <r>
    <x v="39"/>
    <x v="0"/>
    <x v="0"/>
    <x v="0"/>
    <x v="0"/>
    <x v="0"/>
    <x v="0"/>
    <x v="0"/>
    <x v="0"/>
    <x v="0"/>
  </r>
  <r>
    <x v="40"/>
    <x v="0"/>
    <x v="0"/>
    <x v="0"/>
    <x v="0"/>
    <x v="0"/>
    <x v="0"/>
    <x v="0"/>
    <x v="0"/>
    <x v="0"/>
  </r>
  <r>
    <x v="41"/>
    <x v="0"/>
    <x v="0"/>
    <x v="0"/>
    <x v="0"/>
    <x v="0"/>
    <x v="0"/>
    <x v="0"/>
    <x v="0"/>
    <x v="0"/>
  </r>
  <r>
    <x v="42"/>
    <x v="0"/>
    <x v="0"/>
    <x v="0"/>
    <x v="0"/>
    <x v="0"/>
    <x v="0"/>
    <x v="0"/>
    <x v="0"/>
    <x v="0"/>
  </r>
  <r>
    <x v="43"/>
    <x v="0"/>
    <x v="0"/>
    <x v="0"/>
    <x v="0"/>
    <x v="0"/>
    <x v="0"/>
    <x v="0"/>
    <x v="0"/>
    <x v="0"/>
  </r>
  <r>
    <x v="44"/>
    <x v="0"/>
    <x v="0"/>
    <x v="0"/>
    <x v="0"/>
    <x v="0"/>
    <x v="0"/>
    <x v="0"/>
    <x v="0"/>
    <x v="0"/>
  </r>
  <r>
    <x v="45"/>
    <x v="0"/>
    <x v="0"/>
    <x v="0"/>
    <x v="0"/>
    <x v="0"/>
    <x v="0"/>
    <x v="0"/>
    <x v="0"/>
    <x v="0"/>
  </r>
  <r>
    <x v="46"/>
    <x v="0"/>
    <x v="0"/>
    <x v="0"/>
    <x v="0"/>
    <x v="0"/>
    <x v="0"/>
    <x v="0"/>
    <x v="0"/>
    <x v="0"/>
  </r>
  <r>
    <x v="47"/>
    <x v="0"/>
    <x v="0"/>
    <x v="0"/>
    <x v="0"/>
    <x v="0"/>
    <x v="0"/>
    <x v="0"/>
    <x v="0"/>
    <x v="0"/>
  </r>
  <r>
    <x v="48"/>
    <x v="0"/>
    <x v="0"/>
    <x v="0"/>
    <x v="0"/>
    <x v="0"/>
    <x v="0"/>
    <x v="0"/>
    <x v="0"/>
    <x v="0"/>
  </r>
  <r>
    <x v="49"/>
    <x v="0"/>
    <x v="0"/>
    <x v="0"/>
    <x v="0"/>
    <x v="0"/>
    <x v="0"/>
    <x v="0"/>
    <x v="0"/>
    <x v="0"/>
  </r>
  <r>
    <x v="50"/>
    <x v="0"/>
    <x v="0"/>
    <x v="0"/>
    <x v="0"/>
    <x v="0"/>
    <x v="0"/>
    <x v="0"/>
    <x v="0"/>
    <x v="0"/>
  </r>
  <r>
    <x v="51"/>
    <x v="0"/>
    <x v="0"/>
    <x v="0"/>
    <x v="0"/>
    <x v="0"/>
    <x v="0"/>
    <x v="0"/>
    <x v="0"/>
    <x v="0"/>
  </r>
  <r>
    <x v="52"/>
    <x v="0"/>
    <x v="0"/>
    <x v="0"/>
    <x v="0"/>
    <x v="0"/>
    <x v="0"/>
    <x v="0"/>
    <x v="0"/>
    <x v="0"/>
  </r>
  <r>
    <x v="53"/>
    <x v="0"/>
    <x v="0"/>
    <x v="0"/>
    <x v="0"/>
    <x v="0"/>
    <x v="0"/>
    <x v="0"/>
    <x v="0"/>
    <x v="0"/>
  </r>
  <r>
    <x v="54"/>
    <x v="0"/>
    <x v="0"/>
    <x v="0"/>
    <x v="0"/>
    <x v="0"/>
    <x v="0"/>
    <x v="0"/>
    <x v="0"/>
    <x v="0"/>
  </r>
  <r>
    <x v="55"/>
    <x v="0"/>
    <x v="0"/>
    <x v="0"/>
    <x v="0"/>
    <x v="0"/>
    <x v="0"/>
    <x v="0"/>
    <x v="0"/>
    <x v="0"/>
  </r>
  <r>
    <x v="56"/>
    <x v="0"/>
    <x v="0"/>
    <x v="0"/>
    <x v="0"/>
    <x v="0"/>
    <x v="0"/>
    <x v="0"/>
    <x v="0"/>
    <x v="0"/>
  </r>
  <r>
    <x v="57"/>
    <x v="0"/>
    <x v="0"/>
    <x v="0"/>
    <x v="0"/>
    <x v="0"/>
    <x v="0"/>
    <x v="0"/>
    <x v="0"/>
    <x v="0"/>
  </r>
  <r>
    <x v="58"/>
    <x v="0"/>
    <x v="0"/>
    <x v="0"/>
    <x v="0"/>
    <x v="0"/>
    <x v="0"/>
    <x v="0"/>
    <x v="0"/>
    <x v="0"/>
  </r>
  <r>
    <x v="59"/>
    <x v="0"/>
    <x v="0"/>
    <x v="0"/>
    <x v="0"/>
    <x v="0"/>
    <x v="0"/>
    <x v="0"/>
    <x v="0"/>
    <x v="0"/>
  </r>
  <r>
    <x v="60"/>
    <x v="0"/>
    <x v="0"/>
    <x v="0"/>
    <x v="0"/>
    <x v="0"/>
    <x v="0"/>
    <x v="0"/>
    <x v="0"/>
    <x v="0"/>
  </r>
  <r>
    <x v="61"/>
    <x v="0"/>
    <x v="0"/>
    <x v="0"/>
    <x v="0"/>
    <x v="0"/>
    <x v="0"/>
    <x v="0"/>
    <x v="0"/>
    <x v="0"/>
  </r>
  <r>
    <x v="62"/>
    <x v="0"/>
    <x v="0"/>
    <x v="0"/>
    <x v="0"/>
    <x v="0"/>
    <x v="0"/>
    <x v="0"/>
    <x v="0"/>
    <x v="0"/>
  </r>
  <r>
    <x v="63"/>
    <x v="0"/>
    <x v="0"/>
    <x v="0"/>
    <x v="0"/>
    <x v="0"/>
    <x v="0"/>
    <x v="0"/>
    <x v="0"/>
    <x v="0"/>
  </r>
  <r>
    <x v="64"/>
    <x v="0"/>
    <x v="0"/>
    <x v="0"/>
    <x v="0"/>
    <x v="0"/>
    <x v="0"/>
    <x v="0"/>
    <x v="0"/>
    <x v="0"/>
  </r>
  <r>
    <x v="65"/>
    <x v="0"/>
    <x v="0"/>
    <x v="0"/>
    <x v="0"/>
    <x v="0"/>
    <x v="0"/>
    <x v="0"/>
    <x v="0"/>
    <x v="0"/>
  </r>
  <r>
    <x v="66"/>
    <x v="0"/>
    <x v="0"/>
    <x v="0"/>
    <x v="0"/>
    <x v="0"/>
    <x v="0"/>
    <x v="0"/>
    <x v="0"/>
    <x v="0"/>
  </r>
  <r>
    <x v="67"/>
    <x v="0"/>
    <x v="0"/>
    <x v="0"/>
    <x v="0"/>
    <x v="0"/>
    <x v="0"/>
    <x v="0"/>
    <x v="0"/>
    <x v="0"/>
  </r>
  <r>
    <x v="68"/>
    <x v="0"/>
    <x v="0"/>
    <x v="0"/>
    <x v="0"/>
    <x v="0"/>
    <x v="0"/>
    <x v="0"/>
    <x v="0"/>
    <x v="0"/>
  </r>
  <r>
    <x v="69"/>
    <x v="0"/>
    <x v="0"/>
    <x v="0"/>
    <x v="0"/>
    <x v="0"/>
    <x v="0"/>
    <x v="0"/>
    <x v="0"/>
    <x v="0"/>
  </r>
  <r>
    <x v="70"/>
    <x v="0"/>
    <x v="0"/>
    <x v="0"/>
    <x v="0"/>
    <x v="0"/>
    <x v="0"/>
    <x v="0"/>
    <x v="0"/>
    <x v="0"/>
  </r>
  <r>
    <x v="71"/>
    <x v="0"/>
    <x v="0"/>
    <x v="0"/>
    <x v="0"/>
    <x v="0"/>
    <x v="0"/>
    <x v="0"/>
    <x v="0"/>
    <x v="0"/>
  </r>
  <r>
    <x v="72"/>
    <x v="0"/>
    <x v="0"/>
    <x v="0"/>
    <x v="0"/>
    <x v="0"/>
    <x v="0"/>
    <x v="0"/>
    <x v="0"/>
    <x v="0"/>
  </r>
  <r>
    <x v="73"/>
    <x v="0"/>
    <x v="0"/>
    <x v="0"/>
    <x v="0"/>
    <x v="0"/>
    <x v="0"/>
    <x v="0"/>
    <x v="0"/>
    <x v="0"/>
  </r>
  <r>
    <x v="74"/>
    <x v="0"/>
    <x v="0"/>
    <x v="0"/>
    <x v="0"/>
    <x v="0"/>
    <x v="0"/>
    <x v="0"/>
    <x v="0"/>
    <x v="0"/>
  </r>
  <r>
    <x v="75"/>
    <x v="0"/>
    <x v="0"/>
    <x v="0"/>
    <x v="0"/>
    <x v="0"/>
    <x v="0"/>
    <x v="0"/>
    <x v="0"/>
    <x v="0"/>
  </r>
  <r>
    <x v="76"/>
    <x v="0"/>
    <x v="0"/>
    <x v="0"/>
    <x v="0"/>
    <x v="0"/>
    <x v="0"/>
    <x v="0"/>
    <x v="0"/>
    <x v="0"/>
  </r>
  <r>
    <x v="77"/>
    <x v="0"/>
    <x v="0"/>
    <x v="0"/>
    <x v="0"/>
    <x v="0"/>
    <x v="0"/>
    <x v="0"/>
    <x v="0"/>
    <x v="0"/>
  </r>
  <r>
    <x v="78"/>
    <x v="0"/>
    <x v="0"/>
    <x v="0"/>
    <x v="0"/>
    <x v="0"/>
    <x v="0"/>
    <x v="0"/>
    <x v="0"/>
    <x v="0"/>
  </r>
  <r>
    <x v="79"/>
    <x v="0"/>
    <x v="0"/>
    <x v="0"/>
    <x v="0"/>
    <x v="0"/>
    <x v="0"/>
    <x v="0"/>
    <x v="0"/>
    <x v="0"/>
  </r>
  <r>
    <x v="80"/>
    <x v="0"/>
    <x v="0"/>
    <x v="0"/>
    <x v="0"/>
    <x v="0"/>
    <x v="0"/>
    <x v="0"/>
    <x v="0"/>
    <x v="0"/>
  </r>
  <r>
    <x v="81"/>
    <x v="0"/>
    <x v="0"/>
    <x v="0"/>
    <x v="0"/>
    <x v="0"/>
    <x v="0"/>
    <x v="0"/>
    <x v="0"/>
    <x v="0"/>
  </r>
  <r>
    <x v="82"/>
    <x v="0"/>
    <x v="0"/>
    <x v="0"/>
    <x v="0"/>
    <x v="0"/>
    <x v="0"/>
    <x v="0"/>
    <x v="0"/>
    <x v="0"/>
  </r>
  <r>
    <x v="83"/>
    <x v="0"/>
    <x v="0"/>
    <x v="0"/>
    <x v="0"/>
    <x v="0"/>
    <x v="0"/>
    <x v="0"/>
    <x v="0"/>
    <x v="0"/>
  </r>
  <r>
    <x v="84"/>
    <x v="0"/>
    <x v="0"/>
    <x v="0"/>
    <x v="0"/>
    <x v="0"/>
    <x v="0"/>
    <x v="0"/>
    <x v="0"/>
    <x v="0"/>
  </r>
  <r>
    <x v="85"/>
    <x v="0"/>
    <x v="0"/>
    <x v="0"/>
    <x v="0"/>
    <x v="0"/>
    <x v="0"/>
    <x v="0"/>
    <x v="0"/>
    <x v="0"/>
  </r>
  <r>
    <x v="86"/>
    <x v="0"/>
    <x v="0"/>
    <x v="0"/>
    <x v="0"/>
    <x v="0"/>
    <x v="0"/>
    <x v="0"/>
    <x v="0"/>
    <x v="0"/>
  </r>
  <r>
    <x v="87"/>
    <x v="0"/>
    <x v="0"/>
    <x v="0"/>
    <x v="0"/>
    <x v="0"/>
    <x v="0"/>
    <x v="0"/>
    <x v="0"/>
    <x v="0"/>
  </r>
  <r>
    <x v="88"/>
    <x v="0"/>
    <x v="0"/>
    <x v="0"/>
    <x v="0"/>
    <x v="0"/>
    <x v="0"/>
    <x v="0"/>
    <x v="0"/>
    <x v="0"/>
  </r>
  <r>
    <x v="89"/>
    <x v="0"/>
    <x v="0"/>
    <x v="0"/>
    <x v="0"/>
    <x v="0"/>
    <x v="0"/>
    <x v="0"/>
    <x v="0"/>
    <x v="0"/>
  </r>
  <r>
    <x v="90"/>
    <x v="0"/>
    <x v="0"/>
    <x v="0"/>
    <x v="0"/>
    <x v="0"/>
    <x v="0"/>
    <x v="0"/>
    <x v="0"/>
    <x v="0"/>
  </r>
  <r>
    <x v="91"/>
    <x v="0"/>
    <x v="0"/>
    <x v="0"/>
    <x v="0"/>
    <x v="0"/>
    <x v="0"/>
    <x v="0"/>
    <x v="0"/>
    <x v="0"/>
  </r>
  <r>
    <x v="92"/>
    <x v="0"/>
    <x v="0"/>
    <x v="0"/>
    <x v="0"/>
    <x v="0"/>
    <x v="0"/>
    <x v="0"/>
    <x v="0"/>
    <x v="0"/>
  </r>
  <r>
    <x v="93"/>
    <x v="0"/>
    <x v="0"/>
    <x v="0"/>
    <x v="0"/>
    <x v="0"/>
    <x v="0"/>
    <x v="0"/>
    <x v="0"/>
    <x v="0"/>
  </r>
  <r>
    <x v="94"/>
    <x v="0"/>
    <x v="0"/>
    <x v="0"/>
    <x v="0"/>
    <x v="0"/>
    <x v="0"/>
    <x v="0"/>
    <x v="0"/>
    <x v="0"/>
  </r>
  <r>
    <x v="95"/>
    <x v="0"/>
    <x v="0"/>
    <x v="0"/>
    <x v="0"/>
    <x v="0"/>
    <x v="0"/>
    <x v="0"/>
    <x v="0"/>
    <x v="0"/>
  </r>
  <r>
    <x v="96"/>
    <x v="0"/>
    <x v="0"/>
    <x v="0"/>
    <x v="0"/>
    <x v="0"/>
    <x v="0"/>
    <x v="0"/>
    <x v="0"/>
    <x v="0"/>
  </r>
  <r>
    <x v="97"/>
    <x v="0"/>
    <x v="0"/>
    <x v="0"/>
    <x v="0"/>
    <x v="0"/>
    <x v="0"/>
    <x v="0"/>
    <x v="0"/>
    <x v="0"/>
  </r>
  <r>
    <x v="98"/>
    <x v="0"/>
    <x v="0"/>
    <x v="0"/>
    <x v="0"/>
    <x v="0"/>
    <x v="0"/>
    <x v="0"/>
    <x v="0"/>
    <x v="0"/>
  </r>
  <r>
    <x v="99"/>
    <x v="0"/>
    <x v="0"/>
    <x v="0"/>
    <x v="0"/>
    <x v="0"/>
    <x v="0"/>
    <x v="0"/>
    <x v="0"/>
    <x v="0"/>
  </r>
  <r>
    <x v="100"/>
    <x v="0"/>
    <x v="0"/>
    <x v="0"/>
    <x v="0"/>
    <x v="0"/>
    <x v="0"/>
    <x v="0"/>
    <x v="0"/>
    <x v="0"/>
  </r>
  <r>
    <x v="101"/>
    <x v="0"/>
    <x v="0"/>
    <x v="0"/>
    <x v="0"/>
    <x v="0"/>
    <x v="0"/>
    <x v="0"/>
    <x v="0"/>
    <x v="0"/>
  </r>
  <r>
    <x v="102"/>
    <x v="0"/>
    <x v="0"/>
    <x v="0"/>
    <x v="0"/>
    <x v="0"/>
    <x v="0"/>
    <x v="0"/>
    <x v="0"/>
    <x v="0"/>
  </r>
  <r>
    <x v="103"/>
    <x v="0"/>
    <x v="0"/>
    <x v="0"/>
    <x v="0"/>
    <x v="0"/>
    <x v="0"/>
    <x v="0"/>
    <x v="0"/>
    <x v="0"/>
  </r>
  <r>
    <x v="104"/>
    <x v="0"/>
    <x v="0"/>
    <x v="0"/>
    <x v="0"/>
    <x v="0"/>
    <x v="0"/>
    <x v="0"/>
    <x v="0"/>
    <x v="0"/>
  </r>
  <r>
    <x v="105"/>
    <x v="0"/>
    <x v="0"/>
    <x v="0"/>
    <x v="0"/>
    <x v="0"/>
    <x v="0"/>
    <x v="0"/>
    <x v="0"/>
    <x v="0"/>
  </r>
  <r>
    <x v="106"/>
    <x v="0"/>
    <x v="0"/>
    <x v="0"/>
    <x v="0"/>
    <x v="0"/>
    <x v="0"/>
    <x v="0"/>
    <x v="0"/>
    <x v="0"/>
  </r>
  <r>
    <x v="107"/>
    <x v="0"/>
    <x v="0"/>
    <x v="0"/>
    <x v="0"/>
    <x v="0"/>
    <x v="0"/>
    <x v="0"/>
    <x v="0"/>
    <x v="0"/>
  </r>
  <r>
    <x v="108"/>
    <x v="0"/>
    <x v="0"/>
    <x v="0"/>
    <x v="0"/>
    <x v="0"/>
    <x v="0"/>
    <x v="0"/>
    <x v="0"/>
    <x v="0"/>
  </r>
  <r>
    <x v="109"/>
    <x v="0"/>
    <x v="0"/>
    <x v="0"/>
    <x v="0"/>
    <x v="0"/>
    <x v="0"/>
    <x v="0"/>
    <x v="0"/>
    <x v="0"/>
  </r>
  <r>
    <x v="110"/>
    <x v="0"/>
    <x v="0"/>
    <x v="0"/>
    <x v="0"/>
    <x v="0"/>
    <x v="0"/>
    <x v="0"/>
    <x v="0"/>
    <x v="0"/>
  </r>
  <r>
    <x v="111"/>
    <x v="0"/>
    <x v="0"/>
    <x v="0"/>
    <x v="0"/>
    <x v="0"/>
    <x v="0"/>
    <x v="0"/>
    <x v="0"/>
    <x v="0"/>
  </r>
  <r>
    <x v="112"/>
    <x v="0"/>
    <x v="0"/>
    <x v="0"/>
    <x v="0"/>
    <x v="0"/>
    <x v="0"/>
    <x v="0"/>
    <x v="0"/>
    <x v="0"/>
  </r>
  <r>
    <x v="113"/>
    <x v="0"/>
    <x v="0"/>
    <x v="0"/>
    <x v="0"/>
    <x v="0"/>
    <x v="0"/>
    <x v="0"/>
    <x v="0"/>
    <x v="0"/>
  </r>
  <r>
    <x v="114"/>
    <x v="0"/>
    <x v="0"/>
    <x v="0"/>
    <x v="0"/>
    <x v="0"/>
    <x v="0"/>
    <x v="0"/>
    <x v="0"/>
    <x v="0"/>
  </r>
  <r>
    <x v="115"/>
    <x v="0"/>
    <x v="0"/>
    <x v="0"/>
    <x v="0"/>
    <x v="0"/>
    <x v="0"/>
    <x v="0"/>
    <x v="0"/>
    <x v="0"/>
  </r>
  <r>
    <x v="116"/>
    <x v="0"/>
    <x v="0"/>
    <x v="0"/>
    <x v="0"/>
    <x v="0"/>
    <x v="0"/>
    <x v="0"/>
    <x v="0"/>
    <x v="0"/>
  </r>
  <r>
    <x v="117"/>
    <x v="0"/>
    <x v="0"/>
    <x v="0"/>
    <x v="0"/>
    <x v="0"/>
    <x v="0"/>
    <x v="0"/>
    <x v="0"/>
    <x v="0"/>
  </r>
  <r>
    <x v="118"/>
    <x v="0"/>
    <x v="0"/>
    <x v="0"/>
    <x v="0"/>
    <x v="0"/>
    <x v="0"/>
    <x v="0"/>
    <x v="0"/>
    <x v="0"/>
  </r>
  <r>
    <x v="119"/>
    <x v="0"/>
    <x v="0"/>
    <x v="0"/>
    <x v="0"/>
    <x v="0"/>
    <x v="0"/>
    <x v="0"/>
    <x v="0"/>
    <x v="0"/>
  </r>
  <r>
    <x v="120"/>
    <x v="0"/>
    <x v="0"/>
    <x v="0"/>
    <x v="0"/>
    <x v="0"/>
    <x v="0"/>
    <x v="0"/>
    <x v="0"/>
    <x v="0"/>
  </r>
  <r>
    <x v="121"/>
    <x v="0"/>
    <x v="0"/>
    <x v="0"/>
    <x v="0"/>
    <x v="0"/>
    <x v="0"/>
    <x v="0"/>
    <x v="0"/>
    <x v="0"/>
  </r>
  <r>
    <x v="122"/>
    <x v="0"/>
    <x v="0"/>
    <x v="0"/>
    <x v="0"/>
    <x v="0"/>
    <x v="0"/>
    <x v="0"/>
    <x v="0"/>
    <x v="0"/>
  </r>
  <r>
    <x v="123"/>
    <x v="0"/>
    <x v="0"/>
    <x v="0"/>
    <x v="0"/>
    <x v="0"/>
    <x v="0"/>
    <x v="0"/>
    <x v="0"/>
    <x v="0"/>
  </r>
  <r>
    <x v="124"/>
    <x v="0"/>
    <x v="0"/>
    <x v="0"/>
    <x v="0"/>
    <x v="0"/>
    <x v="0"/>
    <x v="0"/>
    <x v="0"/>
    <x v="0"/>
  </r>
  <r>
    <x v="125"/>
    <x v="0"/>
    <x v="0"/>
    <x v="0"/>
    <x v="0"/>
    <x v="0"/>
    <x v="0"/>
    <x v="0"/>
    <x v="0"/>
    <x v="0"/>
  </r>
  <r>
    <x v="126"/>
    <x v="0"/>
    <x v="0"/>
    <x v="0"/>
    <x v="0"/>
    <x v="0"/>
    <x v="0"/>
    <x v="0"/>
    <x v="0"/>
    <x v="0"/>
  </r>
  <r>
    <x v="127"/>
    <x v="0"/>
    <x v="0"/>
    <x v="0"/>
    <x v="0"/>
    <x v="0"/>
    <x v="0"/>
    <x v="0"/>
    <x v="0"/>
    <x v="0"/>
  </r>
  <r>
    <x v="128"/>
    <x v="0"/>
    <x v="0"/>
    <x v="0"/>
    <x v="0"/>
    <x v="0"/>
    <x v="0"/>
    <x v="0"/>
    <x v="0"/>
    <x v="0"/>
  </r>
  <r>
    <x v="129"/>
    <x v="0"/>
    <x v="0"/>
    <x v="0"/>
    <x v="0"/>
    <x v="0"/>
    <x v="0"/>
    <x v="0"/>
    <x v="0"/>
    <x v="0"/>
  </r>
  <r>
    <x v="130"/>
    <x v="0"/>
    <x v="0"/>
    <x v="0"/>
    <x v="0"/>
    <x v="0"/>
    <x v="0"/>
    <x v="0"/>
    <x v="0"/>
    <x v="0"/>
  </r>
  <r>
    <x v="131"/>
    <x v="0"/>
    <x v="0"/>
    <x v="0"/>
    <x v="0"/>
    <x v="0"/>
    <x v="0"/>
    <x v="0"/>
    <x v="0"/>
    <x v="0"/>
  </r>
  <r>
    <x v="132"/>
    <x v="0"/>
    <x v="0"/>
    <x v="0"/>
    <x v="0"/>
    <x v="0"/>
    <x v="0"/>
    <x v="0"/>
    <x v="0"/>
    <x v="0"/>
  </r>
  <r>
    <x v="133"/>
    <x v="0"/>
    <x v="0"/>
    <x v="0"/>
    <x v="0"/>
    <x v="0"/>
    <x v="0"/>
    <x v="0"/>
    <x v="0"/>
    <x v="0"/>
  </r>
  <r>
    <x v="134"/>
    <x v="0"/>
    <x v="0"/>
    <x v="0"/>
    <x v="0"/>
    <x v="0"/>
    <x v="0"/>
    <x v="0"/>
    <x v="0"/>
    <x v="0"/>
  </r>
  <r>
    <x v="135"/>
    <x v="0"/>
    <x v="0"/>
    <x v="0"/>
    <x v="0"/>
    <x v="0"/>
    <x v="0"/>
    <x v="0"/>
    <x v="0"/>
    <x v="0"/>
  </r>
  <r>
    <x v="136"/>
    <x v="0"/>
    <x v="0"/>
    <x v="0"/>
    <x v="0"/>
    <x v="0"/>
    <x v="0"/>
    <x v="0"/>
    <x v="0"/>
    <x v="0"/>
  </r>
  <r>
    <x v="137"/>
    <x v="0"/>
    <x v="0"/>
    <x v="0"/>
    <x v="0"/>
    <x v="0"/>
    <x v="0"/>
    <x v="0"/>
    <x v="0"/>
    <x v="0"/>
  </r>
  <r>
    <x v="138"/>
    <x v="0"/>
    <x v="0"/>
    <x v="0"/>
    <x v="0"/>
    <x v="0"/>
    <x v="0"/>
    <x v="0"/>
    <x v="0"/>
    <x v="0"/>
  </r>
  <r>
    <x v="139"/>
    <x v="0"/>
    <x v="0"/>
    <x v="0"/>
    <x v="0"/>
    <x v="0"/>
    <x v="0"/>
    <x v="0"/>
    <x v="0"/>
    <x v="0"/>
  </r>
  <r>
    <x v="140"/>
    <x v="0"/>
    <x v="0"/>
    <x v="0"/>
    <x v="0"/>
    <x v="0"/>
    <x v="0"/>
    <x v="0"/>
    <x v="0"/>
    <x v="0"/>
  </r>
  <r>
    <x v="141"/>
    <x v="0"/>
    <x v="0"/>
    <x v="0"/>
    <x v="0"/>
    <x v="0"/>
    <x v="0"/>
    <x v="0"/>
    <x v="0"/>
    <x v="0"/>
  </r>
  <r>
    <x v="142"/>
    <x v="0"/>
    <x v="0"/>
    <x v="0"/>
    <x v="0"/>
    <x v="0"/>
    <x v="0"/>
    <x v="0"/>
    <x v="0"/>
    <x v="0"/>
  </r>
  <r>
    <x v="143"/>
    <x v="0"/>
    <x v="0"/>
    <x v="0"/>
    <x v="0"/>
    <x v="0"/>
    <x v="0"/>
    <x v="0"/>
    <x v="0"/>
    <x v="0"/>
  </r>
  <r>
    <x v="144"/>
    <x v="0"/>
    <x v="0"/>
    <x v="0"/>
    <x v="0"/>
    <x v="0"/>
    <x v="0"/>
    <x v="0"/>
    <x v="0"/>
    <x v="0"/>
  </r>
  <r>
    <x v="145"/>
    <x v="0"/>
    <x v="0"/>
    <x v="0"/>
    <x v="0"/>
    <x v="0"/>
    <x v="0"/>
    <x v="0"/>
    <x v="0"/>
    <x v="0"/>
  </r>
  <r>
    <x v="146"/>
    <x v="0"/>
    <x v="0"/>
    <x v="0"/>
    <x v="0"/>
    <x v="0"/>
    <x v="0"/>
    <x v="0"/>
    <x v="0"/>
    <x v="0"/>
  </r>
  <r>
    <x v="147"/>
    <x v="0"/>
    <x v="0"/>
    <x v="0"/>
    <x v="0"/>
    <x v="0"/>
    <x v="0"/>
    <x v="0"/>
    <x v="0"/>
    <x v="0"/>
  </r>
  <r>
    <x v="148"/>
    <x v="0"/>
    <x v="0"/>
    <x v="0"/>
    <x v="0"/>
    <x v="0"/>
    <x v="0"/>
    <x v="0"/>
    <x v="0"/>
    <x v="0"/>
  </r>
  <r>
    <x v="149"/>
    <x v="0"/>
    <x v="0"/>
    <x v="0"/>
    <x v="0"/>
    <x v="0"/>
    <x v="0"/>
    <x v="0"/>
    <x v="0"/>
    <x v="0"/>
  </r>
  <r>
    <x v="150"/>
    <x v="0"/>
    <x v="0"/>
    <x v="0"/>
    <x v="0"/>
    <x v="0"/>
    <x v="0"/>
    <x v="0"/>
    <x v="0"/>
    <x v="0"/>
  </r>
  <r>
    <x v="151"/>
    <x v="0"/>
    <x v="0"/>
    <x v="0"/>
    <x v="0"/>
    <x v="0"/>
    <x v="0"/>
    <x v="0"/>
    <x v="0"/>
    <x v="0"/>
  </r>
  <r>
    <x v="152"/>
    <x v="0"/>
    <x v="0"/>
    <x v="0"/>
    <x v="0"/>
    <x v="0"/>
    <x v="0"/>
    <x v="0"/>
    <x v="0"/>
    <x v="0"/>
  </r>
  <r>
    <x v="153"/>
    <x v="0"/>
    <x v="0"/>
    <x v="0"/>
    <x v="0"/>
    <x v="0"/>
    <x v="0"/>
    <x v="0"/>
    <x v="0"/>
    <x v="0"/>
  </r>
  <r>
    <x v="154"/>
    <x v="0"/>
    <x v="0"/>
    <x v="0"/>
    <x v="0"/>
    <x v="0"/>
    <x v="0"/>
    <x v="0"/>
    <x v="0"/>
    <x v="0"/>
  </r>
  <r>
    <x v="155"/>
    <x v="0"/>
    <x v="0"/>
    <x v="0"/>
    <x v="0"/>
    <x v="0"/>
    <x v="0"/>
    <x v="0"/>
    <x v="0"/>
    <x v="0"/>
  </r>
  <r>
    <x v="156"/>
    <x v="0"/>
    <x v="0"/>
    <x v="0"/>
    <x v="0"/>
    <x v="0"/>
    <x v="0"/>
    <x v="0"/>
    <x v="0"/>
    <x v="0"/>
  </r>
  <r>
    <x v="157"/>
    <x v="0"/>
    <x v="0"/>
    <x v="0"/>
    <x v="0"/>
    <x v="0"/>
    <x v="0"/>
    <x v="0"/>
    <x v="0"/>
    <x v="0"/>
  </r>
  <r>
    <x v="158"/>
    <x v="0"/>
    <x v="0"/>
    <x v="0"/>
    <x v="0"/>
    <x v="0"/>
    <x v="0"/>
    <x v="0"/>
    <x v="0"/>
    <x v="0"/>
  </r>
  <r>
    <x v="159"/>
    <x v="0"/>
    <x v="0"/>
    <x v="0"/>
    <x v="0"/>
    <x v="0"/>
    <x v="0"/>
    <x v="0"/>
    <x v="0"/>
    <x v="0"/>
  </r>
  <r>
    <x v="160"/>
    <x v="0"/>
    <x v="0"/>
    <x v="0"/>
    <x v="0"/>
    <x v="0"/>
    <x v="0"/>
    <x v="0"/>
    <x v="0"/>
    <x v="0"/>
  </r>
  <r>
    <x v="161"/>
    <x v="0"/>
    <x v="0"/>
    <x v="0"/>
    <x v="0"/>
    <x v="0"/>
    <x v="0"/>
    <x v="0"/>
    <x v="0"/>
    <x v="0"/>
  </r>
  <r>
    <x v="162"/>
    <x v="0"/>
    <x v="0"/>
    <x v="0"/>
    <x v="0"/>
    <x v="0"/>
    <x v="0"/>
    <x v="0"/>
    <x v="0"/>
    <x v="0"/>
  </r>
  <r>
    <x v="163"/>
    <x v="0"/>
    <x v="0"/>
    <x v="0"/>
    <x v="0"/>
    <x v="0"/>
    <x v="0"/>
    <x v="0"/>
    <x v="0"/>
    <x v="0"/>
  </r>
  <r>
    <x v="164"/>
    <x v="0"/>
    <x v="0"/>
    <x v="0"/>
    <x v="0"/>
    <x v="0"/>
    <x v="0"/>
    <x v="0"/>
    <x v="0"/>
    <x v="0"/>
  </r>
  <r>
    <x v="165"/>
    <x v="0"/>
    <x v="0"/>
    <x v="0"/>
    <x v="0"/>
    <x v="0"/>
    <x v="0"/>
    <x v="0"/>
    <x v="0"/>
    <x v="0"/>
  </r>
  <r>
    <x v="166"/>
    <x v="0"/>
    <x v="0"/>
    <x v="0"/>
    <x v="0"/>
    <x v="0"/>
    <x v="0"/>
    <x v="0"/>
    <x v="0"/>
    <x v="0"/>
  </r>
  <r>
    <x v="167"/>
    <x v="0"/>
    <x v="0"/>
    <x v="0"/>
    <x v="0"/>
    <x v="0"/>
    <x v="0"/>
    <x v="0"/>
    <x v="0"/>
    <x v="0"/>
  </r>
  <r>
    <x v="168"/>
    <x v="0"/>
    <x v="0"/>
    <x v="0"/>
    <x v="0"/>
    <x v="0"/>
    <x v="0"/>
    <x v="0"/>
    <x v="0"/>
    <x v="0"/>
  </r>
  <r>
    <x v="169"/>
    <x v="0"/>
    <x v="0"/>
    <x v="0"/>
    <x v="0"/>
    <x v="0"/>
    <x v="0"/>
    <x v="0"/>
    <x v="0"/>
    <x v="0"/>
  </r>
  <r>
    <x v="170"/>
    <x v="0"/>
    <x v="0"/>
    <x v="0"/>
    <x v="0"/>
    <x v="0"/>
    <x v="0"/>
    <x v="0"/>
    <x v="0"/>
    <x v="0"/>
  </r>
  <r>
    <x v="171"/>
    <x v="0"/>
    <x v="0"/>
    <x v="0"/>
    <x v="0"/>
    <x v="0"/>
    <x v="0"/>
    <x v="0"/>
    <x v="0"/>
    <x v="0"/>
  </r>
  <r>
    <x v="172"/>
    <x v="0"/>
    <x v="0"/>
    <x v="0"/>
    <x v="0"/>
    <x v="0"/>
    <x v="0"/>
    <x v="0"/>
    <x v="0"/>
    <x v="0"/>
  </r>
  <r>
    <x v="173"/>
    <x v="0"/>
    <x v="0"/>
    <x v="0"/>
    <x v="0"/>
    <x v="0"/>
    <x v="0"/>
    <x v="0"/>
    <x v="0"/>
    <x v="0"/>
  </r>
  <r>
    <x v="174"/>
    <x v="0"/>
    <x v="0"/>
    <x v="0"/>
    <x v="0"/>
    <x v="0"/>
    <x v="0"/>
    <x v="0"/>
    <x v="0"/>
    <x v="0"/>
  </r>
  <r>
    <x v="175"/>
    <x v="0"/>
    <x v="0"/>
    <x v="0"/>
    <x v="0"/>
    <x v="0"/>
    <x v="0"/>
    <x v="0"/>
    <x v="0"/>
    <x v="0"/>
  </r>
  <r>
    <x v="176"/>
    <x v="0"/>
    <x v="0"/>
    <x v="0"/>
    <x v="0"/>
    <x v="0"/>
    <x v="0"/>
    <x v="0"/>
    <x v="0"/>
    <x v="0"/>
  </r>
  <r>
    <x v="177"/>
    <x v="0"/>
    <x v="0"/>
    <x v="0"/>
    <x v="0"/>
    <x v="0"/>
    <x v="0"/>
    <x v="0"/>
    <x v="0"/>
    <x v="0"/>
  </r>
  <r>
    <x v="178"/>
    <x v="0"/>
    <x v="0"/>
    <x v="0"/>
    <x v="0"/>
    <x v="0"/>
    <x v="0"/>
    <x v="0"/>
    <x v="0"/>
    <x v="0"/>
  </r>
  <r>
    <x v="179"/>
    <x v="0"/>
    <x v="0"/>
    <x v="0"/>
    <x v="0"/>
    <x v="0"/>
    <x v="0"/>
    <x v="0"/>
    <x v="0"/>
    <x v="0"/>
  </r>
  <r>
    <x v="180"/>
    <x v="0"/>
    <x v="0"/>
    <x v="0"/>
    <x v="0"/>
    <x v="0"/>
    <x v="0"/>
    <x v="0"/>
    <x v="0"/>
    <x v="0"/>
  </r>
  <r>
    <x v="181"/>
    <x v="0"/>
    <x v="0"/>
    <x v="0"/>
    <x v="0"/>
    <x v="0"/>
    <x v="0"/>
    <x v="0"/>
    <x v="0"/>
    <x v="0"/>
  </r>
  <r>
    <x v="182"/>
    <x v="0"/>
    <x v="0"/>
    <x v="0"/>
    <x v="0"/>
    <x v="0"/>
    <x v="0"/>
    <x v="0"/>
    <x v="0"/>
    <x v="0"/>
  </r>
  <r>
    <x v="183"/>
    <x v="0"/>
    <x v="0"/>
    <x v="0"/>
    <x v="0"/>
    <x v="0"/>
    <x v="0"/>
    <x v="0"/>
    <x v="0"/>
    <x v="0"/>
  </r>
  <r>
    <x v="184"/>
    <x v="0"/>
    <x v="0"/>
    <x v="0"/>
    <x v="0"/>
    <x v="0"/>
    <x v="0"/>
    <x v="0"/>
    <x v="0"/>
    <x v="0"/>
  </r>
  <r>
    <x v="185"/>
    <x v="0"/>
    <x v="0"/>
    <x v="0"/>
    <x v="0"/>
    <x v="0"/>
    <x v="0"/>
    <x v="0"/>
    <x v="0"/>
    <x v="0"/>
  </r>
  <r>
    <x v="186"/>
    <x v="0"/>
    <x v="0"/>
    <x v="0"/>
    <x v="0"/>
    <x v="0"/>
    <x v="0"/>
    <x v="0"/>
    <x v="0"/>
    <x v="0"/>
  </r>
  <r>
    <x v="187"/>
    <x v="0"/>
    <x v="0"/>
    <x v="0"/>
    <x v="0"/>
    <x v="0"/>
    <x v="0"/>
    <x v="0"/>
    <x v="0"/>
    <x v="0"/>
  </r>
  <r>
    <x v="188"/>
    <x v="0"/>
    <x v="0"/>
    <x v="0"/>
    <x v="0"/>
    <x v="0"/>
    <x v="0"/>
    <x v="0"/>
    <x v="0"/>
    <x v="0"/>
  </r>
  <r>
    <x v="189"/>
    <x v="0"/>
    <x v="0"/>
    <x v="0"/>
    <x v="0"/>
    <x v="0"/>
    <x v="0"/>
    <x v="0"/>
    <x v="0"/>
    <x v="0"/>
  </r>
  <r>
    <x v="190"/>
    <x v="0"/>
    <x v="0"/>
    <x v="0"/>
    <x v="0"/>
    <x v="0"/>
    <x v="0"/>
    <x v="0"/>
    <x v="0"/>
    <x v="0"/>
  </r>
  <r>
    <x v="191"/>
    <x v="0"/>
    <x v="0"/>
    <x v="0"/>
    <x v="0"/>
    <x v="0"/>
    <x v="0"/>
    <x v="0"/>
    <x v="0"/>
    <x v="0"/>
  </r>
  <r>
    <x v="192"/>
    <x v="0"/>
    <x v="0"/>
    <x v="0"/>
    <x v="0"/>
    <x v="0"/>
    <x v="0"/>
    <x v="0"/>
    <x v="0"/>
    <x v="0"/>
  </r>
  <r>
    <x v="193"/>
    <x v="0"/>
    <x v="0"/>
    <x v="0"/>
    <x v="0"/>
    <x v="0"/>
    <x v="0"/>
    <x v="0"/>
    <x v="0"/>
    <x v="0"/>
  </r>
  <r>
    <x v="194"/>
    <x v="0"/>
    <x v="0"/>
    <x v="0"/>
    <x v="0"/>
    <x v="0"/>
    <x v="0"/>
    <x v="0"/>
    <x v="0"/>
    <x v="0"/>
  </r>
  <r>
    <x v="195"/>
    <x v="0"/>
    <x v="0"/>
    <x v="0"/>
    <x v="0"/>
    <x v="0"/>
    <x v="0"/>
    <x v="0"/>
    <x v="0"/>
    <x v="0"/>
  </r>
  <r>
    <x v="196"/>
    <x v="0"/>
    <x v="0"/>
    <x v="0"/>
    <x v="0"/>
    <x v="0"/>
    <x v="0"/>
    <x v="0"/>
    <x v="0"/>
    <x v="0"/>
  </r>
  <r>
    <x v="197"/>
    <x v="0"/>
    <x v="0"/>
    <x v="0"/>
    <x v="0"/>
    <x v="0"/>
    <x v="0"/>
    <x v="0"/>
    <x v="0"/>
    <x v="0"/>
  </r>
  <r>
    <x v="198"/>
    <x v="0"/>
    <x v="0"/>
    <x v="0"/>
    <x v="0"/>
    <x v="0"/>
    <x v="0"/>
    <x v="0"/>
    <x v="0"/>
    <x v="0"/>
  </r>
  <r>
    <x v="199"/>
    <x v="0"/>
    <x v="0"/>
    <x v="0"/>
    <x v="0"/>
    <x v="0"/>
    <x v="0"/>
    <x v="0"/>
    <x v="0"/>
    <x v="0"/>
  </r>
  <r>
    <x v="200"/>
    <x v="0"/>
    <x v="0"/>
    <x v="0"/>
    <x v="0"/>
    <x v="0"/>
    <x v="0"/>
    <x v="0"/>
    <x v="0"/>
    <x v="0"/>
  </r>
  <r>
    <x v="201"/>
    <x v="0"/>
    <x v="0"/>
    <x v="0"/>
    <x v="0"/>
    <x v="0"/>
    <x v="0"/>
    <x v="0"/>
    <x v="0"/>
    <x v="0"/>
  </r>
  <r>
    <x v="202"/>
    <x v="0"/>
    <x v="0"/>
    <x v="0"/>
    <x v="0"/>
    <x v="0"/>
    <x v="0"/>
    <x v="0"/>
    <x v="0"/>
    <x v="0"/>
  </r>
  <r>
    <x v="203"/>
    <x v="0"/>
    <x v="0"/>
    <x v="0"/>
    <x v="0"/>
    <x v="0"/>
    <x v="0"/>
    <x v="0"/>
    <x v="0"/>
    <x v="0"/>
  </r>
  <r>
    <x v="204"/>
    <x v="0"/>
    <x v="0"/>
    <x v="0"/>
    <x v="0"/>
    <x v="0"/>
    <x v="0"/>
    <x v="0"/>
    <x v="0"/>
    <x v="0"/>
  </r>
  <r>
    <x v="205"/>
    <x v="0"/>
    <x v="0"/>
    <x v="0"/>
    <x v="0"/>
    <x v="0"/>
    <x v="0"/>
    <x v="0"/>
    <x v="0"/>
    <x v="0"/>
  </r>
  <r>
    <x v="206"/>
    <x v="0"/>
    <x v="0"/>
    <x v="0"/>
    <x v="0"/>
    <x v="0"/>
    <x v="0"/>
    <x v="0"/>
    <x v="0"/>
    <x v="0"/>
  </r>
  <r>
    <x v="207"/>
    <x v="0"/>
    <x v="0"/>
    <x v="0"/>
    <x v="0"/>
    <x v="0"/>
    <x v="0"/>
    <x v="0"/>
    <x v="0"/>
    <x v="0"/>
  </r>
  <r>
    <x v="208"/>
    <x v="0"/>
    <x v="0"/>
    <x v="0"/>
    <x v="0"/>
    <x v="0"/>
    <x v="0"/>
    <x v="0"/>
    <x v="0"/>
    <x v="0"/>
  </r>
  <r>
    <x v="209"/>
    <x v="0"/>
    <x v="0"/>
    <x v="0"/>
    <x v="0"/>
    <x v="0"/>
    <x v="0"/>
    <x v="0"/>
    <x v="0"/>
    <x v="0"/>
  </r>
  <r>
    <x v="210"/>
    <x v="0"/>
    <x v="0"/>
    <x v="0"/>
    <x v="0"/>
    <x v="0"/>
    <x v="0"/>
    <x v="0"/>
    <x v="0"/>
    <x v="0"/>
  </r>
  <r>
    <x v="211"/>
    <x v="0"/>
    <x v="0"/>
    <x v="0"/>
    <x v="0"/>
    <x v="0"/>
    <x v="0"/>
    <x v="0"/>
    <x v="0"/>
    <x v="0"/>
  </r>
  <r>
    <x v="212"/>
    <x v="0"/>
    <x v="0"/>
    <x v="0"/>
    <x v="0"/>
    <x v="0"/>
    <x v="0"/>
    <x v="0"/>
    <x v="0"/>
    <x v="0"/>
  </r>
  <r>
    <x v="213"/>
    <x v="0"/>
    <x v="0"/>
    <x v="0"/>
    <x v="0"/>
    <x v="0"/>
    <x v="0"/>
    <x v="0"/>
    <x v="0"/>
    <x v="0"/>
  </r>
  <r>
    <x v="214"/>
    <x v="0"/>
    <x v="0"/>
    <x v="0"/>
    <x v="0"/>
    <x v="0"/>
    <x v="0"/>
    <x v="0"/>
    <x v="0"/>
    <x v="0"/>
  </r>
  <r>
    <x v="215"/>
    <x v="0"/>
    <x v="0"/>
    <x v="0"/>
    <x v="0"/>
    <x v="0"/>
    <x v="0"/>
    <x v="0"/>
    <x v="0"/>
    <x v="0"/>
  </r>
  <r>
    <x v="216"/>
    <x v="0"/>
    <x v="0"/>
    <x v="0"/>
    <x v="0"/>
    <x v="0"/>
    <x v="0"/>
    <x v="0"/>
    <x v="0"/>
    <x v="0"/>
  </r>
  <r>
    <x v="217"/>
    <x v="0"/>
    <x v="0"/>
    <x v="0"/>
    <x v="0"/>
    <x v="0"/>
    <x v="0"/>
    <x v="0"/>
    <x v="0"/>
    <x v="0"/>
  </r>
  <r>
    <x v="218"/>
    <x v="0"/>
    <x v="0"/>
    <x v="0"/>
    <x v="0"/>
    <x v="0"/>
    <x v="0"/>
    <x v="0"/>
    <x v="0"/>
    <x v="0"/>
  </r>
  <r>
    <x v="219"/>
    <x v="0"/>
    <x v="0"/>
    <x v="0"/>
    <x v="0"/>
    <x v="0"/>
    <x v="0"/>
    <x v="0"/>
    <x v="0"/>
    <x v="0"/>
  </r>
  <r>
    <x v="220"/>
    <x v="0"/>
    <x v="0"/>
    <x v="0"/>
    <x v="0"/>
    <x v="0"/>
    <x v="0"/>
    <x v="0"/>
    <x v="0"/>
    <x v="0"/>
  </r>
  <r>
    <x v="221"/>
    <x v="0"/>
    <x v="0"/>
    <x v="0"/>
    <x v="0"/>
    <x v="0"/>
    <x v="0"/>
    <x v="0"/>
    <x v="0"/>
    <x v="0"/>
  </r>
  <r>
    <x v="222"/>
    <x v="0"/>
    <x v="0"/>
    <x v="0"/>
    <x v="0"/>
    <x v="0"/>
    <x v="0"/>
    <x v="0"/>
    <x v="0"/>
    <x v="0"/>
  </r>
  <r>
    <x v="223"/>
    <x v="0"/>
    <x v="0"/>
    <x v="0"/>
    <x v="0"/>
    <x v="0"/>
    <x v="0"/>
    <x v="0"/>
    <x v="0"/>
    <x v="0"/>
  </r>
  <r>
    <x v="224"/>
    <x v="0"/>
    <x v="0"/>
    <x v="0"/>
    <x v="0"/>
    <x v="0"/>
    <x v="0"/>
    <x v="0"/>
    <x v="0"/>
    <x v="0"/>
  </r>
  <r>
    <x v="225"/>
    <x v="0"/>
    <x v="0"/>
    <x v="0"/>
    <x v="0"/>
    <x v="0"/>
    <x v="0"/>
    <x v="0"/>
    <x v="0"/>
    <x v="0"/>
  </r>
  <r>
    <x v="226"/>
    <x v="0"/>
    <x v="0"/>
    <x v="0"/>
    <x v="0"/>
    <x v="0"/>
    <x v="0"/>
    <x v="0"/>
    <x v="0"/>
    <x v="0"/>
  </r>
  <r>
    <x v="227"/>
    <x v="0"/>
    <x v="0"/>
    <x v="0"/>
    <x v="0"/>
    <x v="0"/>
    <x v="0"/>
    <x v="0"/>
    <x v="0"/>
    <x v="0"/>
  </r>
  <r>
    <x v="228"/>
    <x v="0"/>
    <x v="0"/>
    <x v="0"/>
    <x v="0"/>
    <x v="0"/>
    <x v="0"/>
    <x v="0"/>
    <x v="0"/>
    <x v="0"/>
  </r>
  <r>
    <x v="229"/>
    <x v="0"/>
    <x v="0"/>
    <x v="0"/>
    <x v="0"/>
    <x v="0"/>
    <x v="0"/>
    <x v="0"/>
    <x v="0"/>
    <x v="0"/>
  </r>
  <r>
    <x v="230"/>
    <x v="0"/>
    <x v="0"/>
    <x v="0"/>
    <x v="0"/>
    <x v="0"/>
    <x v="0"/>
    <x v="0"/>
    <x v="0"/>
    <x v="0"/>
  </r>
  <r>
    <x v="231"/>
    <x v="0"/>
    <x v="0"/>
    <x v="0"/>
    <x v="0"/>
    <x v="0"/>
    <x v="0"/>
    <x v="0"/>
    <x v="0"/>
    <x v="0"/>
  </r>
  <r>
    <x v="232"/>
    <x v="0"/>
    <x v="0"/>
    <x v="0"/>
    <x v="0"/>
    <x v="0"/>
    <x v="0"/>
    <x v="0"/>
    <x v="0"/>
    <x v="0"/>
  </r>
  <r>
    <x v="233"/>
    <x v="0"/>
    <x v="0"/>
    <x v="0"/>
    <x v="0"/>
    <x v="0"/>
    <x v="0"/>
    <x v="0"/>
    <x v="0"/>
    <x v="0"/>
  </r>
  <r>
    <x v="234"/>
    <x v="0"/>
    <x v="0"/>
    <x v="0"/>
    <x v="0"/>
    <x v="0"/>
    <x v="0"/>
    <x v="0"/>
    <x v="0"/>
    <x v="0"/>
  </r>
  <r>
    <x v="235"/>
    <x v="0"/>
    <x v="0"/>
    <x v="0"/>
    <x v="0"/>
    <x v="0"/>
    <x v="0"/>
    <x v="0"/>
    <x v="0"/>
    <x v="0"/>
  </r>
  <r>
    <x v="236"/>
    <x v="0"/>
    <x v="0"/>
    <x v="0"/>
    <x v="0"/>
    <x v="0"/>
    <x v="0"/>
    <x v="0"/>
    <x v="0"/>
    <x v="0"/>
  </r>
  <r>
    <x v="237"/>
    <x v="0"/>
    <x v="0"/>
    <x v="0"/>
    <x v="0"/>
    <x v="0"/>
    <x v="0"/>
    <x v="0"/>
    <x v="0"/>
    <x v="0"/>
  </r>
  <r>
    <x v="238"/>
    <x v="0"/>
    <x v="0"/>
    <x v="0"/>
    <x v="0"/>
    <x v="0"/>
    <x v="0"/>
    <x v="0"/>
    <x v="0"/>
    <x v="0"/>
  </r>
  <r>
    <x v="239"/>
    <x v="0"/>
    <x v="0"/>
    <x v="0"/>
    <x v="0"/>
    <x v="0"/>
    <x v="0"/>
    <x v="0"/>
    <x v="0"/>
    <x v="0"/>
  </r>
  <r>
    <x v="240"/>
    <x v="0"/>
    <x v="0"/>
    <x v="0"/>
    <x v="0"/>
    <x v="0"/>
    <x v="0"/>
    <x v="0"/>
    <x v="0"/>
    <x v="0"/>
  </r>
  <r>
    <x v="241"/>
    <x v="0"/>
    <x v="0"/>
    <x v="0"/>
    <x v="0"/>
    <x v="0"/>
    <x v="0"/>
    <x v="0"/>
    <x v="0"/>
    <x v="0"/>
  </r>
  <r>
    <x v="242"/>
    <x v="0"/>
    <x v="0"/>
    <x v="0"/>
    <x v="0"/>
    <x v="0"/>
    <x v="0"/>
    <x v="0"/>
    <x v="0"/>
    <x v="0"/>
  </r>
  <r>
    <x v="243"/>
    <x v="0"/>
    <x v="0"/>
    <x v="0"/>
    <x v="0"/>
    <x v="0"/>
    <x v="0"/>
    <x v="0"/>
    <x v="0"/>
    <x v="0"/>
  </r>
  <r>
    <x v="244"/>
    <x v="0"/>
    <x v="0"/>
    <x v="0"/>
    <x v="0"/>
    <x v="0"/>
    <x v="0"/>
    <x v="0"/>
    <x v="0"/>
    <x v="0"/>
  </r>
  <r>
    <x v="245"/>
    <x v="0"/>
    <x v="0"/>
    <x v="0"/>
    <x v="0"/>
    <x v="0"/>
    <x v="0"/>
    <x v="0"/>
    <x v="0"/>
    <x v="0"/>
  </r>
  <r>
    <x v="246"/>
    <x v="0"/>
    <x v="0"/>
    <x v="0"/>
    <x v="0"/>
    <x v="0"/>
    <x v="0"/>
    <x v="0"/>
    <x v="0"/>
    <x v="0"/>
  </r>
  <r>
    <x v="247"/>
    <x v="0"/>
    <x v="0"/>
    <x v="0"/>
    <x v="0"/>
    <x v="0"/>
    <x v="0"/>
    <x v="0"/>
    <x v="0"/>
    <x v="0"/>
  </r>
  <r>
    <x v="248"/>
    <x v="0"/>
    <x v="0"/>
    <x v="0"/>
    <x v="0"/>
    <x v="0"/>
    <x v="0"/>
    <x v="0"/>
    <x v="0"/>
    <x v="0"/>
  </r>
  <r>
    <x v="249"/>
    <x v="0"/>
    <x v="0"/>
    <x v="0"/>
    <x v="0"/>
    <x v="0"/>
    <x v="0"/>
    <x v="0"/>
    <x v="0"/>
    <x v="0"/>
  </r>
  <r>
    <x v="250"/>
    <x v="0"/>
    <x v="0"/>
    <x v="0"/>
    <x v="0"/>
    <x v="0"/>
    <x v="0"/>
    <x v="0"/>
    <x v="0"/>
    <x v="0"/>
  </r>
  <r>
    <x v="251"/>
    <x v="0"/>
    <x v="0"/>
    <x v="0"/>
    <x v="0"/>
    <x v="0"/>
    <x v="0"/>
    <x v="0"/>
    <x v="0"/>
    <x v="0"/>
  </r>
  <r>
    <x v="252"/>
    <x v="0"/>
    <x v="0"/>
    <x v="0"/>
    <x v="0"/>
    <x v="0"/>
    <x v="0"/>
    <x v="0"/>
    <x v="0"/>
    <x v="0"/>
  </r>
  <r>
    <x v="253"/>
    <x v="0"/>
    <x v="0"/>
    <x v="0"/>
    <x v="0"/>
    <x v="0"/>
    <x v="0"/>
    <x v="0"/>
    <x v="0"/>
    <x v="0"/>
  </r>
  <r>
    <x v="254"/>
    <x v="0"/>
    <x v="0"/>
    <x v="0"/>
    <x v="0"/>
    <x v="0"/>
    <x v="0"/>
    <x v="0"/>
    <x v="0"/>
    <x v="0"/>
  </r>
  <r>
    <x v="255"/>
    <x v="0"/>
    <x v="0"/>
    <x v="0"/>
    <x v="0"/>
    <x v="0"/>
    <x v="0"/>
    <x v="0"/>
    <x v="0"/>
    <x v="0"/>
  </r>
  <r>
    <x v="256"/>
    <x v="0"/>
    <x v="0"/>
    <x v="0"/>
    <x v="0"/>
    <x v="0"/>
    <x v="0"/>
    <x v="0"/>
    <x v="0"/>
    <x v="0"/>
  </r>
  <r>
    <x v="257"/>
    <x v="0"/>
    <x v="0"/>
    <x v="0"/>
    <x v="0"/>
    <x v="0"/>
    <x v="0"/>
    <x v="0"/>
    <x v="0"/>
    <x v="0"/>
  </r>
  <r>
    <x v="258"/>
    <x v="0"/>
    <x v="0"/>
    <x v="0"/>
    <x v="0"/>
    <x v="0"/>
    <x v="0"/>
    <x v="0"/>
    <x v="0"/>
    <x v="0"/>
  </r>
  <r>
    <x v="259"/>
    <x v="0"/>
    <x v="0"/>
    <x v="0"/>
    <x v="0"/>
    <x v="0"/>
    <x v="0"/>
    <x v="0"/>
    <x v="0"/>
    <x v="0"/>
  </r>
  <r>
    <x v="260"/>
    <x v="0"/>
    <x v="0"/>
    <x v="0"/>
    <x v="0"/>
    <x v="0"/>
    <x v="0"/>
    <x v="0"/>
    <x v="0"/>
    <x v="0"/>
  </r>
  <r>
    <x v="261"/>
    <x v="0"/>
    <x v="0"/>
    <x v="0"/>
    <x v="0"/>
    <x v="0"/>
    <x v="0"/>
    <x v="0"/>
    <x v="0"/>
    <x v="0"/>
  </r>
  <r>
    <x v="262"/>
    <x v="0"/>
    <x v="0"/>
    <x v="0"/>
    <x v="0"/>
    <x v="0"/>
    <x v="0"/>
    <x v="0"/>
    <x v="0"/>
    <x v="0"/>
  </r>
  <r>
    <x v="263"/>
    <x v="0"/>
    <x v="0"/>
    <x v="0"/>
    <x v="0"/>
    <x v="0"/>
    <x v="0"/>
    <x v="0"/>
    <x v="0"/>
    <x v="0"/>
  </r>
  <r>
    <x v="264"/>
    <x v="0"/>
    <x v="0"/>
    <x v="0"/>
    <x v="0"/>
    <x v="0"/>
    <x v="0"/>
    <x v="0"/>
    <x v="0"/>
    <x v="0"/>
  </r>
  <r>
    <x v="265"/>
    <x v="0"/>
    <x v="0"/>
    <x v="0"/>
    <x v="0"/>
    <x v="0"/>
    <x v="0"/>
    <x v="0"/>
    <x v="0"/>
    <x v="0"/>
  </r>
  <r>
    <x v="266"/>
    <x v="0"/>
    <x v="0"/>
    <x v="0"/>
    <x v="0"/>
    <x v="0"/>
    <x v="0"/>
    <x v="0"/>
    <x v="0"/>
    <x v="0"/>
  </r>
  <r>
    <x v="267"/>
    <x v="0"/>
    <x v="0"/>
    <x v="0"/>
    <x v="0"/>
    <x v="0"/>
    <x v="0"/>
    <x v="0"/>
    <x v="0"/>
    <x v="0"/>
  </r>
  <r>
    <x v="268"/>
    <x v="0"/>
    <x v="0"/>
    <x v="0"/>
    <x v="0"/>
    <x v="0"/>
    <x v="0"/>
    <x v="0"/>
    <x v="0"/>
    <x v="0"/>
  </r>
  <r>
    <x v="269"/>
    <x v="0"/>
    <x v="0"/>
    <x v="0"/>
    <x v="0"/>
    <x v="0"/>
    <x v="0"/>
    <x v="0"/>
    <x v="0"/>
    <x v="0"/>
  </r>
  <r>
    <x v="270"/>
    <x v="0"/>
    <x v="0"/>
    <x v="0"/>
    <x v="0"/>
    <x v="0"/>
    <x v="0"/>
    <x v="0"/>
    <x v="0"/>
    <x v="0"/>
  </r>
  <r>
    <x v="271"/>
    <x v="0"/>
    <x v="0"/>
    <x v="0"/>
    <x v="0"/>
    <x v="0"/>
    <x v="0"/>
    <x v="0"/>
    <x v="0"/>
    <x v="0"/>
  </r>
  <r>
    <x v="272"/>
    <x v="0"/>
    <x v="0"/>
    <x v="0"/>
    <x v="0"/>
    <x v="0"/>
    <x v="0"/>
    <x v="0"/>
    <x v="0"/>
    <x v="0"/>
  </r>
  <r>
    <x v="273"/>
    <x v="0"/>
    <x v="0"/>
    <x v="0"/>
    <x v="0"/>
    <x v="0"/>
    <x v="0"/>
    <x v="0"/>
    <x v="0"/>
    <x v="0"/>
  </r>
  <r>
    <x v="274"/>
    <x v="0"/>
    <x v="0"/>
    <x v="0"/>
    <x v="0"/>
    <x v="0"/>
    <x v="0"/>
    <x v="0"/>
    <x v="0"/>
    <x v="0"/>
  </r>
  <r>
    <x v="275"/>
    <x v="0"/>
    <x v="0"/>
    <x v="0"/>
    <x v="0"/>
    <x v="0"/>
    <x v="0"/>
    <x v="0"/>
    <x v="0"/>
    <x v="0"/>
  </r>
  <r>
    <x v="276"/>
    <x v="0"/>
    <x v="0"/>
    <x v="0"/>
    <x v="0"/>
    <x v="0"/>
    <x v="0"/>
    <x v="0"/>
    <x v="0"/>
    <x v="0"/>
  </r>
  <r>
    <x v="277"/>
    <x v="0"/>
    <x v="0"/>
    <x v="0"/>
    <x v="0"/>
    <x v="0"/>
    <x v="0"/>
    <x v="0"/>
    <x v="0"/>
    <x v="0"/>
  </r>
  <r>
    <x v="278"/>
    <x v="0"/>
    <x v="0"/>
    <x v="0"/>
    <x v="0"/>
    <x v="0"/>
    <x v="0"/>
    <x v="0"/>
    <x v="0"/>
    <x v="0"/>
  </r>
  <r>
    <x v="279"/>
    <x v="0"/>
    <x v="0"/>
    <x v="0"/>
    <x v="0"/>
    <x v="0"/>
    <x v="0"/>
    <x v="0"/>
    <x v="0"/>
    <x v="0"/>
  </r>
  <r>
    <x v="280"/>
    <x v="0"/>
    <x v="0"/>
    <x v="0"/>
    <x v="0"/>
    <x v="0"/>
    <x v="0"/>
    <x v="0"/>
    <x v="0"/>
    <x v="0"/>
  </r>
  <r>
    <x v="281"/>
    <x v="0"/>
    <x v="0"/>
    <x v="0"/>
    <x v="0"/>
    <x v="0"/>
    <x v="0"/>
    <x v="0"/>
    <x v="0"/>
    <x v="0"/>
  </r>
  <r>
    <x v="282"/>
    <x v="0"/>
    <x v="0"/>
    <x v="0"/>
    <x v="0"/>
    <x v="0"/>
    <x v="0"/>
    <x v="0"/>
    <x v="0"/>
    <x v="0"/>
  </r>
  <r>
    <x v="283"/>
    <x v="0"/>
    <x v="0"/>
    <x v="0"/>
    <x v="0"/>
    <x v="0"/>
    <x v="0"/>
    <x v="0"/>
    <x v="0"/>
    <x v="0"/>
  </r>
  <r>
    <x v="284"/>
    <x v="0"/>
    <x v="0"/>
    <x v="0"/>
    <x v="0"/>
    <x v="0"/>
    <x v="0"/>
    <x v="0"/>
    <x v="0"/>
    <x v="0"/>
  </r>
  <r>
    <x v="285"/>
    <x v="0"/>
    <x v="0"/>
    <x v="0"/>
    <x v="0"/>
    <x v="0"/>
    <x v="0"/>
    <x v="0"/>
    <x v="0"/>
    <x v="0"/>
  </r>
  <r>
    <x v="286"/>
    <x v="0"/>
    <x v="0"/>
    <x v="0"/>
    <x v="0"/>
    <x v="0"/>
    <x v="0"/>
    <x v="0"/>
    <x v="0"/>
    <x v="0"/>
  </r>
  <r>
    <x v="287"/>
    <x v="0"/>
    <x v="0"/>
    <x v="0"/>
    <x v="0"/>
    <x v="0"/>
    <x v="0"/>
    <x v="0"/>
    <x v="0"/>
    <x v="0"/>
  </r>
  <r>
    <x v="288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AEE6C-FAB7-4D73-ADB9-CBD96839FC49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C9" firstHeaderRow="0" firstDataRow="1" firstDataCol="1" rowPageCount="2" colPageCount="1"/>
  <pivotFields count="12"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>
      <items count="4">
        <item x="2"/>
        <item x="1"/>
        <item x="0"/>
        <item t="default"/>
      </items>
    </pivotField>
    <pivotField axis="axisPage" dataField="1" multipleItemSelectionAllowed="1" showAll="0">
      <items count="3">
        <item x="1"/>
        <item h="1" x="0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h="1" x="0"/>
        <item t="default"/>
      </items>
    </pivotField>
    <pivotField showAll="0">
      <items count="3">
        <item x="1"/>
        <item h="1" x="0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multipleItemSelectionAllowed="1" showAll="0">
      <items count="28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h="1" sd="0" x="26"/>
        <item t="default"/>
      </items>
    </pivotField>
  </pivotFields>
  <rowFields count="1">
    <field x="0"/>
  </rowFields>
  <rowItems count="5"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pageFields count="2">
    <pageField fld="11" hier="-1"/>
    <pageField fld="2" hier="-1"/>
  </pageFields>
  <dataFields count="2">
    <dataField name="Sum of Lost Time Incident Frequency - Monthly Rate" fld="1" baseField="0" baseItem="0"/>
    <dataField name="Sum of Monthly Number  - Cumulative Year Rat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fna@k2managemen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69795-46A8-49DC-91D7-D58D92A138DB}">
  <sheetPr codeName="Sheet2"/>
  <dimension ref="A1:V46"/>
  <sheetViews>
    <sheetView tabSelected="1" zoomScale="85" zoomScaleNormal="85" workbookViewId="0">
      <selection activeCell="H20" sqref="H20"/>
    </sheetView>
  </sheetViews>
  <sheetFormatPr defaultColWidth="0" defaultRowHeight="15" zeroHeight="1"/>
  <cols>
    <col min="1" max="2" width="3.7109375" style="15" customWidth="1"/>
    <col min="3" max="3" width="41.85546875" style="15" customWidth="1"/>
    <col min="4" max="4" width="43.28515625" style="15" customWidth="1"/>
    <col min="5" max="5" width="4.140625" style="15" customWidth="1"/>
    <col min="6" max="6" width="9.28515625" style="15" customWidth="1"/>
    <col min="7" max="7" width="5.7109375" style="15" customWidth="1"/>
    <col min="8" max="8" width="3.28515625" style="15" customWidth="1"/>
    <col min="9" max="9" width="19.85546875" style="15" customWidth="1"/>
    <col min="10" max="14" width="9.140625" style="15" hidden="1" customWidth="1"/>
    <col min="15" max="15" width="9.140625" style="15" customWidth="1"/>
    <col min="16" max="16" width="2.28515625" style="15" customWidth="1"/>
    <col min="17" max="19" width="9.140625" style="15" hidden="1" customWidth="1"/>
    <col min="20" max="20" width="11.85546875" style="15" hidden="1" customWidth="1"/>
    <col min="21" max="16384" width="9.140625" style="15" hidden="1"/>
  </cols>
  <sheetData>
    <row r="1" spans="2:22"/>
    <row r="2" spans="2:22">
      <c r="C2" s="106" t="s">
        <v>54</v>
      </c>
    </row>
    <row r="3" spans="2:22" ht="6" customHeight="1" thickBot="1"/>
    <row r="4" spans="2:22" ht="15" customHeight="1">
      <c r="B4" s="111" t="str">
        <f>D12</f>
        <v>Contractor1</v>
      </c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3"/>
      <c r="T4" s="15" t="s">
        <v>391</v>
      </c>
      <c r="V4" s="17" t="s">
        <v>393</v>
      </c>
    </row>
    <row r="5" spans="2:22" ht="15" customHeight="1">
      <c r="B5" s="114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6"/>
      <c r="T5" s="15" t="s">
        <v>392</v>
      </c>
      <c r="V5" s="15" t="str" cm="1">
        <f t="array" ref="V5">Namefile()</f>
        <v>KPI Register_PersonalProject.xlsm</v>
      </c>
    </row>
    <row r="6" spans="2:22" ht="6.75" customHeight="1">
      <c r="B6" s="114"/>
      <c r="C6" s="115"/>
      <c r="D6" s="115"/>
      <c r="E6" s="115"/>
      <c r="F6" s="115"/>
      <c r="G6" s="115"/>
      <c r="H6" s="115"/>
      <c r="I6" s="115"/>
      <c r="J6" s="115"/>
      <c r="K6" s="115"/>
      <c r="L6" s="115"/>
      <c r="M6" s="115"/>
      <c r="N6" s="115"/>
      <c r="O6" s="116"/>
    </row>
    <row r="7" spans="2:22" ht="15.75" customHeight="1" thickBot="1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  <c r="O7" s="119"/>
    </row>
    <row r="8" spans="2:22" ht="26.25"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</row>
    <row r="9" spans="2:22" ht="15.75" thickBot="1"/>
    <row r="10" spans="2:22" ht="15.75" thickBot="1">
      <c r="C10" s="15" t="s">
        <v>55</v>
      </c>
      <c r="D10" s="59" cm="1">
        <f t="array" ref="D10">LastUpdate()</f>
        <v>44470.452314814815</v>
      </c>
    </row>
    <row r="11" spans="2:22" ht="15.75" thickBot="1"/>
    <row r="12" spans="2:22" ht="15.75" thickBot="1">
      <c r="C12" s="15" t="s">
        <v>59</v>
      </c>
      <c r="D12" s="85" t="s">
        <v>401</v>
      </c>
    </row>
    <row r="13" spans="2:22" ht="15.75" thickBot="1"/>
    <row r="14" spans="2:22" ht="15.75" hidden="1" thickBot="1">
      <c r="C14" s="15" t="s">
        <v>38</v>
      </c>
      <c r="D14" s="62"/>
    </row>
    <row r="15" spans="2:22" ht="15.75" hidden="1" thickBot="1"/>
    <row r="16" spans="2:22" ht="15.75" thickBot="1">
      <c r="C16" s="15" t="s">
        <v>39</v>
      </c>
      <c r="D16" s="60" t="str" cm="1">
        <f t="array" ref="D16">LastAuthor()</f>
        <v>Francesco Napoli</v>
      </c>
    </row>
    <row r="17" spans="3:20"/>
    <row r="20" spans="3:20" ht="15.75" thickBot="1"/>
    <row r="21" spans="3:20" ht="15.75" thickBot="1">
      <c r="C21" s="15" t="s">
        <v>40</v>
      </c>
      <c r="D21" s="107">
        <v>44105</v>
      </c>
      <c r="Q21" s="15">
        <f>YEAR(D21)</f>
        <v>2020</v>
      </c>
      <c r="R21" s="15">
        <f>MONTH(D21)</f>
        <v>10</v>
      </c>
      <c r="S21" s="15">
        <f>1</f>
        <v>1</v>
      </c>
      <c r="T21" s="66">
        <f>DATE(Q21,R21,S21)</f>
        <v>44105</v>
      </c>
    </row>
    <row r="22" spans="3:20" ht="15.75" thickBot="1">
      <c r="D22" s="65">
        <f>YEAR(Start_period)</f>
        <v>2020</v>
      </c>
      <c r="F22" s="55"/>
    </row>
    <row r="23" spans="3:20" ht="15.75" thickBot="1">
      <c r="C23" s="15" t="s">
        <v>35</v>
      </c>
      <c r="D23" s="107">
        <v>45931</v>
      </c>
      <c r="Q23" s="15">
        <f>YEAR(D23)</f>
        <v>2025</v>
      </c>
      <c r="R23" s="15">
        <f>MONTH(D23)</f>
        <v>10</v>
      </c>
      <c r="S23" s="15">
        <v>1</v>
      </c>
      <c r="T23" s="66">
        <f>DATE(Q23,R23,S23)</f>
        <v>45931</v>
      </c>
    </row>
    <row r="24" spans="3:20">
      <c r="D24" s="65">
        <f>YEAR(End_Period)</f>
        <v>2025</v>
      </c>
      <c r="F24" s="55"/>
    </row>
    <row r="25" spans="3:20"/>
    <row r="26" spans="3:20" ht="15.75" hidden="1" thickBot="1">
      <c r="C26" s="17" t="s">
        <v>37</v>
      </c>
      <c r="D26" s="61">
        <f>ROUNDUP(YEARFRAC(Start_period,End_Period,3)*12,0)</f>
        <v>61</v>
      </c>
    </row>
    <row r="27" spans="3:20" ht="15.75" hidden="1" thickBot="1"/>
    <row r="28" spans="3:20" ht="15.75" hidden="1" thickBot="1">
      <c r="C28" s="17" t="s">
        <v>46</v>
      </c>
      <c r="D28" s="61">
        <f>ROUNDDOWN(YEARFRAC(Start_period,End_Period,3),0)</f>
        <v>5</v>
      </c>
    </row>
    <row r="33" spans="2:15" ht="15.75" thickBot="1"/>
    <row r="34" spans="2:15">
      <c r="B34" s="37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5"/>
    </row>
    <row r="35" spans="2:15">
      <c r="B35" s="38"/>
      <c r="C35" s="27" t="str">
        <f>"Target - " &amp;'List(to hide)'!B2</f>
        <v>Target - Lost Time Incident Frequency</v>
      </c>
      <c r="D35" s="86">
        <v>1000</v>
      </c>
      <c r="E35" s="27"/>
      <c r="F35" s="120" t="str">
        <f>"Rule: Value is &lt; " &amp;D35 &amp; " is green"</f>
        <v>Rule: Value is &lt; 1000 is green</v>
      </c>
      <c r="G35" s="120"/>
      <c r="H35" s="120"/>
      <c r="I35" s="120"/>
      <c r="J35" s="120"/>
      <c r="K35" s="27"/>
      <c r="L35" s="27"/>
      <c r="M35" s="27"/>
      <c r="N35" s="27"/>
      <c r="O35" s="28"/>
    </row>
    <row r="36" spans="2:15">
      <c r="B36" s="38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8"/>
    </row>
    <row r="37" spans="2:15">
      <c r="B37" s="38"/>
      <c r="C37" s="27" t="str">
        <f>"Target - " &amp;'List(to hide)'!B3</f>
        <v>Target - Total Recordable Injury</v>
      </c>
      <c r="D37" s="86">
        <v>6</v>
      </c>
      <c r="E37" s="27"/>
      <c r="F37" s="120" t="str">
        <f>"Rule: Value is &lt; " &amp;D37 &amp; " is green"</f>
        <v>Rule: Value is &lt; 6 is green</v>
      </c>
      <c r="G37" s="120"/>
      <c r="H37" s="120"/>
      <c r="I37" s="120"/>
      <c r="J37" s="120"/>
      <c r="K37" s="27"/>
      <c r="L37" s="27"/>
      <c r="M37" s="27"/>
      <c r="N37" s="27"/>
      <c r="O37" s="28"/>
    </row>
    <row r="38" spans="2:15">
      <c r="B38" s="38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8"/>
    </row>
    <row r="39" spans="2:15">
      <c r="B39" s="38"/>
      <c r="C39" s="27" t="str">
        <f>"Target - " &amp;'List(to hide)'!B4</f>
        <v xml:space="preserve">Target - Safety Observation Frequency </v>
      </c>
      <c r="D39" s="87">
        <v>200</v>
      </c>
      <c r="E39" s="27"/>
      <c r="F39" s="120" t="str">
        <f>"Rule:Value is &gt;= " &amp;D39 &amp; " is green"</f>
        <v>Rule:Value is &gt;= 200 is green</v>
      </c>
      <c r="G39" s="120"/>
      <c r="H39" s="120"/>
      <c r="I39" s="120"/>
      <c r="J39" s="120"/>
      <c r="K39" s="27"/>
      <c r="L39" s="27"/>
      <c r="M39" s="27"/>
      <c r="N39" s="27"/>
      <c r="O39" s="28"/>
    </row>
    <row r="40" spans="2:15" ht="15.75" thickBot="1">
      <c r="B40" s="39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1"/>
    </row>
    <row r="41" spans="2:15"/>
    <row r="42" spans="2:15"/>
    <row r="43" spans="2:15" ht="15.75" thickBot="1"/>
    <row r="44" spans="2:15" ht="15.75" thickBot="1">
      <c r="C44" s="84" t="str">
        <f>"Reference for " &amp; D12  &amp; ":"</f>
        <v>Reference for Contractor1:</v>
      </c>
      <c r="D44" s="85"/>
    </row>
    <row r="45" spans="2:15" ht="15.75" thickBot="1">
      <c r="C45" s="84" t="s">
        <v>60</v>
      </c>
      <c r="D45" s="100"/>
    </row>
    <row r="46" spans="2:15"/>
  </sheetData>
  <sheetProtection formatCells="0" formatColumns="0" insertHyperlinks="0" sort="0" autoFilter="0" pivotTables="0"/>
  <protectedRanges>
    <protectedRange sqref="C2" name="Range3"/>
    <protectedRange sqref="C44:D45" name="Info2"/>
    <protectedRange sqref="D12 D21 D23 D35 D37 D39" name="Info"/>
  </protectedRanges>
  <mergeCells count="4">
    <mergeCell ref="B4:O7"/>
    <mergeCell ref="F35:J35"/>
    <mergeCell ref="F37:J37"/>
    <mergeCell ref="F39:J3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skInfo">
                <anchor moveWithCells="1" sizeWithCells="1">
                  <from>
                    <xdr:col>6</xdr:col>
                    <xdr:colOff>228600</xdr:colOff>
                    <xdr:row>43</xdr:row>
                    <xdr:rowOff>57150</xdr:rowOff>
                  </from>
                  <to>
                    <xdr:col>14</xdr:col>
                    <xdr:colOff>581025</xdr:colOff>
                    <xdr:row>44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allUser">
                <anchor moveWithCells="1" sizeWithCells="1">
                  <from>
                    <xdr:col>6</xdr:col>
                    <xdr:colOff>295275</xdr:colOff>
                    <xdr:row>7</xdr:row>
                    <xdr:rowOff>333375</xdr:rowOff>
                  </from>
                  <to>
                    <xdr:col>15</xdr:col>
                    <xdr:colOff>38100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340E4-47DA-49F8-AFB4-F14CCD2CA649}">
  <sheetPr codeName="Sheet7"/>
  <dimension ref="A1:M44"/>
  <sheetViews>
    <sheetView zoomScaleNormal="100" workbookViewId="0">
      <selection activeCell="G43" sqref="G43"/>
    </sheetView>
  </sheetViews>
  <sheetFormatPr defaultColWidth="0" defaultRowHeight="15" zeroHeight="1"/>
  <cols>
    <col min="1" max="3" width="3.7109375" style="15" customWidth="1"/>
    <col min="4" max="4" width="3.7109375" style="15" hidden="1" customWidth="1"/>
    <col min="5" max="5" width="5" style="15" hidden="1" customWidth="1"/>
    <col min="6" max="6" width="13.140625" style="15" customWidth="1"/>
    <col min="7" max="7" width="24" style="15" customWidth="1"/>
    <col min="8" max="8" width="8.85546875" style="15" customWidth="1"/>
    <col min="9" max="9" width="35" style="15" customWidth="1"/>
    <col min="10" max="10" width="19.5703125" style="15" customWidth="1"/>
    <col min="11" max="11" width="9.140625" style="15" customWidth="1"/>
    <col min="12" max="13" width="10.7109375" style="15" hidden="1" customWidth="1"/>
    <col min="14" max="16384" width="9.140625" style="15" hidden="1"/>
  </cols>
  <sheetData>
    <row r="1" spans="6:13" ht="9" customHeight="1" thickBot="1"/>
    <row r="3" spans="6:13" ht="15.75" hidden="1" thickBot="1"/>
    <row r="4" spans="6:13">
      <c r="F4" s="122" t="s">
        <v>61</v>
      </c>
      <c r="G4" s="123"/>
      <c r="H4" s="123"/>
      <c r="I4" s="123"/>
      <c r="J4" s="124"/>
    </row>
    <row r="5" spans="6:13" ht="7.5" customHeight="1">
      <c r="F5" s="125"/>
      <c r="G5" s="126"/>
      <c r="H5" s="126"/>
      <c r="I5" s="126"/>
      <c r="J5" s="127"/>
    </row>
    <row r="6" spans="6:13" ht="15.75" thickBot="1">
      <c r="F6" s="128"/>
      <c r="G6" s="129"/>
      <c r="H6" s="129"/>
      <c r="I6" s="129"/>
      <c r="J6" s="130"/>
    </row>
    <row r="7" spans="6:13" ht="8.25" customHeight="1"/>
    <row r="8" spans="6:13" ht="7.5" customHeight="1" thickBot="1">
      <c r="I8" s="55">
        <f>COLUMN(INDEX(KPI!E7:LY7,MATCH(InsertModify!I10,KPI!E7:LY7,0)))</f>
        <v>17</v>
      </c>
    </row>
    <row r="9" spans="6:13" ht="6" customHeight="1">
      <c r="F9" s="70"/>
      <c r="G9" s="71"/>
      <c r="H9" s="71"/>
      <c r="I9" s="71"/>
      <c r="J9" s="72"/>
    </row>
    <row r="10" spans="6:13" ht="14.25" customHeight="1">
      <c r="F10" s="73"/>
      <c r="G10" s="74" t="s">
        <v>57</v>
      </c>
      <c r="H10" s="75"/>
      <c r="I10" s="80">
        <v>44470</v>
      </c>
      <c r="J10" s="76"/>
      <c r="L10" s="66">
        <f ca="1">TODAY()</f>
        <v>44471</v>
      </c>
      <c r="M10" s="66">
        <f ca="1">DATE(YEAR(L10),MONTH(L10),DAY(1))</f>
        <v>44470</v>
      </c>
    </row>
    <row r="11" spans="6:13" ht="6" customHeight="1" thickBot="1">
      <c r="F11" s="77"/>
      <c r="G11" s="78"/>
      <c r="H11" s="78"/>
      <c r="I11" s="78"/>
      <c r="J11" s="79"/>
    </row>
    <row r="12" spans="6:13"/>
    <row r="13" spans="6:13" ht="26.25" customHeight="1">
      <c r="F13" s="121" t="s">
        <v>1</v>
      </c>
      <c r="G13" s="121"/>
      <c r="I13" s="83"/>
    </row>
    <row r="14" spans="6:13"/>
    <row r="15" spans="6:13">
      <c r="F15" s="139" t="s">
        <v>6</v>
      </c>
      <c r="G15" s="140"/>
    </row>
    <row r="16" spans="6:13" ht="15.75">
      <c r="F16" s="34" t="s">
        <v>19</v>
      </c>
      <c r="G16" s="34"/>
      <c r="I16" s="82"/>
    </row>
    <row r="17" spans="6:9" ht="15.75">
      <c r="F17" s="67" t="s">
        <v>8</v>
      </c>
      <c r="G17" s="81"/>
      <c r="I17" s="82"/>
    </row>
    <row r="18" spans="6:9" ht="15.75">
      <c r="F18" s="67" t="s">
        <v>9</v>
      </c>
      <c r="G18" s="81"/>
      <c r="I18" s="82"/>
    </row>
    <row r="19" spans="6:9" ht="9.9499999999999993" customHeight="1"/>
    <row r="20" spans="6:9">
      <c r="F20" s="135" t="s">
        <v>10</v>
      </c>
      <c r="G20" s="136"/>
    </row>
    <row r="21" spans="6:9" ht="15.75">
      <c r="F21" s="131" t="s">
        <v>11</v>
      </c>
      <c r="G21" s="132"/>
      <c r="I21" s="82"/>
    </row>
    <row r="22" spans="6:9" ht="15.75">
      <c r="F22" s="131" t="s">
        <v>12</v>
      </c>
      <c r="G22" s="132"/>
      <c r="I22" s="82"/>
    </row>
    <row r="23" spans="6:9" ht="15.75">
      <c r="F23" s="67" t="s">
        <v>13</v>
      </c>
      <c r="G23" s="68"/>
      <c r="I23" s="82"/>
    </row>
    <row r="24" spans="6:9" ht="15.75">
      <c r="F24" s="131" t="s">
        <v>14</v>
      </c>
      <c r="G24" s="132"/>
      <c r="I24" s="82"/>
    </row>
    <row r="25" spans="6:9" ht="15.75">
      <c r="F25" s="131" t="s">
        <v>15</v>
      </c>
      <c r="G25" s="132"/>
      <c r="I25" s="82"/>
    </row>
    <row r="26" spans="6:9" ht="15.75">
      <c r="F26" s="131" t="s">
        <v>16</v>
      </c>
      <c r="G26" s="132"/>
      <c r="I26" s="82"/>
    </row>
    <row r="27" spans="6:9" ht="15.75">
      <c r="F27" s="67" t="s">
        <v>17</v>
      </c>
      <c r="G27" s="68"/>
      <c r="I27" s="82"/>
    </row>
    <row r="28" spans="6:9" ht="15.75">
      <c r="F28" s="131" t="s">
        <v>18</v>
      </c>
      <c r="G28" s="132"/>
      <c r="I28" s="82"/>
    </row>
    <row r="29" spans="6:9" ht="15.75">
      <c r="F29" s="131" t="s">
        <v>20</v>
      </c>
      <c r="G29" s="132"/>
      <c r="I29" s="82"/>
    </row>
    <row r="30" spans="6:9" ht="9.9499999999999993" customHeight="1"/>
    <row r="31" spans="6:9" ht="15.75" thickBot="1">
      <c r="F31" s="135" t="s">
        <v>21</v>
      </c>
      <c r="G31" s="136"/>
    </row>
    <row r="32" spans="6:9" ht="16.5" thickBot="1">
      <c r="F32" s="137" t="s">
        <v>22</v>
      </c>
      <c r="G32" s="138"/>
      <c r="I32" s="82"/>
    </row>
    <row r="33" spans="6:10" ht="16.5" thickBot="1">
      <c r="F33" s="137" t="s">
        <v>23</v>
      </c>
      <c r="G33" s="138"/>
      <c r="I33" s="82"/>
    </row>
    <row r="34" spans="6:10" ht="16.5" thickBot="1">
      <c r="F34" s="137" t="s">
        <v>24</v>
      </c>
      <c r="G34" s="138"/>
      <c r="I34" s="82"/>
    </row>
    <row r="35" spans="6:10" ht="16.5" thickBot="1">
      <c r="F35" s="137" t="s">
        <v>25</v>
      </c>
      <c r="G35" s="138"/>
      <c r="I35" s="82"/>
    </row>
    <row r="36" spans="6:10" ht="16.5" thickBot="1">
      <c r="F36" s="137" t="s">
        <v>26</v>
      </c>
      <c r="G36" s="138"/>
      <c r="I36" s="82"/>
    </row>
    <row r="37" spans="6:10" ht="16.5" thickBot="1">
      <c r="F37" s="137" t="s">
        <v>27</v>
      </c>
      <c r="G37" s="138"/>
      <c r="I37" s="82"/>
    </row>
    <row r="38" spans="6:10" ht="16.5" thickBot="1">
      <c r="F38" s="137" t="s">
        <v>28</v>
      </c>
      <c r="G38" s="138"/>
      <c r="I38" s="82"/>
    </row>
    <row r="39" spans="6:10" ht="9.9499999999999993" customHeight="1"/>
    <row r="40" spans="6:10" ht="95.25" customHeight="1">
      <c r="F40" s="133" t="s">
        <v>394</v>
      </c>
      <c r="G40" s="134"/>
      <c r="I40" s="104"/>
      <c r="J40" s="103" t="s">
        <v>396</v>
      </c>
    </row>
    <row r="41" spans="6:10"/>
    <row r="42" spans="6:10"/>
    <row r="43" spans="6:10"/>
    <row r="44" spans="6:10"/>
  </sheetData>
  <sheetProtection algorithmName="SHA-512" hashValue="WGyqPLNrvBoGJN6h39d2D5tudV5QRdpUpxVcMBe4mhjen25vi/kTm4/W05dCyXYmvzNnjPFG1vFMcZfz/RBnzw==" saltValue="ICNd4tuGMdWMSoBh0bIXzQ==" spinCount="100000" sheet="1" formatCells="0" formatColumns="0" formatRows="0"/>
  <protectedRanges>
    <protectedRange sqref="I13 I10 I40 I16:I18 I21:I29 I32:I38 M10 O10" name="Range1"/>
  </protectedRanges>
  <mergeCells count="20">
    <mergeCell ref="F40:G40"/>
    <mergeCell ref="F31:G31"/>
    <mergeCell ref="F32:G32"/>
    <mergeCell ref="F33:G33"/>
    <mergeCell ref="F15:G15"/>
    <mergeCell ref="F20:G20"/>
    <mergeCell ref="F21:G21"/>
    <mergeCell ref="F22:G22"/>
    <mergeCell ref="F24:G24"/>
    <mergeCell ref="F25:G25"/>
    <mergeCell ref="F34:G34"/>
    <mergeCell ref="F35:G35"/>
    <mergeCell ref="F36:G36"/>
    <mergeCell ref="F37:G37"/>
    <mergeCell ref="F38:G38"/>
    <mergeCell ref="F13:G13"/>
    <mergeCell ref="F4:J6"/>
    <mergeCell ref="F26:G26"/>
    <mergeCell ref="F28:G28"/>
    <mergeCell ref="F29:G29"/>
  </mergeCells>
  <conditionalFormatting sqref="I13 I16:I18 I21:I29 I32:I38">
    <cfRule type="cellIs" dxfId="28" priority="2" operator="equal">
      <formula>0</formula>
    </cfRule>
  </conditionalFormatting>
  <conditionalFormatting sqref="I40">
    <cfRule type="cellIs" dxfId="27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2" r:id="rId4" name="Button 10">
              <controlPr defaultSize="0" print="0" autoFill="0" autoPict="0" macro="[0]!ButtonQuestion">
                <anchor moveWithCells="1" sizeWithCells="1">
                  <from>
                    <xdr:col>6</xdr:col>
                    <xdr:colOff>1590675</xdr:colOff>
                    <xdr:row>40</xdr:row>
                    <xdr:rowOff>133350</xdr:rowOff>
                  </from>
                  <to>
                    <xdr:col>9</xdr:col>
                    <xdr:colOff>19050</xdr:colOff>
                    <xdr:row>42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E753BA2-8436-4ECF-96F1-97BB73521679}">
          <x14:formula1>
            <xm:f>_xlfn.ANCHORARRAY('List(to hide)'!$E$2)</xm:f>
          </x14:formula1>
          <xm:sqref>I10</xm:sqref>
        </x14:dataValidation>
        <x14:dataValidation type="list" allowBlank="1" showInputMessage="1" showErrorMessage="1" xr:uid="{054DE717-86C1-4D2B-A282-61CDD81835EE}">
          <x14:formula1>
            <xm:f>_xlfn.ANCHORARRAY('List(to hide)'!$D$2)</xm:f>
          </x14:formula1>
          <xm:sqref>I16:I18 I21:I29 I32:I38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BB26B-7030-442A-BACF-FE1C68F236F2}">
  <sheetPr codeName="Sheet1"/>
  <dimension ref="A1:MA57"/>
  <sheetViews>
    <sheetView zoomScale="85" zoomScaleNormal="85" workbookViewId="0">
      <selection activeCell="D17" sqref="D17"/>
    </sheetView>
  </sheetViews>
  <sheetFormatPr defaultColWidth="9.140625" defaultRowHeight="15" zeroHeight="1" outlineLevelCol="1"/>
  <cols>
    <col min="1" max="1" width="4.28515625" style="15" customWidth="1"/>
    <col min="2" max="2" width="46.7109375" style="15" bestFit="1" customWidth="1"/>
    <col min="3" max="3" width="22.28515625" style="15" bestFit="1" customWidth="1"/>
    <col min="4" max="4" width="6.5703125" style="15" customWidth="1"/>
    <col min="5" max="337" width="18.28515625" style="52" customWidth="1" outlineLevel="1"/>
    <col min="338" max="338" width="18.28515625" style="15" customWidth="1" outlineLevel="1"/>
    <col min="339" max="339" width="18.28515625" style="15" customWidth="1"/>
    <col min="340" max="341" width="9.140625" style="15" customWidth="1"/>
    <col min="342" max="16384" width="9.140625" style="15"/>
  </cols>
  <sheetData>
    <row r="1" spans="1:339"/>
    <row r="2" spans="1:339" ht="21">
      <c r="B2" s="54" t="str">
        <f>"HSE statistics - " &amp;'Info Sheet'!$D$12</f>
        <v>HSE statistics - Contractor1</v>
      </c>
      <c r="C2" s="54"/>
      <c r="D2" s="53"/>
    </row>
    <row r="3" spans="1:339" ht="21">
      <c r="B3" s="141" t="s">
        <v>397</v>
      </c>
      <c r="C3" s="142"/>
      <c r="D3" s="53"/>
    </row>
    <row r="4" spans="1:339" s="55" customFormat="1" ht="21">
      <c r="B4" s="58" t="s">
        <v>51</v>
      </c>
      <c r="C4" s="58"/>
      <c r="D4" s="56"/>
      <c r="E4" s="57">
        <f>IF(E5&lt;&gt;"",1,0)</f>
        <v>1</v>
      </c>
      <c r="F4" s="57">
        <f t="shared" ref="F4:Q4" si="0">IF(F5&lt;&gt;"",1,0)</f>
        <v>1</v>
      </c>
      <c r="G4" s="57">
        <f t="shared" si="0"/>
        <v>1</v>
      </c>
      <c r="H4" s="57">
        <f t="shared" si="0"/>
        <v>1</v>
      </c>
      <c r="I4" s="57">
        <f t="shared" si="0"/>
        <v>1</v>
      </c>
      <c r="J4" s="57">
        <f t="shared" si="0"/>
        <v>1</v>
      </c>
      <c r="K4" s="57">
        <f t="shared" si="0"/>
        <v>1</v>
      </c>
      <c r="L4" s="57">
        <f t="shared" si="0"/>
        <v>1</v>
      </c>
      <c r="M4" s="57">
        <f t="shared" si="0"/>
        <v>1</v>
      </c>
      <c r="N4" s="57">
        <f t="shared" si="0"/>
        <v>1</v>
      </c>
      <c r="O4" s="57">
        <f t="shared" si="0"/>
        <v>1</v>
      </c>
      <c r="P4" s="57">
        <f t="shared" si="0"/>
        <v>1</v>
      </c>
      <c r="Q4" s="57">
        <f t="shared" si="0"/>
        <v>1</v>
      </c>
      <c r="R4" s="57">
        <f t="shared" ref="R4" si="1">IF(R5&lt;&gt;"",1,0)</f>
        <v>1</v>
      </c>
      <c r="S4" s="57">
        <f t="shared" ref="S4" si="2">IF(S5&lt;&gt;"",1,0)</f>
        <v>1</v>
      </c>
      <c r="T4" s="57">
        <f t="shared" ref="T4" si="3">IF(T5&lt;&gt;"",1,0)</f>
        <v>1</v>
      </c>
      <c r="U4" s="57">
        <f t="shared" ref="U4" si="4">IF(U5&lt;&gt;"",1,0)</f>
        <v>1</v>
      </c>
      <c r="V4" s="57">
        <f t="shared" ref="V4" si="5">IF(V5&lt;&gt;"",1,0)</f>
        <v>1</v>
      </c>
      <c r="W4" s="57">
        <f t="shared" ref="W4" si="6">IF(W5&lt;&gt;"",1,0)</f>
        <v>1</v>
      </c>
      <c r="X4" s="57">
        <f t="shared" ref="X4" si="7">IF(X5&lt;&gt;"",1,0)</f>
        <v>1</v>
      </c>
      <c r="Y4" s="57">
        <f t="shared" ref="Y4" si="8">IF(Y5&lt;&gt;"",1,0)</f>
        <v>1</v>
      </c>
      <c r="Z4" s="57">
        <f t="shared" ref="Z4" si="9">IF(Z5&lt;&gt;"",1,0)</f>
        <v>1</v>
      </c>
      <c r="AA4" s="57">
        <f t="shared" ref="AA4" si="10">IF(AA5&lt;&gt;"",1,0)</f>
        <v>1</v>
      </c>
      <c r="AB4" s="57">
        <f t="shared" ref="AB4" si="11">IF(AB5&lt;&gt;"",1,0)</f>
        <v>1</v>
      </c>
      <c r="AC4" s="57">
        <f t="shared" ref="AC4" si="12">IF(AC5&lt;&gt;"",1,0)</f>
        <v>1</v>
      </c>
      <c r="AD4" s="57">
        <f t="shared" ref="AD4" si="13">IF(AD5&lt;&gt;"",1,0)</f>
        <v>1</v>
      </c>
      <c r="AE4" s="57">
        <f t="shared" ref="AE4" si="14">IF(AE5&lt;&gt;"",1,0)</f>
        <v>1</v>
      </c>
      <c r="AF4" s="57">
        <f t="shared" ref="AF4" si="15">IF(AF5&lt;&gt;"",1,0)</f>
        <v>1</v>
      </c>
      <c r="AG4" s="57">
        <f t="shared" ref="AG4" si="16">IF(AG5&lt;&gt;"",1,0)</f>
        <v>1</v>
      </c>
      <c r="AH4" s="57">
        <f t="shared" ref="AH4" si="17">IF(AH5&lt;&gt;"",1,0)</f>
        <v>1</v>
      </c>
      <c r="AI4" s="57">
        <f t="shared" ref="AI4" si="18">IF(AI5&lt;&gt;"",1,0)</f>
        <v>1</v>
      </c>
      <c r="AJ4" s="57">
        <f t="shared" ref="AJ4" si="19">IF(AJ5&lt;&gt;"",1,0)</f>
        <v>1</v>
      </c>
      <c r="AK4" s="57">
        <f t="shared" ref="AK4" si="20">IF(AK5&lt;&gt;"",1,0)</f>
        <v>1</v>
      </c>
      <c r="AL4" s="57">
        <f t="shared" ref="AL4" si="21">IF(AL5&lt;&gt;"",1,0)</f>
        <v>1</v>
      </c>
      <c r="AM4" s="57">
        <f t="shared" ref="AM4" si="22">IF(AM5&lt;&gt;"",1,0)</f>
        <v>1</v>
      </c>
      <c r="AN4" s="57">
        <f t="shared" ref="AN4" si="23">IF(AN5&lt;&gt;"",1,0)</f>
        <v>1</v>
      </c>
      <c r="AO4" s="57">
        <f t="shared" ref="AO4" si="24">IF(AO5&lt;&gt;"",1,0)</f>
        <v>1</v>
      </c>
      <c r="AP4" s="57">
        <f t="shared" ref="AP4" si="25">IF(AP5&lt;&gt;"",1,0)</f>
        <v>1</v>
      </c>
      <c r="AQ4" s="57">
        <f t="shared" ref="AQ4" si="26">IF(AQ5&lt;&gt;"",1,0)</f>
        <v>1</v>
      </c>
      <c r="AR4" s="57">
        <f t="shared" ref="AR4" si="27">IF(AR5&lt;&gt;"",1,0)</f>
        <v>1</v>
      </c>
      <c r="AS4" s="57">
        <f t="shared" ref="AS4" si="28">IF(AS5&lt;&gt;"",1,0)</f>
        <v>1</v>
      </c>
      <c r="AT4" s="57">
        <f t="shared" ref="AT4" si="29">IF(AT5&lt;&gt;"",1,0)</f>
        <v>1</v>
      </c>
      <c r="AU4" s="57">
        <f t="shared" ref="AU4" si="30">IF(AU5&lt;&gt;"",1,0)</f>
        <v>1</v>
      </c>
      <c r="AV4" s="57">
        <f t="shared" ref="AV4" si="31">IF(AV5&lt;&gt;"",1,0)</f>
        <v>1</v>
      </c>
      <c r="AW4" s="57">
        <f t="shared" ref="AW4" si="32">IF(AW5&lt;&gt;"",1,0)</f>
        <v>1</v>
      </c>
      <c r="AX4" s="57">
        <f t="shared" ref="AX4" si="33">IF(AX5&lt;&gt;"",1,0)</f>
        <v>1</v>
      </c>
      <c r="AY4" s="57">
        <f t="shared" ref="AY4" si="34">IF(AY5&lt;&gt;"",1,0)</f>
        <v>1</v>
      </c>
      <c r="AZ4" s="57">
        <f t="shared" ref="AZ4" si="35">IF(AZ5&lt;&gt;"",1,0)</f>
        <v>1</v>
      </c>
      <c r="BA4" s="57">
        <f t="shared" ref="BA4" si="36">IF(BA5&lt;&gt;"",1,0)</f>
        <v>1</v>
      </c>
      <c r="BB4" s="57">
        <f t="shared" ref="BB4" si="37">IF(BB5&lt;&gt;"",1,0)</f>
        <v>1</v>
      </c>
      <c r="BC4" s="57">
        <f t="shared" ref="BC4" si="38">IF(BC5&lt;&gt;"",1,0)</f>
        <v>1</v>
      </c>
      <c r="BD4" s="57">
        <f t="shared" ref="BD4" si="39">IF(BD5&lt;&gt;"",1,0)</f>
        <v>1</v>
      </c>
      <c r="BE4" s="57">
        <f t="shared" ref="BE4" si="40">IF(BE5&lt;&gt;"",1,0)</f>
        <v>1</v>
      </c>
      <c r="BF4" s="57">
        <f t="shared" ref="BF4" si="41">IF(BF5&lt;&gt;"",1,0)</f>
        <v>1</v>
      </c>
      <c r="BG4" s="57">
        <f t="shared" ref="BG4" si="42">IF(BG5&lt;&gt;"",1,0)</f>
        <v>1</v>
      </c>
      <c r="BH4" s="57">
        <f t="shared" ref="BH4" si="43">IF(BH5&lt;&gt;"",1,0)</f>
        <v>1</v>
      </c>
      <c r="BI4" s="57">
        <f t="shared" ref="BI4" si="44">IF(BI5&lt;&gt;"",1,0)</f>
        <v>1</v>
      </c>
      <c r="BJ4" s="57">
        <f t="shared" ref="BJ4" si="45">IF(BJ5&lt;&gt;"",1,0)</f>
        <v>1</v>
      </c>
      <c r="BK4" s="57">
        <f t="shared" ref="BK4" si="46">IF(BK5&lt;&gt;"",1,0)</f>
        <v>1</v>
      </c>
      <c r="BL4" s="57">
        <f t="shared" ref="BL4" si="47">IF(BL5&lt;&gt;"",1,0)</f>
        <v>1</v>
      </c>
      <c r="BM4" s="57">
        <f t="shared" ref="BM4" si="48">IF(BM5&lt;&gt;"",1,0)</f>
        <v>1</v>
      </c>
      <c r="BN4" s="57">
        <f t="shared" ref="BN4" si="49">IF(BN5&lt;&gt;"",1,0)</f>
        <v>0</v>
      </c>
      <c r="BO4" s="57">
        <f t="shared" ref="BO4" si="50">IF(BO5&lt;&gt;"",1,0)</f>
        <v>0</v>
      </c>
      <c r="BP4" s="57">
        <f t="shared" ref="BP4" si="51">IF(BP5&lt;&gt;"",1,0)</f>
        <v>0</v>
      </c>
      <c r="BQ4" s="57">
        <f t="shared" ref="BQ4" si="52">IF(BQ5&lt;&gt;"",1,0)</f>
        <v>0</v>
      </c>
      <c r="BR4" s="57">
        <f t="shared" ref="BR4" si="53">IF(BR5&lt;&gt;"",1,0)</f>
        <v>0</v>
      </c>
      <c r="BS4" s="57">
        <f t="shared" ref="BS4" si="54">IF(BS5&lt;&gt;"",1,0)</f>
        <v>0</v>
      </c>
      <c r="BT4" s="57">
        <f t="shared" ref="BT4" si="55">IF(BT5&lt;&gt;"",1,0)</f>
        <v>0</v>
      </c>
      <c r="BU4" s="57">
        <f t="shared" ref="BU4" si="56">IF(BU5&lt;&gt;"",1,0)</f>
        <v>0</v>
      </c>
      <c r="BV4" s="57">
        <f t="shared" ref="BV4" si="57">IF(BV5&lt;&gt;"",1,0)</f>
        <v>0</v>
      </c>
      <c r="BW4" s="57">
        <f t="shared" ref="BW4" si="58">IF(BW5&lt;&gt;"",1,0)</f>
        <v>0</v>
      </c>
      <c r="BX4" s="57">
        <f t="shared" ref="BX4" si="59">IF(BX5&lt;&gt;"",1,0)</f>
        <v>0</v>
      </c>
      <c r="BY4" s="57">
        <f t="shared" ref="BY4" si="60">IF(BY5&lt;&gt;"",1,0)</f>
        <v>0</v>
      </c>
      <c r="BZ4" s="57">
        <f t="shared" ref="BZ4" si="61">IF(BZ5&lt;&gt;"",1,0)</f>
        <v>0</v>
      </c>
      <c r="CA4" s="57">
        <f t="shared" ref="CA4" si="62">IF(CA5&lt;&gt;"",1,0)</f>
        <v>0</v>
      </c>
      <c r="CB4" s="57">
        <f t="shared" ref="CB4" si="63">IF(CB5&lt;&gt;"",1,0)</f>
        <v>0</v>
      </c>
      <c r="CC4" s="57">
        <f t="shared" ref="CC4" si="64">IF(CC5&lt;&gt;"",1,0)</f>
        <v>0</v>
      </c>
      <c r="CD4" s="57">
        <f t="shared" ref="CD4" si="65">IF(CD5&lt;&gt;"",1,0)</f>
        <v>0</v>
      </c>
      <c r="CE4" s="57">
        <f t="shared" ref="CE4" si="66">IF(CE5&lt;&gt;"",1,0)</f>
        <v>0</v>
      </c>
      <c r="CF4" s="57">
        <f t="shared" ref="CF4" si="67">IF(CF5&lt;&gt;"",1,0)</f>
        <v>0</v>
      </c>
      <c r="CG4" s="57">
        <f t="shared" ref="CG4" si="68">IF(CG5&lt;&gt;"",1,0)</f>
        <v>0</v>
      </c>
      <c r="CH4" s="57">
        <f t="shared" ref="CH4" si="69">IF(CH5&lt;&gt;"",1,0)</f>
        <v>0</v>
      </c>
      <c r="CI4" s="57">
        <f t="shared" ref="CI4" si="70">IF(CI5&lt;&gt;"",1,0)</f>
        <v>0</v>
      </c>
      <c r="CJ4" s="57">
        <f t="shared" ref="CJ4" si="71">IF(CJ5&lt;&gt;"",1,0)</f>
        <v>0</v>
      </c>
      <c r="CK4" s="57">
        <f t="shared" ref="CK4" si="72">IF(CK5&lt;&gt;"",1,0)</f>
        <v>0</v>
      </c>
      <c r="CL4" s="57">
        <f t="shared" ref="CL4" si="73">IF(CL5&lt;&gt;"",1,0)</f>
        <v>0</v>
      </c>
      <c r="CM4" s="57">
        <f t="shared" ref="CM4" si="74">IF(CM5&lt;&gt;"",1,0)</f>
        <v>0</v>
      </c>
      <c r="CN4" s="57">
        <f t="shared" ref="CN4" si="75">IF(CN5&lt;&gt;"",1,0)</f>
        <v>0</v>
      </c>
      <c r="CO4" s="57">
        <f t="shared" ref="CO4" si="76">IF(CO5&lt;&gt;"",1,0)</f>
        <v>0</v>
      </c>
      <c r="CP4" s="57">
        <f t="shared" ref="CP4" si="77">IF(CP5&lt;&gt;"",1,0)</f>
        <v>0</v>
      </c>
      <c r="CQ4" s="57">
        <f t="shared" ref="CQ4" si="78">IF(CQ5&lt;&gt;"",1,0)</f>
        <v>0</v>
      </c>
      <c r="CR4" s="57">
        <f t="shared" ref="CR4" si="79">IF(CR5&lt;&gt;"",1,0)</f>
        <v>0</v>
      </c>
      <c r="CS4" s="57">
        <f t="shared" ref="CS4" si="80">IF(CS5&lt;&gt;"",1,0)</f>
        <v>0</v>
      </c>
      <c r="CT4" s="57">
        <f t="shared" ref="CT4" si="81">IF(CT5&lt;&gt;"",1,0)</f>
        <v>0</v>
      </c>
      <c r="CU4" s="57">
        <f t="shared" ref="CU4" si="82">IF(CU5&lt;&gt;"",1,0)</f>
        <v>0</v>
      </c>
      <c r="CV4" s="57">
        <f t="shared" ref="CV4" si="83">IF(CV5&lt;&gt;"",1,0)</f>
        <v>0</v>
      </c>
      <c r="CW4" s="57">
        <f t="shared" ref="CW4" si="84">IF(CW5&lt;&gt;"",1,0)</f>
        <v>0</v>
      </c>
      <c r="CX4" s="57">
        <f t="shared" ref="CX4" si="85">IF(CX5&lt;&gt;"",1,0)</f>
        <v>0</v>
      </c>
      <c r="CY4" s="57">
        <f t="shared" ref="CY4" si="86">IF(CY5&lt;&gt;"",1,0)</f>
        <v>0</v>
      </c>
      <c r="CZ4" s="57">
        <f t="shared" ref="CZ4" si="87">IF(CZ5&lt;&gt;"",1,0)</f>
        <v>0</v>
      </c>
      <c r="DA4" s="57">
        <f t="shared" ref="DA4" si="88">IF(DA5&lt;&gt;"",1,0)</f>
        <v>0</v>
      </c>
      <c r="DB4" s="57">
        <f t="shared" ref="DB4" si="89">IF(DB5&lt;&gt;"",1,0)</f>
        <v>0</v>
      </c>
      <c r="DC4" s="57">
        <f t="shared" ref="DC4" si="90">IF(DC5&lt;&gt;"",1,0)</f>
        <v>0</v>
      </c>
      <c r="DD4" s="57">
        <f t="shared" ref="DD4" si="91">IF(DD5&lt;&gt;"",1,0)</f>
        <v>0</v>
      </c>
      <c r="DE4" s="57">
        <f t="shared" ref="DE4" si="92">IF(DE5&lt;&gt;"",1,0)</f>
        <v>0</v>
      </c>
      <c r="DF4" s="57">
        <f t="shared" ref="DF4" si="93">IF(DF5&lt;&gt;"",1,0)</f>
        <v>0</v>
      </c>
      <c r="DG4" s="57">
        <f t="shared" ref="DG4" si="94">IF(DG5&lt;&gt;"",1,0)</f>
        <v>0</v>
      </c>
      <c r="DH4" s="57">
        <f t="shared" ref="DH4" si="95">IF(DH5&lt;&gt;"",1,0)</f>
        <v>0</v>
      </c>
      <c r="DI4" s="57">
        <f t="shared" ref="DI4" si="96">IF(DI5&lt;&gt;"",1,0)</f>
        <v>0</v>
      </c>
      <c r="DJ4" s="57">
        <f t="shared" ref="DJ4" si="97">IF(DJ5&lt;&gt;"",1,0)</f>
        <v>0</v>
      </c>
      <c r="DK4" s="57">
        <f t="shared" ref="DK4" si="98">IF(DK5&lt;&gt;"",1,0)</f>
        <v>0</v>
      </c>
      <c r="DL4" s="57">
        <f t="shared" ref="DL4" si="99">IF(DL5&lt;&gt;"",1,0)</f>
        <v>0</v>
      </c>
      <c r="DM4" s="57">
        <f t="shared" ref="DM4" si="100">IF(DM5&lt;&gt;"",1,0)</f>
        <v>0</v>
      </c>
      <c r="DN4" s="57">
        <f t="shared" ref="DN4" si="101">IF(DN5&lt;&gt;"",1,0)</f>
        <v>0</v>
      </c>
      <c r="DO4" s="57">
        <f t="shared" ref="DO4" si="102">IF(DO5&lt;&gt;"",1,0)</f>
        <v>0</v>
      </c>
      <c r="DP4" s="57">
        <f t="shared" ref="DP4" si="103">IF(DP5&lt;&gt;"",1,0)</f>
        <v>0</v>
      </c>
      <c r="DQ4" s="57">
        <f t="shared" ref="DQ4" si="104">IF(DQ5&lt;&gt;"",1,0)</f>
        <v>0</v>
      </c>
      <c r="DR4" s="57">
        <f t="shared" ref="DR4" si="105">IF(DR5&lt;&gt;"",1,0)</f>
        <v>0</v>
      </c>
      <c r="DS4" s="57">
        <f t="shared" ref="DS4" si="106">IF(DS5&lt;&gt;"",1,0)</f>
        <v>0</v>
      </c>
      <c r="DT4" s="57">
        <f t="shared" ref="DT4" si="107">IF(DT5&lt;&gt;"",1,0)</f>
        <v>0</v>
      </c>
      <c r="DU4" s="57">
        <f t="shared" ref="DU4" si="108">IF(DU5&lt;&gt;"",1,0)</f>
        <v>0</v>
      </c>
      <c r="DV4" s="57">
        <f t="shared" ref="DV4" si="109">IF(DV5&lt;&gt;"",1,0)</f>
        <v>0</v>
      </c>
      <c r="DW4" s="57">
        <f t="shared" ref="DW4" si="110">IF(DW5&lt;&gt;"",1,0)</f>
        <v>0</v>
      </c>
      <c r="DX4" s="57">
        <f t="shared" ref="DX4" si="111">IF(DX5&lt;&gt;"",1,0)</f>
        <v>0</v>
      </c>
      <c r="DY4" s="57">
        <f t="shared" ref="DY4" si="112">IF(DY5&lt;&gt;"",1,0)</f>
        <v>0</v>
      </c>
      <c r="DZ4" s="57">
        <f t="shared" ref="DZ4" si="113">IF(DZ5&lt;&gt;"",1,0)</f>
        <v>0</v>
      </c>
      <c r="EA4" s="57">
        <f t="shared" ref="EA4" si="114">IF(EA5&lt;&gt;"",1,0)</f>
        <v>0</v>
      </c>
      <c r="EB4" s="57">
        <f t="shared" ref="EB4" si="115">IF(EB5&lt;&gt;"",1,0)</f>
        <v>0</v>
      </c>
      <c r="EC4" s="57">
        <f t="shared" ref="EC4" si="116">IF(EC5&lt;&gt;"",1,0)</f>
        <v>0</v>
      </c>
      <c r="ED4" s="57">
        <f t="shared" ref="ED4" si="117">IF(ED5&lt;&gt;"",1,0)</f>
        <v>0</v>
      </c>
      <c r="EE4" s="57">
        <f t="shared" ref="EE4" si="118">IF(EE5&lt;&gt;"",1,0)</f>
        <v>0</v>
      </c>
      <c r="EF4" s="57">
        <f t="shared" ref="EF4" si="119">IF(EF5&lt;&gt;"",1,0)</f>
        <v>0</v>
      </c>
      <c r="EG4" s="57">
        <f t="shared" ref="EG4" si="120">IF(EG5&lt;&gt;"",1,0)</f>
        <v>0</v>
      </c>
      <c r="EH4" s="57">
        <f t="shared" ref="EH4" si="121">IF(EH5&lt;&gt;"",1,0)</f>
        <v>0</v>
      </c>
      <c r="EI4" s="57">
        <f t="shared" ref="EI4" si="122">IF(EI5&lt;&gt;"",1,0)</f>
        <v>0</v>
      </c>
      <c r="EJ4" s="57">
        <f t="shared" ref="EJ4" si="123">IF(EJ5&lt;&gt;"",1,0)</f>
        <v>0</v>
      </c>
      <c r="EK4" s="57">
        <f t="shared" ref="EK4" si="124">IF(EK5&lt;&gt;"",1,0)</f>
        <v>0</v>
      </c>
      <c r="EL4" s="57">
        <f t="shared" ref="EL4" si="125">IF(EL5&lt;&gt;"",1,0)</f>
        <v>0</v>
      </c>
      <c r="EM4" s="57">
        <f t="shared" ref="EM4" si="126">IF(EM5&lt;&gt;"",1,0)</f>
        <v>0</v>
      </c>
      <c r="EN4" s="57">
        <f t="shared" ref="EN4" si="127">IF(EN5&lt;&gt;"",1,0)</f>
        <v>0</v>
      </c>
      <c r="EO4" s="57">
        <f t="shared" ref="EO4" si="128">IF(EO5&lt;&gt;"",1,0)</f>
        <v>0</v>
      </c>
      <c r="EP4" s="57">
        <f t="shared" ref="EP4" si="129">IF(EP5&lt;&gt;"",1,0)</f>
        <v>0</v>
      </c>
      <c r="EQ4" s="57">
        <f t="shared" ref="EQ4" si="130">IF(EQ5&lt;&gt;"",1,0)</f>
        <v>0</v>
      </c>
      <c r="ER4" s="57">
        <f t="shared" ref="ER4" si="131">IF(ER5&lt;&gt;"",1,0)</f>
        <v>0</v>
      </c>
      <c r="ES4" s="57">
        <f t="shared" ref="ES4" si="132">IF(ES5&lt;&gt;"",1,0)</f>
        <v>0</v>
      </c>
      <c r="ET4" s="57">
        <f t="shared" ref="ET4" si="133">IF(ET5&lt;&gt;"",1,0)</f>
        <v>0</v>
      </c>
      <c r="EU4" s="57">
        <f t="shared" ref="EU4" si="134">IF(EU5&lt;&gt;"",1,0)</f>
        <v>0</v>
      </c>
      <c r="EV4" s="57">
        <f t="shared" ref="EV4" si="135">IF(EV5&lt;&gt;"",1,0)</f>
        <v>0</v>
      </c>
      <c r="EW4" s="57">
        <f t="shared" ref="EW4" si="136">IF(EW5&lt;&gt;"",1,0)</f>
        <v>0</v>
      </c>
      <c r="EX4" s="57">
        <f t="shared" ref="EX4" si="137">IF(EX5&lt;&gt;"",1,0)</f>
        <v>0</v>
      </c>
      <c r="EY4" s="57">
        <f t="shared" ref="EY4" si="138">IF(EY5&lt;&gt;"",1,0)</f>
        <v>0</v>
      </c>
      <c r="EZ4" s="57">
        <f t="shared" ref="EZ4" si="139">IF(EZ5&lt;&gt;"",1,0)</f>
        <v>0</v>
      </c>
      <c r="FA4" s="57">
        <f t="shared" ref="FA4" si="140">IF(FA5&lt;&gt;"",1,0)</f>
        <v>0</v>
      </c>
      <c r="FB4" s="57">
        <f t="shared" ref="FB4" si="141">IF(FB5&lt;&gt;"",1,0)</f>
        <v>0</v>
      </c>
      <c r="FC4" s="57">
        <f t="shared" ref="FC4" si="142">IF(FC5&lt;&gt;"",1,0)</f>
        <v>0</v>
      </c>
      <c r="FD4" s="57">
        <f t="shared" ref="FD4" si="143">IF(FD5&lt;&gt;"",1,0)</f>
        <v>0</v>
      </c>
      <c r="FE4" s="57">
        <f t="shared" ref="FE4" si="144">IF(FE5&lt;&gt;"",1,0)</f>
        <v>0</v>
      </c>
      <c r="FF4" s="57">
        <f t="shared" ref="FF4" si="145">IF(FF5&lt;&gt;"",1,0)</f>
        <v>0</v>
      </c>
      <c r="FG4" s="57">
        <f t="shared" ref="FG4" si="146">IF(FG5&lt;&gt;"",1,0)</f>
        <v>0</v>
      </c>
      <c r="FH4" s="57">
        <f t="shared" ref="FH4" si="147">IF(FH5&lt;&gt;"",1,0)</f>
        <v>0</v>
      </c>
      <c r="FI4" s="57"/>
      <c r="FJ4" s="57"/>
      <c r="FK4" s="57"/>
      <c r="FL4" s="57"/>
      <c r="FM4" s="57"/>
      <c r="FN4" s="57"/>
      <c r="FO4" s="57"/>
      <c r="FP4" s="57"/>
      <c r="FQ4" s="57"/>
      <c r="FR4" s="57"/>
      <c r="FS4" s="57"/>
      <c r="FT4" s="57"/>
      <c r="FU4" s="57"/>
      <c r="FV4" s="57"/>
      <c r="FW4" s="57"/>
      <c r="FX4" s="57"/>
      <c r="FY4" s="57"/>
      <c r="FZ4" s="57"/>
      <c r="GA4" s="57"/>
      <c r="GB4" s="57"/>
      <c r="GC4" s="57"/>
      <c r="GD4" s="57"/>
      <c r="GE4" s="57"/>
      <c r="GF4" s="57"/>
      <c r="GG4" s="57"/>
      <c r="GH4" s="57"/>
      <c r="GI4" s="57"/>
      <c r="GJ4" s="57"/>
      <c r="GK4" s="57"/>
      <c r="GL4" s="57"/>
      <c r="GM4" s="57"/>
      <c r="GN4" s="57"/>
      <c r="GO4" s="57"/>
      <c r="GP4" s="57"/>
      <c r="GQ4" s="57"/>
      <c r="GR4" s="57"/>
      <c r="GS4" s="57"/>
      <c r="GT4" s="57"/>
      <c r="GU4" s="57"/>
      <c r="GV4" s="57"/>
      <c r="GW4" s="57"/>
      <c r="GX4" s="57"/>
      <c r="GY4" s="57"/>
      <c r="GZ4" s="57"/>
      <c r="HA4" s="57"/>
      <c r="HB4" s="57"/>
      <c r="HC4" s="57"/>
      <c r="HD4" s="57"/>
      <c r="HE4" s="57"/>
      <c r="HF4" s="57"/>
      <c r="HG4" s="57"/>
      <c r="HH4" s="57"/>
      <c r="HI4" s="57"/>
      <c r="HJ4" s="57"/>
      <c r="HK4" s="57"/>
      <c r="HL4" s="57"/>
      <c r="HM4" s="57"/>
      <c r="HN4" s="57"/>
      <c r="HO4" s="57"/>
      <c r="HP4" s="57"/>
      <c r="HQ4" s="57"/>
      <c r="HR4" s="57"/>
      <c r="HS4" s="57"/>
      <c r="HT4" s="57"/>
      <c r="HU4" s="57"/>
      <c r="HV4" s="57"/>
      <c r="HW4" s="57"/>
      <c r="HX4" s="57"/>
      <c r="HY4" s="57"/>
      <c r="HZ4" s="57"/>
      <c r="IA4" s="57"/>
      <c r="IB4" s="57"/>
      <c r="IC4" s="57"/>
      <c r="ID4" s="57"/>
      <c r="IE4" s="57"/>
      <c r="IF4" s="57"/>
      <c r="IG4" s="57"/>
      <c r="IH4" s="57"/>
      <c r="II4" s="57"/>
      <c r="IJ4" s="57"/>
      <c r="IK4" s="57"/>
      <c r="IL4" s="57"/>
      <c r="IM4" s="57"/>
      <c r="IN4" s="57"/>
      <c r="IO4" s="57"/>
      <c r="IP4" s="57"/>
      <c r="IQ4" s="57"/>
      <c r="IR4" s="57"/>
      <c r="IS4" s="57"/>
      <c r="IT4" s="57"/>
      <c r="IU4" s="57"/>
      <c r="IV4" s="57"/>
      <c r="IW4" s="57"/>
      <c r="IX4" s="57"/>
      <c r="IY4" s="57"/>
      <c r="IZ4" s="57"/>
      <c r="JA4" s="57"/>
      <c r="JB4" s="57"/>
      <c r="JC4" s="57"/>
      <c r="JD4" s="57"/>
      <c r="JE4" s="57"/>
      <c r="JF4" s="57"/>
      <c r="JG4" s="57"/>
      <c r="JH4" s="57"/>
      <c r="JI4" s="57"/>
      <c r="JJ4" s="57"/>
      <c r="JK4" s="57"/>
      <c r="JL4" s="57"/>
      <c r="JM4" s="57"/>
      <c r="JN4" s="57"/>
      <c r="JO4" s="57"/>
      <c r="JP4" s="57"/>
      <c r="JQ4" s="57"/>
      <c r="JR4" s="57"/>
      <c r="JS4" s="57"/>
      <c r="JT4" s="57"/>
      <c r="JU4" s="57"/>
      <c r="JV4" s="57"/>
      <c r="JW4" s="57"/>
      <c r="JX4" s="57"/>
      <c r="JY4" s="57"/>
      <c r="JZ4" s="57"/>
      <c r="KA4" s="57"/>
      <c r="KB4" s="57"/>
      <c r="KC4" s="57"/>
      <c r="KD4" s="57"/>
      <c r="KE4" s="57"/>
      <c r="KF4" s="57"/>
      <c r="KG4" s="57"/>
      <c r="KH4" s="57"/>
      <c r="KI4" s="57"/>
      <c r="KJ4" s="57"/>
      <c r="KK4" s="57"/>
      <c r="KL4" s="57"/>
      <c r="KM4" s="57"/>
      <c r="KN4" s="57"/>
      <c r="KO4" s="57"/>
      <c r="KP4" s="57"/>
      <c r="KQ4" s="57"/>
      <c r="KR4" s="57"/>
      <c r="KS4" s="57"/>
      <c r="KT4" s="57"/>
      <c r="KU4" s="57"/>
      <c r="KV4" s="57"/>
      <c r="KW4" s="57"/>
      <c r="KX4" s="57"/>
      <c r="KY4" s="57"/>
      <c r="KZ4" s="57"/>
      <c r="LA4" s="57"/>
      <c r="LB4" s="57"/>
      <c r="LC4" s="57"/>
      <c r="LD4" s="57"/>
      <c r="LE4" s="57"/>
      <c r="LF4" s="57"/>
      <c r="LG4" s="57"/>
      <c r="LH4" s="57"/>
      <c r="LI4" s="57"/>
      <c r="LJ4" s="57"/>
      <c r="LK4" s="57"/>
      <c r="LL4" s="57"/>
      <c r="LM4" s="57"/>
      <c r="LN4" s="57"/>
      <c r="LO4" s="57"/>
      <c r="LP4" s="57"/>
      <c r="LQ4" s="57">
        <f t="shared" ref="LQ4" si="148">IF(LQ5&lt;&gt;"",1,0)</f>
        <v>0</v>
      </c>
      <c r="LR4" s="57">
        <f t="shared" ref="LR4" si="149">IF(LR5&lt;&gt;"",1,0)</f>
        <v>0</v>
      </c>
      <c r="LS4" s="57">
        <f t="shared" ref="LS4" si="150">IF(LS5&lt;&gt;"",1,0)</f>
        <v>0</v>
      </c>
      <c r="LT4" s="57">
        <f t="shared" ref="LT4" si="151">IF(LT5&lt;&gt;"",1,0)</f>
        <v>0</v>
      </c>
      <c r="LU4" s="57">
        <f t="shared" ref="LU4" si="152">IF(LU5&lt;&gt;"",1,0)</f>
        <v>0</v>
      </c>
      <c r="LV4" s="57">
        <f t="shared" ref="LV4" si="153">IF(LV5&lt;&gt;"",1,0)</f>
        <v>0</v>
      </c>
      <c r="LW4" s="57">
        <f t="shared" ref="LW4" si="154">IF(LW5&lt;&gt;"",1,0)</f>
        <v>0</v>
      </c>
      <c r="LX4" s="57">
        <f t="shared" ref="LX4" si="155">IF(LX5&lt;&gt;"",1,0)</f>
        <v>0</v>
      </c>
      <c r="LY4" s="57">
        <f t="shared" ref="LY4" si="156">IF(LY5&lt;&gt;"",1,0)</f>
        <v>0</v>
      </c>
    </row>
    <row r="5" spans="1:339">
      <c r="B5" s="144" t="s">
        <v>36</v>
      </c>
      <c r="C5" s="145"/>
      <c r="E5" s="46" cm="1">
        <f t="array" ref="E5:BM5">_xlfn.SEQUENCE(1,ROUNDUP('Info Sheet'!$D$26,0),0,1)</f>
        <v>0</v>
      </c>
      <c r="F5" s="47">
        <v>1</v>
      </c>
      <c r="G5" s="47">
        <v>2</v>
      </c>
      <c r="H5" s="47">
        <v>3</v>
      </c>
      <c r="I5" s="47">
        <v>4</v>
      </c>
      <c r="J5" s="47">
        <v>5</v>
      </c>
      <c r="K5" s="47">
        <v>6</v>
      </c>
      <c r="L5" s="47">
        <v>7</v>
      </c>
      <c r="M5" s="47">
        <v>8</v>
      </c>
      <c r="N5" s="47">
        <v>9</v>
      </c>
      <c r="O5" s="47">
        <v>10</v>
      </c>
      <c r="P5" s="47">
        <v>11</v>
      </c>
      <c r="Q5" s="47">
        <v>12</v>
      </c>
      <c r="R5" s="47">
        <v>13</v>
      </c>
      <c r="S5" s="47">
        <v>14</v>
      </c>
      <c r="T5" s="47">
        <v>15</v>
      </c>
      <c r="U5" s="47">
        <v>16</v>
      </c>
      <c r="V5" s="47">
        <v>17</v>
      </c>
      <c r="W5" s="47">
        <v>18</v>
      </c>
      <c r="X5" s="47">
        <v>19</v>
      </c>
      <c r="Y5" s="47">
        <v>20</v>
      </c>
      <c r="Z5" s="47">
        <v>21</v>
      </c>
      <c r="AA5" s="47">
        <v>22</v>
      </c>
      <c r="AB5" s="47">
        <v>23</v>
      </c>
      <c r="AC5" s="47">
        <v>24</v>
      </c>
      <c r="AD5" s="47">
        <v>25</v>
      </c>
      <c r="AE5" s="47">
        <v>26</v>
      </c>
      <c r="AF5" s="47">
        <v>27</v>
      </c>
      <c r="AG5" s="47">
        <v>28</v>
      </c>
      <c r="AH5" s="47">
        <v>29</v>
      </c>
      <c r="AI5" s="47">
        <v>30</v>
      </c>
      <c r="AJ5" s="47">
        <v>31</v>
      </c>
      <c r="AK5" s="47">
        <v>32</v>
      </c>
      <c r="AL5" s="47">
        <v>33</v>
      </c>
      <c r="AM5" s="47">
        <v>34</v>
      </c>
      <c r="AN5" s="47">
        <v>35</v>
      </c>
      <c r="AO5" s="47">
        <v>36</v>
      </c>
      <c r="AP5" s="47">
        <v>37</v>
      </c>
      <c r="AQ5" s="47">
        <v>38</v>
      </c>
      <c r="AR5" s="47">
        <v>39</v>
      </c>
      <c r="AS5" s="47">
        <v>40</v>
      </c>
      <c r="AT5" s="47">
        <v>41</v>
      </c>
      <c r="AU5" s="47">
        <v>42</v>
      </c>
      <c r="AV5" s="47">
        <v>43</v>
      </c>
      <c r="AW5" s="47">
        <v>44</v>
      </c>
      <c r="AX5" s="47">
        <v>45</v>
      </c>
      <c r="AY5" s="47">
        <v>46</v>
      </c>
      <c r="AZ5" s="47">
        <v>47</v>
      </c>
      <c r="BA5" s="47">
        <v>48</v>
      </c>
      <c r="BB5" s="47">
        <v>49</v>
      </c>
      <c r="BC5" s="47">
        <v>50</v>
      </c>
      <c r="BD5" s="47">
        <v>51</v>
      </c>
      <c r="BE5" s="47">
        <v>52</v>
      </c>
      <c r="BF5" s="47">
        <v>53</v>
      </c>
      <c r="BG5" s="47">
        <v>54</v>
      </c>
      <c r="BH5" s="47">
        <v>55</v>
      </c>
      <c r="BI5" s="47">
        <v>56</v>
      </c>
      <c r="BJ5" s="47">
        <v>57</v>
      </c>
      <c r="BK5" s="47">
        <v>58</v>
      </c>
      <c r="BL5" s="47">
        <v>59</v>
      </c>
      <c r="BM5" s="47">
        <v>60</v>
      </c>
      <c r="BN5" s="47"/>
      <c r="BO5" s="47"/>
      <c r="BP5" s="47"/>
      <c r="BQ5" s="47"/>
      <c r="BR5" s="47"/>
      <c r="BS5" s="47"/>
      <c r="BT5" s="47"/>
      <c r="BU5" s="47"/>
      <c r="BV5" s="47"/>
      <c r="BW5" s="47"/>
      <c r="BX5" s="47"/>
      <c r="BY5" s="47"/>
      <c r="BZ5" s="47"/>
      <c r="CA5" s="47"/>
      <c r="CB5" s="47"/>
      <c r="CC5" s="47"/>
      <c r="CD5" s="47"/>
      <c r="CE5" s="47"/>
      <c r="CF5" s="47"/>
      <c r="CG5" s="47"/>
      <c r="CH5" s="47"/>
      <c r="CI5" s="47"/>
      <c r="CJ5" s="47"/>
      <c r="CK5" s="47"/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47"/>
      <c r="DB5" s="47"/>
      <c r="DC5" s="47"/>
      <c r="DD5" s="47"/>
      <c r="DE5" s="47"/>
      <c r="DF5" s="47"/>
      <c r="DG5" s="47"/>
      <c r="DH5" s="47"/>
      <c r="DI5" s="47"/>
      <c r="DJ5" s="47"/>
      <c r="DK5" s="47"/>
      <c r="DL5" s="47"/>
      <c r="DM5" s="47"/>
      <c r="DN5" s="47"/>
      <c r="DO5" s="47"/>
      <c r="DP5" s="47"/>
      <c r="DQ5" s="47"/>
      <c r="DR5" s="47"/>
      <c r="DS5" s="47"/>
      <c r="DT5" s="47"/>
      <c r="DU5" s="47"/>
      <c r="DV5" s="47"/>
      <c r="DW5" s="47"/>
      <c r="DX5" s="47"/>
      <c r="DY5" s="47"/>
      <c r="DZ5" s="47"/>
      <c r="EA5" s="47"/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47"/>
      <c r="EO5" s="47"/>
      <c r="EP5" s="47"/>
      <c r="EQ5" s="47"/>
      <c r="ER5" s="47"/>
      <c r="ES5" s="47"/>
      <c r="ET5" s="47"/>
      <c r="EU5" s="47"/>
      <c r="EV5" s="47"/>
      <c r="EW5" s="47"/>
      <c r="EX5" s="47"/>
      <c r="EY5" s="47"/>
      <c r="EZ5" s="47"/>
      <c r="FA5" s="47"/>
      <c r="FB5" s="47"/>
      <c r="FC5" s="47"/>
      <c r="FD5" s="47"/>
      <c r="FE5" s="47"/>
      <c r="FF5" s="47"/>
      <c r="FG5" s="47"/>
      <c r="FH5" s="47"/>
      <c r="FI5" s="47"/>
      <c r="FJ5" s="47"/>
      <c r="FK5" s="47"/>
      <c r="FL5" s="47"/>
      <c r="FM5" s="47"/>
      <c r="FN5" s="47"/>
      <c r="FO5" s="47"/>
      <c r="FP5" s="47"/>
      <c r="FQ5" s="47"/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47"/>
      <c r="GE5" s="47"/>
      <c r="GF5" s="47"/>
      <c r="GG5" s="47"/>
      <c r="GH5" s="47"/>
      <c r="GI5" s="47"/>
      <c r="GJ5" s="47"/>
      <c r="GK5" s="47"/>
      <c r="GL5" s="47"/>
      <c r="GM5" s="47"/>
      <c r="GN5" s="47"/>
      <c r="GO5" s="47"/>
      <c r="GP5" s="47"/>
      <c r="GQ5" s="47"/>
      <c r="GR5" s="47"/>
      <c r="GS5" s="47"/>
      <c r="GT5" s="47"/>
      <c r="GU5" s="47"/>
      <c r="GV5" s="47"/>
      <c r="GW5" s="47"/>
      <c r="GX5" s="47"/>
      <c r="GY5" s="47"/>
      <c r="GZ5" s="47"/>
      <c r="HA5" s="47"/>
      <c r="HB5" s="47"/>
      <c r="HC5" s="47"/>
      <c r="HD5" s="47"/>
      <c r="HE5" s="47"/>
      <c r="HF5" s="47"/>
      <c r="HG5" s="47"/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47"/>
      <c r="HU5" s="47"/>
      <c r="HV5" s="47"/>
      <c r="HW5" s="47"/>
      <c r="HX5" s="47"/>
      <c r="HY5" s="47"/>
      <c r="HZ5" s="47"/>
      <c r="IA5" s="47"/>
      <c r="IB5" s="47"/>
      <c r="IC5" s="47"/>
      <c r="ID5" s="47"/>
      <c r="IE5" s="47"/>
      <c r="IF5" s="47"/>
      <c r="IG5" s="47"/>
      <c r="IH5" s="47"/>
      <c r="II5" s="47"/>
      <c r="IJ5" s="47"/>
      <c r="IK5" s="47"/>
      <c r="IL5" s="47"/>
      <c r="IM5" s="47"/>
      <c r="IN5" s="47"/>
      <c r="IO5" s="47"/>
      <c r="IP5" s="47"/>
      <c r="IQ5" s="47"/>
      <c r="IR5" s="47"/>
      <c r="IS5" s="47"/>
      <c r="IT5" s="47"/>
      <c r="IU5" s="47"/>
      <c r="IV5" s="47"/>
      <c r="IW5" s="47"/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47"/>
      <c r="JK5" s="47"/>
      <c r="JL5" s="47"/>
      <c r="JM5" s="47"/>
      <c r="JN5" s="47"/>
      <c r="JO5" s="47"/>
      <c r="JP5" s="47"/>
      <c r="JQ5" s="47"/>
      <c r="JR5" s="47"/>
      <c r="JS5" s="47"/>
      <c r="JT5" s="47"/>
      <c r="JU5" s="47"/>
      <c r="JV5" s="47"/>
      <c r="JW5" s="47"/>
      <c r="JX5" s="47"/>
      <c r="JY5" s="47"/>
      <c r="JZ5" s="47"/>
      <c r="KA5" s="47"/>
      <c r="KB5" s="47"/>
      <c r="KC5" s="47"/>
      <c r="KD5" s="47"/>
      <c r="KE5" s="47"/>
      <c r="KF5" s="47"/>
      <c r="KG5" s="47"/>
      <c r="KH5" s="47"/>
      <c r="KI5" s="47"/>
      <c r="KJ5" s="47"/>
      <c r="KK5" s="47"/>
      <c r="KL5" s="47"/>
      <c r="KM5" s="47"/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47"/>
      <c r="LA5" s="47"/>
      <c r="LB5" s="47"/>
      <c r="LC5" s="47"/>
      <c r="LD5" s="47"/>
      <c r="LE5" s="47"/>
      <c r="LF5" s="47"/>
      <c r="LG5" s="47"/>
      <c r="LH5" s="47"/>
      <c r="LI5" s="47"/>
      <c r="LJ5" s="47"/>
      <c r="LK5" s="47"/>
      <c r="LL5" s="47"/>
      <c r="LM5" s="47"/>
      <c r="LN5" s="47"/>
      <c r="LO5" s="47"/>
      <c r="LP5" s="47"/>
      <c r="LQ5" s="47"/>
      <c r="LR5" s="47"/>
      <c r="LS5" s="47"/>
      <c r="LT5" s="47"/>
      <c r="LU5" s="47"/>
      <c r="LV5" s="47"/>
      <c r="LW5" s="47"/>
      <c r="LX5" s="47"/>
      <c r="LY5" s="47"/>
    </row>
    <row r="6" spans="1:339" ht="15.75" thickBot="1">
      <c r="B6" s="144" t="s">
        <v>33</v>
      </c>
      <c r="C6" s="145"/>
      <c r="E6" s="48">
        <f>IF(E5="",0,IF(YEAR(Start_period)=E8,1,(KPI!E8-'Info Sheet'!$D$22)+1))</f>
        <v>1</v>
      </c>
      <c r="F6" s="48">
        <f>IF(F5="",0,IF(YEAR(Start_period)=F8,1,(KPI!F8-'Info Sheet'!$D$22)+1))</f>
        <v>1</v>
      </c>
      <c r="G6" s="48">
        <f>IF(G5="",0,IF(YEAR(Start_period)=G8,1,(KPI!G8-'Info Sheet'!$D$22)+1))</f>
        <v>1</v>
      </c>
      <c r="H6" s="48">
        <f>IF(H5="",0,IF(YEAR(Start_period)=H8,1,(KPI!H8-'Info Sheet'!$D$22)+1))</f>
        <v>2</v>
      </c>
      <c r="I6" s="48">
        <f>IF(I5="",0,IF(YEAR(Start_period)=I8,1,(KPI!I8-'Info Sheet'!$D$22)+1))</f>
        <v>2</v>
      </c>
      <c r="J6" s="48">
        <f>IF(J5="",0,IF(YEAR(Start_period)=J8,1,(KPI!J8-'Info Sheet'!$D$22)+1))</f>
        <v>2</v>
      </c>
      <c r="K6" s="48">
        <f>IF(K5="",0,IF(YEAR(Start_period)=K8,1,(KPI!K8-'Info Sheet'!$D$22)+1))</f>
        <v>2</v>
      </c>
      <c r="L6" s="48">
        <f>IF(L5="",0,IF(YEAR(Start_period)=L8,1,(KPI!L8-'Info Sheet'!$D$22)+1))</f>
        <v>2</v>
      </c>
      <c r="M6" s="48">
        <f>IF(M5="",0,IF(YEAR(Start_period)=M8,1,(KPI!M8-'Info Sheet'!$D$22)+1))</f>
        <v>2</v>
      </c>
      <c r="N6" s="48">
        <f>IF(N5="",0,IF(YEAR(Start_period)=N8,1,(KPI!N8-'Info Sheet'!$D$22)+1))</f>
        <v>2</v>
      </c>
      <c r="O6" s="48">
        <f>IF(O5="",0,IF(YEAR(Start_period)=O8,1,(KPI!O8-'Info Sheet'!$D$22)+1))</f>
        <v>2</v>
      </c>
      <c r="P6" s="48">
        <f>IF(P5="",0,IF(YEAR(Start_period)=P8,1,(KPI!P8-'Info Sheet'!$D$22)+1))</f>
        <v>2</v>
      </c>
      <c r="Q6" s="48">
        <f>IF(Q5="",0,IF(YEAR(Start_period)=Q8,1,(KPI!Q8-'Info Sheet'!$D$22)+1))</f>
        <v>2</v>
      </c>
      <c r="R6" s="48">
        <f>IF(R5="",0,IF(YEAR(Start_period)=R8,1,(KPI!R8-'Info Sheet'!$D$22)+1))</f>
        <v>2</v>
      </c>
      <c r="S6" s="48">
        <f>IF(S5="",0,IF(YEAR(Start_period)=S8,1,(KPI!S8-'Info Sheet'!$D$22)+1))</f>
        <v>2</v>
      </c>
      <c r="T6" s="48">
        <f>IF(T5="",0,IF(YEAR(Start_period)=T8,1,(KPI!T8-'Info Sheet'!$D$22)+1))</f>
        <v>3</v>
      </c>
      <c r="U6" s="48">
        <f>IF(U5="",0,IF(YEAR(Start_period)=U8,1,(KPI!U8-'Info Sheet'!$D$22)+1))</f>
        <v>3</v>
      </c>
      <c r="V6" s="48">
        <f>IF(V5="",0,IF(YEAR(Start_period)=V8,1,(KPI!V8-'Info Sheet'!$D$22)+1))</f>
        <v>3</v>
      </c>
      <c r="W6" s="48">
        <f>IF(W5="",0,IF(YEAR(Start_period)=W8,1,(KPI!W8-'Info Sheet'!$D$22)+1))</f>
        <v>3</v>
      </c>
      <c r="X6" s="48">
        <f>IF(X5="",0,IF(YEAR(Start_period)=X8,1,(KPI!X8-'Info Sheet'!$D$22)+1))</f>
        <v>3</v>
      </c>
      <c r="Y6" s="48">
        <f>IF(Y5="",0,IF(YEAR(Start_period)=Y8,1,(KPI!Y8-'Info Sheet'!$D$22)+1))</f>
        <v>3</v>
      </c>
      <c r="Z6" s="48">
        <f>IF(Z5="",0,IF(YEAR(Start_period)=Z8,1,(KPI!Z8-'Info Sheet'!$D$22)+1))</f>
        <v>3</v>
      </c>
      <c r="AA6" s="48">
        <f>IF(AA5="",0,IF(YEAR(Start_period)=AA8,1,(KPI!AA8-'Info Sheet'!$D$22)+1))</f>
        <v>3</v>
      </c>
      <c r="AB6" s="48">
        <f>IF(AB5="",0,IF(YEAR(Start_period)=AB8,1,(KPI!AB8-'Info Sheet'!$D$22)+1))</f>
        <v>3</v>
      </c>
      <c r="AC6" s="48">
        <f>IF(AC5="",0,IF(YEAR(Start_period)=AC8,1,(KPI!AC8-'Info Sheet'!$D$22)+1))</f>
        <v>3</v>
      </c>
      <c r="AD6" s="48">
        <f>IF(AD5="",0,IF(YEAR(Start_period)=AD8,1,(KPI!AD8-'Info Sheet'!$D$22)+1))</f>
        <v>3</v>
      </c>
      <c r="AE6" s="48">
        <f>IF(AE5="",0,IF(YEAR(Start_period)=AE8,1,(KPI!AE8-'Info Sheet'!$D$22)+1))</f>
        <v>3</v>
      </c>
      <c r="AF6" s="48">
        <f>IF(AF5="",0,IF(YEAR(Start_period)=AF8,1,(KPI!AF8-'Info Sheet'!$D$22)+1))</f>
        <v>4</v>
      </c>
      <c r="AG6" s="48">
        <f>IF(AG5="",0,IF(YEAR(Start_period)=AG8,1,(KPI!AG8-'Info Sheet'!$D$22)+1))</f>
        <v>4</v>
      </c>
      <c r="AH6" s="48">
        <f>IF(AH5="",0,IF(YEAR(Start_period)=AH8,1,(KPI!AH8-'Info Sheet'!$D$22)+1))</f>
        <v>4</v>
      </c>
      <c r="AI6" s="48">
        <f>IF(AI5="",0,IF(YEAR(Start_period)=AI8,1,(KPI!AI8-'Info Sheet'!$D$22)+1))</f>
        <v>4</v>
      </c>
      <c r="AJ6" s="48">
        <f>IF(AJ5="",0,IF(YEAR(Start_period)=AJ8,1,(KPI!AJ8-'Info Sheet'!$D$22)+1))</f>
        <v>4</v>
      </c>
      <c r="AK6" s="48">
        <f>IF(AK5="",0,IF(YEAR(Start_period)=AK8,1,(KPI!AK8-'Info Sheet'!$D$22)+1))</f>
        <v>4</v>
      </c>
      <c r="AL6" s="48">
        <f>IF(AL5="",0,IF(YEAR(Start_period)=AL8,1,(KPI!AL8-'Info Sheet'!$D$22)+1))</f>
        <v>4</v>
      </c>
      <c r="AM6" s="48">
        <f>IF(AM5="",0,IF(YEAR(Start_period)=AM8,1,(KPI!AM8-'Info Sheet'!$D$22)+1))</f>
        <v>4</v>
      </c>
      <c r="AN6" s="48">
        <f>IF(AN5="",0,IF(YEAR(Start_period)=AN8,1,(KPI!AN8-'Info Sheet'!$D$22)+1))</f>
        <v>4</v>
      </c>
      <c r="AO6" s="48">
        <f>IF(AO5="",0,IF(YEAR(Start_period)=AO8,1,(KPI!AO8-'Info Sheet'!$D$22)+1))</f>
        <v>4</v>
      </c>
      <c r="AP6" s="48">
        <f>IF(AP5="",0,IF(YEAR(Start_period)=AP8,1,(KPI!AP8-'Info Sheet'!$D$22)+1))</f>
        <v>4</v>
      </c>
      <c r="AQ6" s="48">
        <f>IF(AQ5="",0,IF(YEAR(Start_period)=AQ8,1,(KPI!AQ8-'Info Sheet'!$D$22)+1))</f>
        <v>4</v>
      </c>
      <c r="AR6" s="48">
        <f>IF(AR5="",0,IF(YEAR(Start_period)=AR8,1,(KPI!AR8-'Info Sheet'!$D$22)+1))</f>
        <v>5</v>
      </c>
      <c r="AS6" s="48">
        <f>IF(AS5="",0,IF(YEAR(Start_period)=AS8,1,(KPI!AS8-'Info Sheet'!$D$22)+1))</f>
        <v>5</v>
      </c>
      <c r="AT6" s="48">
        <f>IF(AT5="",0,IF(YEAR(Start_period)=AT8,1,(KPI!AT8-'Info Sheet'!$D$22)+1))</f>
        <v>5</v>
      </c>
      <c r="AU6" s="48">
        <f>IF(AU5="",0,IF(YEAR(Start_period)=AU8,1,(KPI!AU8-'Info Sheet'!$D$22)+1))</f>
        <v>5</v>
      </c>
      <c r="AV6" s="48">
        <f>IF(AV5="",0,IF(YEAR(Start_period)=AV8,1,(KPI!AV8-'Info Sheet'!$D$22)+1))</f>
        <v>5</v>
      </c>
      <c r="AW6" s="48">
        <f>IF(AW5="",0,IF(YEAR(Start_period)=AW8,1,(KPI!AW8-'Info Sheet'!$D$22)+1))</f>
        <v>5</v>
      </c>
      <c r="AX6" s="48">
        <f>IF(AX5="",0,IF(YEAR(Start_period)=AX8,1,(KPI!AX8-'Info Sheet'!$D$22)+1))</f>
        <v>5</v>
      </c>
      <c r="AY6" s="48">
        <f>IF(AY5="",0,IF(YEAR(Start_period)=AY8,1,(KPI!AY8-'Info Sheet'!$D$22)+1))</f>
        <v>5</v>
      </c>
      <c r="AZ6" s="48">
        <f>IF(AZ5="",0,IF(YEAR(Start_period)=AZ8,1,(KPI!AZ8-'Info Sheet'!$D$22)+1))</f>
        <v>5</v>
      </c>
      <c r="BA6" s="48">
        <f>IF(BA5="",0,IF(YEAR(Start_period)=BA8,1,(KPI!BA8-'Info Sheet'!$D$22)+1))</f>
        <v>5</v>
      </c>
      <c r="BB6" s="48">
        <f>IF(BB5="",0,IF(YEAR(Start_period)=BB8,1,(KPI!BB8-'Info Sheet'!$D$22)+1))</f>
        <v>5</v>
      </c>
      <c r="BC6" s="48">
        <f>IF(BC5="",0,IF(YEAR(Start_period)=BC8,1,(KPI!BC8-'Info Sheet'!$D$22)+1))</f>
        <v>5</v>
      </c>
      <c r="BD6" s="48">
        <f>IF(BD5="",0,IF(YEAR(Start_period)=BD8,1,(KPI!BD8-'Info Sheet'!$D$22)+1))</f>
        <v>6</v>
      </c>
      <c r="BE6" s="48">
        <f>IF(BE5="",0,IF(YEAR(Start_period)=BE8,1,(KPI!BE8-'Info Sheet'!$D$22)+1))</f>
        <v>6</v>
      </c>
      <c r="BF6" s="48">
        <f>IF(BF5="",0,IF(YEAR(Start_period)=BF8,1,(KPI!BF8-'Info Sheet'!$D$22)+1))</f>
        <v>6</v>
      </c>
      <c r="BG6" s="48">
        <f>IF(BG5="",0,IF(YEAR(Start_period)=BG8,1,(KPI!BG8-'Info Sheet'!$D$22)+1))</f>
        <v>6</v>
      </c>
      <c r="BH6" s="48">
        <f>IF(BH5="",0,IF(YEAR(Start_period)=BH8,1,(KPI!BH8-'Info Sheet'!$D$22)+1))</f>
        <v>6</v>
      </c>
      <c r="BI6" s="48">
        <f>IF(BI5="",0,IF(YEAR(Start_period)=BI8,1,(KPI!BI8-'Info Sheet'!$D$22)+1))</f>
        <v>6</v>
      </c>
      <c r="BJ6" s="48">
        <f>IF(BJ5="",0,IF(YEAR(Start_period)=BJ8,1,(KPI!BJ8-'Info Sheet'!$D$22)+1))</f>
        <v>6</v>
      </c>
      <c r="BK6" s="48">
        <f>IF(BK5="",0,IF(YEAR(Start_period)=BK8,1,(KPI!BK8-'Info Sheet'!$D$22)+1))</f>
        <v>6</v>
      </c>
      <c r="BL6" s="48">
        <f>IF(BL5="",0,IF(YEAR(Start_period)=BL8,1,(KPI!BL8-'Info Sheet'!$D$22)+1))</f>
        <v>6</v>
      </c>
      <c r="BM6" s="48">
        <f>IF(BM5="",0,IF(YEAR(Start_period)=BM8,1,(KPI!BM8-'Info Sheet'!$D$22)+1))</f>
        <v>6</v>
      </c>
      <c r="BN6" s="48">
        <f>IF(BN5="",0,IF(YEAR(Start_period)=BN8,1,(KPI!BN8-'Info Sheet'!$D$22)+1))</f>
        <v>0</v>
      </c>
      <c r="BO6" s="48">
        <f>IF(BO5="",0,IF(YEAR(Start_period)=BO8,1,(KPI!BO8-'Info Sheet'!$D$22)+1))</f>
        <v>0</v>
      </c>
      <c r="BP6" s="48">
        <f>IF(BP5="",0,IF(YEAR(Start_period)=BP8,1,(KPI!BP8-'Info Sheet'!$D$22)+1))</f>
        <v>0</v>
      </c>
      <c r="BQ6" s="48">
        <f>IF(BQ5="",0,IF(YEAR(Start_period)=BQ8,1,(KPI!BQ8-'Info Sheet'!$D$22)+1))</f>
        <v>0</v>
      </c>
      <c r="BR6" s="48">
        <f>IF(BR5="",0,IF(YEAR(Start_period)=BR8,1,(KPI!BR8-'Info Sheet'!$D$22)+1))</f>
        <v>0</v>
      </c>
      <c r="BS6" s="48">
        <f>IF(BS5="",0,IF(YEAR(Start_period)=BS8,1,(KPI!BS8-'Info Sheet'!$D$22)+1))</f>
        <v>0</v>
      </c>
      <c r="BT6" s="48">
        <f>IF(BT5="",0,IF(YEAR(Start_period)=BT8,1,(KPI!BT8-'Info Sheet'!$D$22)+1))</f>
        <v>0</v>
      </c>
      <c r="BU6" s="48">
        <f>IF(BU5="",0,IF(YEAR(Start_period)=BU8,1,(KPI!BU8-'Info Sheet'!$D$22)+1))</f>
        <v>0</v>
      </c>
      <c r="BV6" s="48">
        <f>IF(BV5="",0,IF(YEAR(Start_period)=BV8,1,(KPI!BV8-'Info Sheet'!$D$22)+1))</f>
        <v>0</v>
      </c>
      <c r="BW6" s="48">
        <f>IF(BW5="",0,IF(YEAR(Start_period)=BW8,1,(KPI!BW8-'Info Sheet'!$D$22)+1))</f>
        <v>0</v>
      </c>
      <c r="BX6" s="48">
        <f>IF(BX5="",0,IF(YEAR(Start_period)=BX8,1,(KPI!BX8-'Info Sheet'!$D$22)+1))</f>
        <v>0</v>
      </c>
      <c r="BY6" s="48">
        <f>IF(BY5="",0,IF(YEAR(Start_period)=BY8,1,(KPI!BY8-'Info Sheet'!$D$22)+1))</f>
        <v>0</v>
      </c>
      <c r="BZ6" s="48">
        <f>IF(BZ5="",0,IF(YEAR(Start_period)=BZ8,1,(KPI!BZ8-'Info Sheet'!$D$22)+1))</f>
        <v>0</v>
      </c>
      <c r="CA6" s="48">
        <f>IF(CA5="",0,IF(YEAR(Start_period)=CA8,1,(KPI!CA8-'Info Sheet'!$D$22)+1))</f>
        <v>0</v>
      </c>
      <c r="CB6" s="48">
        <f>IF(CB5="",0,IF(YEAR(Start_period)=CB8,1,(KPI!CB8-'Info Sheet'!$D$22)+1))</f>
        <v>0</v>
      </c>
      <c r="CC6" s="48">
        <f>IF(CC5="",0,IF(YEAR(Start_period)=CC8,1,(KPI!CC8-'Info Sheet'!$D$22)+1))</f>
        <v>0</v>
      </c>
      <c r="CD6" s="48">
        <f>IF(CD5="",0,IF(YEAR(Start_period)=CD8,1,(KPI!CD8-'Info Sheet'!$D$22)+1))</f>
        <v>0</v>
      </c>
      <c r="CE6" s="48">
        <f>IF(CE5="",0,IF(YEAR(Start_period)=CE8,1,(KPI!CE8-'Info Sheet'!$D$22)+1))</f>
        <v>0</v>
      </c>
      <c r="CF6" s="48">
        <f>IF(CF5="",0,IF(YEAR(Start_period)=CF8,1,(KPI!CF8-'Info Sheet'!$D$22)+1))</f>
        <v>0</v>
      </c>
      <c r="CG6" s="48">
        <f>IF(CG5="",0,IF(YEAR(Start_period)=CG8,1,(KPI!CG8-'Info Sheet'!$D$22)+1))</f>
        <v>0</v>
      </c>
      <c r="CH6" s="48">
        <f>IF(CH5="",0,IF(YEAR(Start_period)=CH8,1,(KPI!CH8-'Info Sheet'!$D$22)+1))</f>
        <v>0</v>
      </c>
      <c r="CI6" s="48">
        <f>IF(CI5="",0,IF(YEAR(Start_period)=CI8,1,(KPI!CI8-'Info Sheet'!$D$22)+1))</f>
        <v>0</v>
      </c>
      <c r="CJ6" s="48">
        <f>IF(CJ5="",0,IF(YEAR(Start_period)=CJ8,1,(KPI!CJ8-'Info Sheet'!$D$22)+1))</f>
        <v>0</v>
      </c>
      <c r="CK6" s="48">
        <f>IF(CK5="",0,IF(YEAR(Start_period)=CK8,1,(KPI!CK8-'Info Sheet'!$D$22)+1))</f>
        <v>0</v>
      </c>
      <c r="CL6" s="48">
        <f>IF(CL5="",0,IF(YEAR(Start_period)=CL8,1,(KPI!CL8-'Info Sheet'!$D$22)+1))</f>
        <v>0</v>
      </c>
      <c r="CM6" s="48">
        <f>IF(CM5="",0,IF(YEAR(Start_period)=CM8,1,(KPI!CM8-'Info Sheet'!$D$22)+1))</f>
        <v>0</v>
      </c>
      <c r="CN6" s="48">
        <f>IF(CN5="",0,IF(YEAR(Start_period)=CN8,1,(KPI!CN8-'Info Sheet'!$D$22)+1))</f>
        <v>0</v>
      </c>
      <c r="CO6" s="48">
        <f>IF(CO5="",0,IF(YEAR(Start_period)=CO8,1,(KPI!CO8-'Info Sheet'!$D$22)+1))</f>
        <v>0</v>
      </c>
      <c r="CP6" s="48">
        <f>IF(CP5="",0,IF(YEAR(Start_period)=CP8,1,(KPI!CP8-'Info Sheet'!$D$22)+1))</f>
        <v>0</v>
      </c>
      <c r="CQ6" s="48">
        <f>IF(CQ5="",0,IF(YEAR(Start_period)=CQ8,1,(KPI!CQ8-'Info Sheet'!$D$22)+1))</f>
        <v>0</v>
      </c>
      <c r="CR6" s="48">
        <f>IF(CR5="",0,IF(YEAR(Start_period)=CR8,1,(KPI!CR8-'Info Sheet'!$D$22)+1))</f>
        <v>0</v>
      </c>
      <c r="CS6" s="48">
        <f>IF(CS5="",0,IF(YEAR(Start_period)=CS8,1,(KPI!CS8-'Info Sheet'!$D$22)+1))</f>
        <v>0</v>
      </c>
      <c r="CT6" s="48">
        <f>IF(CT5="",0,IF(YEAR(Start_period)=CT8,1,(KPI!CT8-'Info Sheet'!$D$22)+1))</f>
        <v>0</v>
      </c>
      <c r="CU6" s="48">
        <f>IF(CU5="",0,IF(YEAR(Start_period)=CU8,1,(KPI!CU8-'Info Sheet'!$D$22)+1))</f>
        <v>0</v>
      </c>
      <c r="CV6" s="48">
        <f>IF(CV5="",0,IF(YEAR(Start_period)=CV8,1,(KPI!CV8-'Info Sheet'!$D$22)+1))</f>
        <v>0</v>
      </c>
      <c r="CW6" s="48">
        <f>IF(CW5="",0,IF(YEAR(Start_period)=CW8,1,(KPI!CW8-'Info Sheet'!$D$22)+1))</f>
        <v>0</v>
      </c>
      <c r="CX6" s="48">
        <f>IF(CX5="",0,IF(YEAR(Start_period)=CX8,1,(KPI!CX8-'Info Sheet'!$D$22)+1))</f>
        <v>0</v>
      </c>
      <c r="CY6" s="48">
        <f>IF(CY5="",0,IF(YEAR(Start_period)=CY8,1,(KPI!CY8-'Info Sheet'!$D$22)+1))</f>
        <v>0</v>
      </c>
      <c r="CZ6" s="48">
        <f>IF(CZ5="",0,IF(YEAR(Start_period)=CZ8,1,(KPI!CZ8-'Info Sheet'!$D$22)+1))</f>
        <v>0</v>
      </c>
      <c r="DA6" s="48">
        <f>IF(DA5="",0,IF(YEAR(Start_period)=DA8,1,(KPI!DA8-'Info Sheet'!$D$22)+1))</f>
        <v>0</v>
      </c>
      <c r="DB6" s="48">
        <f>IF(DB5="",0,IF(YEAR(Start_period)=DB8,1,(KPI!DB8-'Info Sheet'!$D$22)+1))</f>
        <v>0</v>
      </c>
      <c r="DC6" s="48">
        <f>IF(DC5="",0,IF(YEAR(Start_period)=DC8,1,(KPI!DC8-'Info Sheet'!$D$22)+1))</f>
        <v>0</v>
      </c>
      <c r="DD6" s="48">
        <f>IF(DD5="",0,IF(YEAR(Start_period)=DD8,1,(KPI!DD8-'Info Sheet'!$D$22)+1))</f>
        <v>0</v>
      </c>
      <c r="DE6" s="48">
        <f>IF(DE5="",0,IF(YEAR(Start_period)=DE8,1,(KPI!DE8-'Info Sheet'!$D$22)+1))</f>
        <v>0</v>
      </c>
      <c r="DF6" s="48">
        <f>IF(DF5="",0,IF(YEAR(Start_period)=DF8,1,(KPI!DF8-'Info Sheet'!$D$22)+1))</f>
        <v>0</v>
      </c>
      <c r="DG6" s="48">
        <f>IF(DG5="",0,IF(YEAR(Start_period)=DG8,1,(KPI!DG8-'Info Sheet'!$D$22)+1))</f>
        <v>0</v>
      </c>
      <c r="DH6" s="48">
        <f>IF(DH5="",0,IF(YEAR(Start_period)=DH8,1,(KPI!DH8-'Info Sheet'!$D$22)+1))</f>
        <v>0</v>
      </c>
      <c r="DI6" s="48">
        <f>IF(DI5="",0,IF(YEAR(Start_period)=DI8,1,(KPI!DI8-'Info Sheet'!$D$22)+1))</f>
        <v>0</v>
      </c>
      <c r="DJ6" s="48">
        <f>IF(DJ5="",0,IF(YEAR(Start_period)=DJ8,1,(KPI!DJ8-'Info Sheet'!$D$22)+1))</f>
        <v>0</v>
      </c>
      <c r="DK6" s="48">
        <f>IF(DK5="",0,IF(YEAR(Start_period)=DK8,1,(KPI!DK8-'Info Sheet'!$D$22)+1))</f>
        <v>0</v>
      </c>
      <c r="DL6" s="48">
        <f>IF(DL5="",0,IF(YEAR(Start_period)=DL8,1,(KPI!DL8-'Info Sheet'!$D$22)+1))</f>
        <v>0</v>
      </c>
      <c r="DM6" s="48">
        <f>IF(DM5="",0,IF(YEAR(Start_period)=DM8,1,(KPI!DM8-'Info Sheet'!$D$22)+1))</f>
        <v>0</v>
      </c>
      <c r="DN6" s="48">
        <f>IF(DN5="",0,IF(YEAR(Start_period)=DN8,1,(KPI!DN8-'Info Sheet'!$D$22)+1))</f>
        <v>0</v>
      </c>
      <c r="DO6" s="48">
        <f>IF(DO5="",0,IF(YEAR(Start_period)=DO8,1,(KPI!DO8-'Info Sheet'!$D$22)+1))</f>
        <v>0</v>
      </c>
      <c r="DP6" s="48">
        <f>IF(DP5="",0,IF(YEAR(Start_period)=DP8,1,(KPI!DP8-'Info Sheet'!$D$22)+1))</f>
        <v>0</v>
      </c>
      <c r="DQ6" s="48">
        <f>IF(DQ5="",0,IF(YEAR(Start_period)=DQ8,1,(KPI!DQ8-'Info Sheet'!$D$22)+1))</f>
        <v>0</v>
      </c>
      <c r="DR6" s="48">
        <f>IF(DR5="",0,IF(YEAR(Start_period)=DR8,1,(KPI!DR8-'Info Sheet'!$D$22)+1))</f>
        <v>0</v>
      </c>
      <c r="DS6" s="48">
        <f>IF(DS5="",0,IF(YEAR(Start_period)=DS8,1,(KPI!DS8-'Info Sheet'!$D$22)+1))</f>
        <v>0</v>
      </c>
      <c r="DT6" s="48">
        <f>IF(DT5="",0,IF(YEAR(Start_period)=DT8,1,(KPI!DT8-'Info Sheet'!$D$22)+1))</f>
        <v>0</v>
      </c>
      <c r="DU6" s="48">
        <f>IF(DU5="",0,IF(YEAR(Start_period)=DU8,1,(KPI!DU8-'Info Sheet'!$D$22)+1))</f>
        <v>0</v>
      </c>
      <c r="DV6" s="48">
        <f>IF(DV5="",0,IF(YEAR(Start_period)=DV8,1,(KPI!DV8-'Info Sheet'!$D$22)+1))</f>
        <v>0</v>
      </c>
      <c r="DW6" s="48">
        <f>IF(DW5="",0,IF(YEAR(Start_period)=DW8,1,(KPI!DW8-'Info Sheet'!$D$22)+1))</f>
        <v>0</v>
      </c>
      <c r="DX6" s="48">
        <f>IF(DX5="",0,IF(YEAR(Start_period)=DX8,1,(KPI!DX8-'Info Sheet'!$D$22)+1))</f>
        <v>0</v>
      </c>
      <c r="DY6" s="48">
        <f>IF(DY5="",0,IF(YEAR(Start_period)=DY8,1,(KPI!DY8-'Info Sheet'!$D$22)+1))</f>
        <v>0</v>
      </c>
      <c r="DZ6" s="48">
        <f>IF(DZ5="",0,IF(YEAR(Start_period)=DZ8,1,(KPI!DZ8-'Info Sheet'!$D$22)+1))</f>
        <v>0</v>
      </c>
      <c r="EA6" s="48">
        <f>IF(EA5="",0,IF(YEAR(Start_period)=EA8,1,(KPI!EA8-'Info Sheet'!$D$22)+1))</f>
        <v>0</v>
      </c>
      <c r="EB6" s="48">
        <f>IF(EB5="",0,IF(YEAR(Start_period)=EB8,1,(KPI!EB8-'Info Sheet'!$D$22)+1))</f>
        <v>0</v>
      </c>
      <c r="EC6" s="48">
        <f>IF(EC5="",0,IF(YEAR(Start_period)=EC8,1,(KPI!EC8-'Info Sheet'!$D$22)+1))</f>
        <v>0</v>
      </c>
      <c r="ED6" s="48">
        <f>IF(ED5="",0,IF(YEAR(Start_period)=ED8,1,(KPI!ED8-'Info Sheet'!$D$22)+1))</f>
        <v>0</v>
      </c>
      <c r="EE6" s="48">
        <f>IF(EE5="",0,IF(YEAR(Start_period)=EE8,1,(KPI!EE8-'Info Sheet'!$D$22)+1))</f>
        <v>0</v>
      </c>
      <c r="EF6" s="48">
        <f>IF(EF5="",0,IF(YEAR(Start_period)=EF8,1,(KPI!EF8-'Info Sheet'!$D$22)+1))</f>
        <v>0</v>
      </c>
      <c r="EG6" s="48">
        <f>IF(EG5="",0,IF(YEAR(Start_period)=EG8,1,(KPI!EG8-'Info Sheet'!$D$22)+1))</f>
        <v>0</v>
      </c>
      <c r="EH6" s="48">
        <f>IF(EH5="",0,IF(YEAR(Start_period)=EH8,1,(KPI!EH8-'Info Sheet'!$D$22)+1))</f>
        <v>0</v>
      </c>
      <c r="EI6" s="48">
        <f>IF(EI5="",0,IF(YEAR(Start_period)=EI8,1,(KPI!EI8-'Info Sheet'!$D$22)+1))</f>
        <v>0</v>
      </c>
      <c r="EJ6" s="48">
        <f>IF(EJ5="",0,IF(YEAR(Start_period)=EJ8,1,(KPI!EJ8-'Info Sheet'!$D$22)+1))</f>
        <v>0</v>
      </c>
      <c r="EK6" s="48">
        <f>IF(EK5="",0,IF(YEAR(Start_period)=EK8,1,(KPI!EK8-'Info Sheet'!$D$22)+1))</f>
        <v>0</v>
      </c>
      <c r="EL6" s="48">
        <f>IF(EL5="",0,IF(YEAR(Start_period)=EL8,1,(KPI!EL8-'Info Sheet'!$D$22)+1))</f>
        <v>0</v>
      </c>
      <c r="EM6" s="48">
        <f>IF(EM5="",0,IF(YEAR(Start_period)=EM8,1,(KPI!EM8-'Info Sheet'!$D$22)+1))</f>
        <v>0</v>
      </c>
      <c r="EN6" s="48">
        <f>IF(EN5="",0,IF(YEAR(Start_period)=EN8,1,(KPI!EN8-'Info Sheet'!$D$22)+1))</f>
        <v>0</v>
      </c>
      <c r="EO6" s="48">
        <f>IF(EO5="",0,IF(YEAR(Start_period)=EO8,1,(KPI!EO8-'Info Sheet'!$D$22)+1))</f>
        <v>0</v>
      </c>
      <c r="EP6" s="48">
        <f>IF(EP5="",0,IF(YEAR(Start_period)=EP8,1,(KPI!EP8-'Info Sheet'!$D$22)+1))</f>
        <v>0</v>
      </c>
      <c r="EQ6" s="48">
        <f>IF(EQ5="",0,IF(YEAR(Start_period)=EQ8,1,(KPI!EQ8-'Info Sheet'!$D$22)+1))</f>
        <v>0</v>
      </c>
      <c r="ER6" s="48">
        <f>IF(ER5="",0,IF(YEAR(Start_period)=ER8,1,(KPI!ER8-'Info Sheet'!$D$22)+1))</f>
        <v>0</v>
      </c>
      <c r="ES6" s="48">
        <f>IF(ES5="",0,IF(YEAR(Start_period)=ES8,1,(KPI!ES8-'Info Sheet'!$D$22)+1))</f>
        <v>0</v>
      </c>
      <c r="ET6" s="48">
        <f>IF(ET5="",0,IF(YEAR(Start_period)=ET8,1,(KPI!ET8-'Info Sheet'!$D$22)+1))</f>
        <v>0</v>
      </c>
      <c r="EU6" s="48">
        <f>IF(EU5="",0,IF(YEAR(Start_period)=EU8,1,(KPI!EU8-'Info Sheet'!$D$22)+1))</f>
        <v>0</v>
      </c>
      <c r="EV6" s="48">
        <f>IF(EV5="",0,IF(YEAR(Start_period)=EV8,1,(KPI!EV8-'Info Sheet'!$D$22)+1))</f>
        <v>0</v>
      </c>
      <c r="EW6" s="48">
        <f>IF(EW5="",0,IF(YEAR(Start_period)=EW8,1,(KPI!EW8-'Info Sheet'!$D$22)+1))</f>
        <v>0</v>
      </c>
      <c r="EX6" s="48">
        <f>IF(EX5="",0,IF(YEAR(Start_period)=EX8,1,(KPI!EX8-'Info Sheet'!$D$22)+1))</f>
        <v>0</v>
      </c>
      <c r="EY6" s="48">
        <f>IF(EY5="",0,IF(YEAR(Start_period)=EY8,1,(KPI!EY8-'Info Sheet'!$D$22)+1))</f>
        <v>0</v>
      </c>
      <c r="EZ6" s="48">
        <f>IF(EZ5="",0,IF(YEAR(Start_period)=EZ8,1,(KPI!EZ8-'Info Sheet'!$D$22)+1))</f>
        <v>0</v>
      </c>
      <c r="FA6" s="48">
        <f>IF(FA5="",0,IF(YEAR(Start_period)=FA8,1,(KPI!FA8-'Info Sheet'!$D$22)+1))</f>
        <v>0</v>
      </c>
      <c r="FB6" s="48">
        <f>IF(FB5="",0,IF(YEAR(Start_period)=FB8,1,(KPI!FB8-'Info Sheet'!$D$22)+1))</f>
        <v>0</v>
      </c>
      <c r="FC6" s="48">
        <f>IF(FC5="",0,IF(YEAR(Start_period)=FC8,1,(KPI!FC8-'Info Sheet'!$D$22)+1))</f>
        <v>0</v>
      </c>
      <c r="FD6" s="48">
        <f>IF(FD5="",0,IF(YEAR(Start_period)=FD8,1,(KPI!FD8-'Info Sheet'!$D$22)+1))</f>
        <v>0</v>
      </c>
      <c r="FE6" s="48">
        <f>IF(FE5="",0,IF(YEAR(Start_period)=FE8,1,(KPI!FE8-'Info Sheet'!$D$22)+1))</f>
        <v>0</v>
      </c>
      <c r="FF6" s="48">
        <f>IF(FF5="",0,IF(YEAR(Start_period)=FF8,1,(KPI!FF8-'Info Sheet'!$D$22)+1))</f>
        <v>0</v>
      </c>
      <c r="FG6" s="48">
        <f>IF(FG5="",0,IF(YEAR(Start_period)=FG8,1,(KPI!FG8-'Info Sheet'!$D$22)+1))</f>
        <v>0</v>
      </c>
      <c r="FH6" s="48">
        <f>IF(FH5="",0,IF(YEAR(Start_period)=FH8,1,(KPI!FH8-'Info Sheet'!$D$22)+1))</f>
        <v>0</v>
      </c>
      <c r="FI6" s="48">
        <f>IF(FI5="",0,IF(YEAR(Start_period)=FI8,1,(KPI!FI8-'Info Sheet'!$D$22)+1))</f>
        <v>0</v>
      </c>
      <c r="FJ6" s="48">
        <f>IF(FJ5="",0,IF(YEAR(Start_period)=FJ8,1,(KPI!FJ8-'Info Sheet'!$D$22)+1))</f>
        <v>0</v>
      </c>
      <c r="FK6" s="48">
        <f>IF(FK5="",0,IF(YEAR(Start_period)=FK8,1,(KPI!FK8-'Info Sheet'!$D$22)+1))</f>
        <v>0</v>
      </c>
      <c r="FL6" s="48">
        <f>IF(FL5="",0,IF(YEAR(Start_period)=FL8,1,(KPI!FL8-'Info Sheet'!$D$22)+1))</f>
        <v>0</v>
      </c>
      <c r="FM6" s="48">
        <f>IF(FM5="",0,IF(YEAR(Start_period)=FM8,1,(KPI!FM8-'Info Sheet'!$D$22)+1))</f>
        <v>0</v>
      </c>
      <c r="FN6" s="48">
        <f>IF(FN5="",0,IF(YEAR(Start_period)=FN8,1,(KPI!FN8-'Info Sheet'!$D$22)+1))</f>
        <v>0</v>
      </c>
      <c r="FO6" s="48">
        <f>IF(FO5="",0,IF(YEAR(Start_period)=FO8,1,(KPI!FO8-'Info Sheet'!$D$22)+1))</f>
        <v>0</v>
      </c>
      <c r="FP6" s="48">
        <f>IF(FP5="",0,IF(YEAR(Start_period)=FP8,1,(KPI!FP8-'Info Sheet'!$D$22)+1))</f>
        <v>0</v>
      </c>
      <c r="FQ6" s="48">
        <f>IF(FQ5="",0,IF(YEAR(Start_period)=FQ8,1,(KPI!FQ8-'Info Sheet'!$D$22)+1))</f>
        <v>0</v>
      </c>
      <c r="FR6" s="48">
        <f>IF(FR5="",0,IF(YEAR(Start_period)=FR8,1,(KPI!FR8-'Info Sheet'!$D$22)+1))</f>
        <v>0</v>
      </c>
      <c r="FS6" s="48">
        <f>IF(FS5="",0,IF(YEAR(Start_period)=FS8,1,(KPI!FS8-'Info Sheet'!$D$22)+1))</f>
        <v>0</v>
      </c>
      <c r="FT6" s="48">
        <f>IF(FT5="",0,IF(YEAR(Start_period)=FT8,1,(KPI!FT8-'Info Sheet'!$D$22)+1))</f>
        <v>0</v>
      </c>
      <c r="FU6" s="48">
        <f>IF(FU5="",0,IF(YEAR(Start_period)=FU8,1,(KPI!FU8-'Info Sheet'!$D$22)+1))</f>
        <v>0</v>
      </c>
      <c r="FV6" s="48">
        <f>IF(FV5="",0,IF(YEAR(Start_period)=FV8,1,(KPI!FV8-'Info Sheet'!$D$22)+1))</f>
        <v>0</v>
      </c>
      <c r="FW6" s="48">
        <f>IF(FW5="",0,IF(YEAR(Start_period)=FW8,1,(KPI!FW8-'Info Sheet'!$D$22)+1))</f>
        <v>0</v>
      </c>
      <c r="FX6" s="48">
        <f>IF(FX5="",0,IF(YEAR(Start_period)=FX8,1,(KPI!FX8-'Info Sheet'!$D$22)+1))</f>
        <v>0</v>
      </c>
      <c r="FY6" s="48">
        <f>IF(FY5="",0,IF(YEAR(Start_period)=FY8,1,(KPI!FY8-'Info Sheet'!$D$22)+1))</f>
        <v>0</v>
      </c>
      <c r="FZ6" s="48">
        <f>IF(FZ5="",0,IF(YEAR(Start_period)=FZ8,1,(KPI!FZ8-'Info Sheet'!$D$22)+1))</f>
        <v>0</v>
      </c>
      <c r="GA6" s="48">
        <f>IF(GA5="",0,IF(YEAR(Start_period)=GA8,1,(KPI!GA8-'Info Sheet'!$D$22)+1))</f>
        <v>0</v>
      </c>
      <c r="GB6" s="48">
        <f>IF(GB5="",0,IF(YEAR(Start_period)=GB8,1,(KPI!GB8-'Info Sheet'!$D$22)+1))</f>
        <v>0</v>
      </c>
      <c r="GC6" s="48">
        <f>IF(GC5="",0,IF(YEAR(Start_period)=GC8,1,(KPI!GC8-'Info Sheet'!$D$22)+1))</f>
        <v>0</v>
      </c>
      <c r="GD6" s="48">
        <f>IF(GD5="",0,IF(YEAR(Start_period)=GD8,1,(KPI!GD8-'Info Sheet'!$D$22)+1))</f>
        <v>0</v>
      </c>
      <c r="GE6" s="48">
        <f>IF(GE5="",0,IF(YEAR(Start_period)=GE8,1,(KPI!GE8-'Info Sheet'!$D$22)+1))</f>
        <v>0</v>
      </c>
      <c r="GF6" s="48">
        <f>IF(GF5="",0,IF(YEAR(Start_period)=GF8,1,(KPI!GF8-'Info Sheet'!$D$22)+1))</f>
        <v>0</v>
      </c>
      <c r="GG6" s="48">
        <f>IF(GG5="",0,IF(YEAR(Start_period)=GG8,1,(KPI!GG8-'Info Sheet'!$D$22)+1))</f>
        <v>0</v>
      </c>
      <c r="GH6" s="48">
        <f>IF(GH5="",0,IF(YEAR(Start_period)=GH8,1,(KPI!GH8-'Info Sheet'!$D$22)+1))</f>
        <v>0</v>
      </c>
      <c r="GI6" s="48">
        <f>IF(GI5="",0,IF(YEAR(Start_period)=GI8,1,(KPI!GI8-'Info Sheet'!$D$22)+1))</f>
        <v>0</v>
      </c>
      <c r="GJ6" s="48">
        <f>IF(GJ5="",0,IF(YEAR(Start_period)=GJ8,1,(KPI!GJ8-'Info Sheet'!$D$22)+1))</f>
        <v>0</v>
      </c>
      <c r="GK6" s="48">
        <f>IF(GK5="",0,IF(YEAR(Start_period)=GK8,1,(KPI!GK8-'Info Sheet'!$D$22)+1))</f>
        <v>0</v>
      </c>
      <c r="GL6" s="48">
        <f>IF(GL5="",0,IF(YEAR(Start_period)=GL8,1,(KPI!GL8-'Info Sheet'!$D$22)+1))</f>
        <v>0</v>
      </c>
      <c r="GM6" s="48">
        <f>IF(GM5="",0,IF(YEAR(Start_period)=GM8,1,(KPI!GM8-'Info Sheet'!$D$22)+1))</f>
        <v>0</v>
      </c>
      <c r="GN6" s="48">
        <f>IF(GN5="",0,IF(YEAR(Start_period)=GN8,1,(KPI!GN8-'Info Sheet'!$D$22)+1))</f>
        <v>0</v>
      </c>
      <c r="GO6" s="48">
        <f>IF(GO5="",0,IF(YEAR(Start_period)=GO8,1,(KPI!GO8-'Info Sheet'!$D$22)+1))</f>
        <v>0</v>
      </c>
      <c r="GP6" s="48">
        <f>IF(GP5="",0,IF(YEAR(Start_period)=GP8,1,(KPI!GP8-'Info Sheet'!$D$22)+1))</f>
        <v>0</v>
      </c>
      <c r="GQ6" s="48">
        <f>IF(GQ5="",0,IF(YEAR(Start_period)=GQ8,1,(KPI!GQ8-'Info Sheet'!$D$22)+1))</f>
        <v>0</v>
      </c>
      <c r="GR6" s="48">
        <f>IF(GR5="",0,IF(YEAR(Start_period)=GR8,1,(KPI!GR8-'Info Sheet'!$D$22)+1))</f>
        <v>0</v>
      </c>
      <c r="GS6" s="48">
        <f>IF(GS5="",0,IF(YEAR(Start_period)=GS8,1,(KPI!GS8-'Info Sheet'!$D$22)+1))</f>
        <v>0</v>
      </c>
      <c r="GT6" s="48">
        <f>IF(GT5="",0,IF(YEAR(Start_period)=GT8,1,(KPI!GT8-'Info Sheet'!$D$22)+1))</f>
        <v>0</v>
      </c>
      <c r="GU6" s="48">
        <f>IF(GU5="",0,IF(YEAR(Start_period)=GU8,1,(KPI!GU8-'Info Sheet'!$D$22)+1))</f>
        <v>0</v>
      </c>
      <c r="GV6" s="48">
        <f>IF(GV5="",0,IF(YEAR(Start_period)=GV8,1,(KPI!GV8-'Info Sheet'!$D$22)+1))</f>
        <v>0</v>
      </c>
      <c r="GW6" s="48">
        <f>IF(GW5="",0,IF(YEAR(Start_period)=GW8,1,(KPI!GW8-'Info Sheet'!$D$22)+1))</f>
        <v>0</v>
      </c>
      <c r="GX6" s="48">
        <f>IF(GX5="",0,IF(YEAR(Start_period)=GX8,1,(KPI!GX8-'Info Sheet'!$D$22)+1))</f>
        <v>0</v>
      </c>
      <c r="GY6" s="48">
        <f>IF(GY5="",0,IF(YEAR(Start_period)=GY8,1,(KPI!GY8-'Info Sheet'!$D$22)+1))</f>
        <v>0</v>
      </c>
      <c r="GZ6" s="48">
        <f>IF(GZ5="",0,IF(YEAR(Start_period)=GZ8,1,(KPI!GZ8-'Info Sheet'!$D$22)+1))</f>
        <v>0</v>
      </c>
      <c r="HA6" s="48">
        <f>IF(HA5="",0,IF(YEAR(Start_period)=HA8,1,(KPI!HA8-'Info Sheet'!$D$22)+1))</f>
        <v>0</v>
      </c>
      <c r="HB6" s="48">
        <f>IF(HB5="",0,IF(YEAR(Start_period)=HB8,1,(KPI!HB8-'Info Sheet'!$D$22)+1))</f>
        <v>0</v>
      </c>
      <c r="HC6" s="48">
        <f>IF(HC5="",0,IF(YEAR(Start_period)=HC8,1,(KPI!HC8-'Info Sheet'!$D$22)+1))</f>
        <v>0</v>
      </c>
      <c r="HD6" s="48">
        <f>IF(HD5="",0,IF(YEAR(Start_period)=HD8,1,(KPI!HD8-'Info Sheet'!$D$22)+1))</f>
        <v>0</v>
      </c>
      <c r="HE6" s="48">
        <f>IF(HE5="",0,IF(YEAR(Start_period)=HE8,1,(KPI!HE8-'Info Sheet'!$D$22)+1))</f>
        <v>0</v>
      </c>
      <c r="HF6" s="48">
        <f>IF(HF5="",0,IF(YEAR(Start_period)=HF8,1,(KPI!HF8-'Info Sheet'!$D$22)+1))</f>
        <v>0</v>
      </c>
      <c r="HG6" s="48">
        <f>IF(HG5="",0,IF(YEAR(Start_period)=HG8,1,(KPI!HG8-'Info Sheet'!$D$22)+1))</f>
        <v>0</v>
      </c>
      <c r="HH6" s="48">
        <f>IF(HH5="",0,IF(YEAR(Start_period)=HH8,1,(KPI!HH8-'Info Sheet'!$D$22)+1))</f>
        <v>0</v>
      </c>
      <c r="HI6" s="48">
        <f>IF(HI5="",0,IF(YEAR(Start_period)=HI8,1,(KPI!HI8-'Info Sheet'!$D$22)+1))</f>
        <v>0</v>
      </c>
      <c r="HJ6" s="48">
        <f>IF(HJ5="",0,IF(YEAR(Start_period)=HJ8,1,(KPI!HJ8-'Info Sheet'!$D$22)+1))</f>
        <v>0</v>
      </c>
      <c r="HK6" s="48">
        <f>IF(HK5="",0,IF(YEAR(Start_period)=HK8,1,(KPI!HK8-'Info Sheet'!$D$22)+1))</f>
        <v>0</v>
      </c>
      <c r="HL6" s="48">
        <f>IF(HL5="",0,IF(YEAR(Start_period)=HL8,1,(KPI!HL8-'Info Sheet'!$D$22)+1))</f>
        <v>0</v>
      </c>
      <c r="HM6" s="48">
        <f>IF(HM5="",0,IF(YEAR(Start_period)=HM8,1,(KPI!HM8-'Info Sheet'!$D$22)+1))</f>
        <v>0</v>
      </c>
      <c r="HN6" s="48">
        <f>IF(HN5="",0,IF(YEAR(Start_period)=HN8,1,(KPI!HN8-'Info Sheet'!$D$22)+1))</f>
        <v>0</v>
      </c>
      <c r="HO6" s="48">
        <f>IF(HO5="",0,IF(YEAR(Start_period)=HO8,1,(KPI!HO8-'Info Sheet'!$D$22)+1))</f>
        <v>0</v>
      </c>
      <c r="HP6" s="48">
        <f>IF(HP5="",0,IF(YEAR(Start_period)=HP8,1,(KPI!HP8-'Info Sheet'!$D$22)+1))</f>
        <v>0</v>
      </c>
      <c r="HQ6" s="48">
        <f>IF(HQ5="",0,IF(YEAR(Start_period)=HQ8,1,(KPI!HQ8-'Info Sheet'!$D$22)+1))</f>
        <v>0</v>
      </c>
      <c r="HR6" s="48">
        <f>IF(HR5="",0,IF(YEAR(Start_period)=HR8,1,(KPI!HR8-'Info Sheet'!$D$22)+1))</f>
        <v>0</v>
      </c>
      <c r="HS6" s="48">
        <f>IF(HS5="",0,IF(YEAR(Start_period)=HS8,1,(KPI!HS8-'Info Sheet'!$D$22)+1))</f>
        <v>0</v>
      </c>
      <c r="HT6" s="48">
        <f>IF(HT5="",0,IF(YEAR(Start_period)=HT8,1,(KPI!HT8-'Info Sheet'!$D$22)+1))</f>
        <v>0</v>
      </c>
      <c r="HU6" s="48">
        <f>IF(HU5="",0,IF(YEAR(Start_period)=HU8,1,(KPI!HU8-'Info Sheet'!$D$22)+1))</f>
        <v>0</v>
      </c>
      <c r="HV6" s="48">
        <f>IF(HV5="",0,IF(YEAR(Start_period)=HV8,1,(KPI!HV8-'Info Sheet'!$D$22)+1))</f>
        <v>0</v>
      </c>
      <c r="HW6" s="48">
        <f>IF(HW5="",0,IF(YEAR(Start_period)=HW8,1,(KPI!HW8-'Info Sheet'!$D$22)+1))</f>
        <v>0</v>
      </c>
      <c r="HX6" s="48">
        <f>IF(HX5="",0,IF(YEAR(Start_period)=HX8,1,(KPI!HX8-'Info Sheet'!$D$22)+1))</f>
        <v>0</v>
      </c>
      <c r="HY6" s="48">
        <f>IF(HY5="",0,IF(YEAR(Start_period)=HY8,1,(KPI!HY8-'Info Sheet'!$D$22)+1))</f>
        <v>0</v>
      </c>
      <c r="HZ6" s="48">
        <f>IF(HZ5="",0,IF(YEAR(Start_period)=HZ8,1,(KPI!HZ8-'Info Sheet'!$D$22)+1))</f>
        <v>0</v>
      </c>
      <c r="IA6" s="48">
        <f>IF(IA5="",0,IF(YEAR(Start_period)=IA8,1,(KPI!IA8-'Info Sheet'!$D$22)+1))</f>
        <v>0</v>
      </c>
      <c r="IB6" s="48">
        <f>IF(IB5="",0,IF(YEAR(Start_period)=IB8,1,(KPI!IB8-'Info Sheet'!$D$22)+1))</f>
        <v>0</v>
      </c>
      <c r="IC6" s="48">
        <f>IF(IC5="",0,IF(YEAR(Start_period)=IC8,1,(KPI!IC8-'Info Sheet'!$D$22)+1))</f>
        <v>0</v>
      </c>
      <c r="ID6" s="48">
        <f>IF(ID5="",0,IF(YEAR(Start_period)=ID8,1,(KPI!ID8-'Info Sheet'!$D$22)+1))</f>
        <v>0</v>
      </c>
      <c r="IE6" s="48">
        <f>IF(IE5="",0,IF(YEAR(Start_period)=IE8,1,(KPI!IE8-'Info Sheet'!$D$22)+1))</f>
        <v>0</v>
      </c>
      <c r="IF6" s="48">
        <f>IF(IF5="",0,IF(YEAR(Start_period)=IF8,1,(KPI!IF8-'Info Sheet'!$D$22)+1))</f>
        <v>0</v>
      </c>
      <c r="IG6" s="48">
        <f>IF(IG5="",0,IF(YEAR(Start_period)=IG8,1,(KPI!IG8-'Info Sheet'!$D$22)+1))</f>
        <v>0</v>
      </c>
      <c r="IH6" s="48">
        <f>IF(IH5="",0,IF(YEAR(Start_period)=IH8,1,(KPI!IH8-'Info Sheet'!$D$22)+1))</f>
        <v>0</v>
      </c>
      <c r="II6" s="48">
        <f>IF(II5="",0,IF(YEAR(Start_period)=II8,1,(KPI!II8-'Info Sheet'!$D$22)+1))</f>
        <v>0</v>
      </c>
      <c r="IJ6" s="48">
        <f>IF(IJ5="",0,IF(YEAR(Start_period)=IJ8,1,(KPI!IJ8-'Info Sheet'!$D$22)+1))</f>
        <v>0</v>
      </c>
      <c r="IK6" s="48">
        <f>IF(IK5="",0,IF(YEAR(Start_period)=IK8,1,(KPI!IK8-'Info Sheet'!$D$22)+1))</f>
        <v>0</v>
      </c>
      <c r="IL6" s="48">
        <f>IF(IL5="",0,IF(YEAR(Start_period)=IL8,1,(KPI!IL8-'Info Sheet'!$D$22)+1))</f>
        <v>0</v>
      </c>
      <c r="IM6" s="48">
        <f>IF(IM5="",0,IF(YEAR(Start_period)=IM8,1,(KPI!IM8-'Info Sheet'!$D$22)+1))</f>
        <v>0</v>
      </c>
      <c r="IN6" s="48">
        <f>IF(IN5="",0,IF(YEAR(Start_period)=IN8,1,(KPI!IN8-'Info Sheet'!$D$22)+1))</f>
        <v>0</v>
      </c>
      <c r="IO6" s="48">
        <f>IF(IO5="",0,IF(YEAR(Start_period)=IO8,1,(KPI!IO8-'Info Sheet'!$D$22)+1))</f>
        <v>0</v>
      </c>
      <c r="IP6" s="48">
        <f>IF(IP5="",0,IF(YEAR(Start_period)=IP8,1,(KPI!IP8-'Info Sheet'!$D$22)+1))</f>
        <v>0</v>
      </c>
      <c r="IQ6" s="48">
        <f>IF(IQ5="",0,IF(YEAR(Start_period)=IQ8,1,(KPI!IQ8-'Info Sheet'!$D$22)+1))</f>
        <v>0</v>
      </c>
      <c r="IR6" s="48">
        <f>IF(IR5="",0,IF(YEAR(Start_period)=IR8,1,(KPI!IR8-'Info Sheet'!$D$22)+1))</f>
        <v>0</v>
      </c>
      <c r="IS6" s="48">
        <f>IF(IS5="",0,IF(YEAR(Start_period)=IS8,1,(KPI!IS8-'Info Sheet'!$D$22)+1))</f>
        <v>0</v>
      </c>
      <c r="IT6" s="48">
        <f>IF(IT5="",0,IF(YEAR(Start_period)=IT8,1,(KPI!IT8-'Info Sheet'!$D$22)+1))</f>
        <v>0</v>
      </c>
      <c r="IU6" s="48">
        <f>IF(IU5="",0,IF(YEAR(Start_period)=IU8,1,(KPI!IU8-'Info Sheet'!$D$22)+1))</f>
        <v>0</v>
      </c>
      <c r="IV6" s="48">
        <f>IF(IV5="",0,IF(YEAR(Start_period)=IV8,1,(KPI!IV8-'Info Sheet'!$D$22)+1))</f>
        <v>0</v>
      </c>
      <c r="IW6" s="48">
        <f>IF(IW5="",0,IF(YEAR(Start_period)=IW8,1,(KPI!IW8-'Info Sheet'!$D$22)+1))</f>
        <v>0</v>
      </c>
      <c r="IX6" s="48">
        <f>IF(IX5="",0,IF(YEAR(Start_period)=IX8,1,(KPI!IX8-'Info Sheet'!$D$22)+1))</f>
        <v>0</v>
      </c>
      <c r="IY6" s="48">
        <f>IF(IY5="",0,IF(YEAR(Start_period)=IY8,1,(KPI!IY8-'Info Sheet'!$D$22)+1))</f>
        <v>0</v>
      </c>
      <c r="IZ6" s="48">
        <f>IF(IZ5="",0,IF(YEAR(Start_period)=IZ8,1,(KPI!IZ8-'Info Sheet'!$D$22)+1))</f>
        <v>0</v>
      </c>
      <c r="JA6" s="48">
        <f>IF(JA5="",0,IF(YEAR(Start_period)=JA8,1,(KPI!JA8-'Info Sheet'!$D$22)+1))</f>
        <v>0</v>
      </c>
      <c r="JB6" s="48">
        <f>IF(JB5="",0,IF(YEAR(Start_period)=JB8,1,(KPI!JB8-'Info Sheet'!$D$22)+1))</f>
        <v>0</v>
      </c>
      <c r="JC6" s="48">
        <f>IF(JC5="",0,IF(YEAR(Start_period)=JC8,1,(KPI!JC8-'Info Sheet'!$D$22)+1))</f>
        <v>0</v>
      </c>
      <c r="JD6" s="48">
        <f>IF(JD5="",0,IF(YEAR(Start_period)=JD8,1,(KPI!JD8-'Info Sheet'!$D$22)+1))</f>
        <v>0</v>
      </c>
      <c r="JE6" s="48">
        <f>IF(JE5="",0,IF(YEAR(Start_period)=JE8,1,(KPI!JE8-'Info Sheet'!$D$22)+1))</f>
        <v>0</v>
      </c>
      <c r="JF6" s="48">
        <f>IF(JF5="",0,IF(YEAR(Start_period)=JF8,1,(KPI!JF8-'Info Sheet'!$D$22)+1))</f>
        <v>0</v>
      </c>
      <c r="JG6" s="48">
        <f>IF(JG5="",0,IF(YEAR(Start_period)=JG8,1,(KPI!JG8-'Info Sheet'!$D$22)+1))</f>
        <v>0</v>
      </c>
      <c r="JH6" s="48">
        <f>IF(JH5="",0,IF(YEAR(Start_period)=JH8,1,(KPI!JH8-'Info Sheet'!$D$22)+1))</f>
        <v>0</v>
      </c>
      <c r="JI6" s="48">
        <f>IF(JI5="",0,IF(YEAR(Start_period)=JI8,1,(KPI!JI8-'Info Sheet'!$D$22)+1))</f>
        <v>0</v>
      </c>
      <c r="JJ6" s="48">
        <f>IF(JJ5="",0,IF(YEAR(Start_period)=JJ8,1,(KPI!JJ8-'Info Sheet'!$D$22)+1))</f>
        <v>0</v>
      </c>
      <c r="JK6" s="48">
        <f>IF(JK5="",0,IF(YEAR(Start_period)=JK8,1,(KPI!JK8-'Info Sheet'!$D$22)+1))</f>
        <v>0</v>
      </c>
      <c r="JL6" s="48">
        <f>IF(JL5="",0,IF(YEAR(Start_period)=JL8,1,(KPI!JL8-'Info Sheet'!$D$22)+1))</f>
        <v>0</v>
      </c>
      <c r="JM6" s="48">
        <f>IF(JM5="",0,IF(YEAR(Start_period)=JM8,1,(KPI!JM8-'Info Sheet'!$D$22)+1))</f>
        <v>0</v>
      </c>
      <c r="JN6" s="48">
        <f>IF(JN5="",0,IF(YEAR(Start_period)=JN8,1,(KPI!JN8-'Info Sheet'!$D$22)+1))</f>
        <v>0</v>
      </c>
      <c r="JO6" s="48">
        <f>IF(JO5="",0,IF(YEAR(Start_period)=JO8,1,(KPI!JO8-'Info Sheet'!$D$22)+1))</f>
        <v>0</v>
      </c>
      <c r="JP6" s="48">
        <f>IF(JP5="",0,IF(YEAR(Start_period)=JP8,1,(KPI!JP8-'Info Sheet'!$D$22)+1))</f>
        <v>0</v>
      </c>
      <c r="JQ6" s="48">
        <f>IF(JQ5="",0,IF(YEAR(Start_period)=JQ8,1,(KPI!JQ8-'Info Sheet'!$D$22)+1))</f>
        <v>0</v>
      </c>
      <c r="JR6" s="48">
        <f>IF(JR5="",0,IF(YEAR(Start_period)=JR8,1,(KPI!JR8-'Info Sheet'!$D$22)+1))</f>
        <v>0</v>
      </c>
      <c r="JS6" s="48">
        <f>IF(JS5="",0,IF(YEAR(Start_period)=JS8,1,(KPI!JS8-'Info Sheet'!$D$22)+1))</f>
        <v>0</v>
      </c>
      <c r="JT6" s="48">
        <f>IF(JT5="",0,IF(YEAR(Start_period)=JT8,1,(KPI!JT8-'Info Sheet'!$D$22)+1))</f>
        <v>0</v>
      </c>
      <c r="JU6" s="48">
        <f>IF(JU5="",0,IF(YEAR(Start_period)=JU8,1,(KPI!JU8-'Info Sheet'!$D$22)+1))</f>
        <v>0</v>
      </c>
      <c r="JV6" s="48">
        <f>IF(JV5="",0,IF(YEAR(Start_period)=JV8,1,(KPI!JV8-'Info Sheet'!$D$22)+1))</f>
        <v>0</v>
      </c>
      <c r="JW6" s="48">
        <f>IF(JW5="",0,IF(YEAR(Start_period)=JW8,1,(KPI!JW8-'Info Sheet'!$D$22)+1))</f>
        <v>0</v>
      </c>
      <c r="JX6" s="48">
        <f>IF(JX5="",0,IF(YEAR(Start_period)=JX8,1,(KPI!JX8-'Info Sheet'!$D$22)+1))</f>
        <v>0</v>
      </c>
      <c r="JY6" s="48">
        <f>IF(JY5="",0,IF(YEAR(Start_period)=JY8,1,(KPI!JY8-'Info Sheet'!$D$22)+1))</f>
        <v>0</v>
      </c>
      <c r="JZ6" s="48">
        <f>IF(JZ5="",0,IF(YEAR(Start_period)=JZ8,1,(KPI!JZ8-'Info Sheet'!$D$22)+1))</f>
        <v>0</v>
      </c>
      <c r="KA6" s="48">
        <f>IF(KA5="",0,IF(YEAR(Start_period)=KA8,1,(KPI!KA8-'Info Sheet'!$D$22)+1))</f>
        <v>0</v>
      </c>
      <c r="KB6" s="48">
        <f>IF(KB5="",0,IF(YEAR(Start_period)=KB8,1,(KPI!KB8-'Info Sheet'!$D$22)+1))</f>
        <v>0</v>
      </c>
      <c r="KC6" s="48">
        <f>IF(KC5="",0,IF(YEAR(Start_period)=KC8,1,(KPI!KC8-'Info Sheet'!$D$22)+1))</f>
        <v>0</v>
      </c>
      <c r="KD6" s="48">
        <f>IF(KD5="",0,IF(YEAR(Start_period)=KD8,1,(KPI!KD8-'Info Sheet'!$D$22)+1))</f>
        <v>0</v>
      </c>
      <c r="KE6" s="48">
        <f>IF(KE5="",0,IF(YEAR(Start_period)=KE8,1,(KPI!KE8-'Info Sheet'!$D$22)+1))</f>
        <v>0</v>
      </c>
      <c r="KF6" s="48">
        <f>IF(KF5="",0,IF(YEAR(Start_period)=KF8,1,(KPI!KF8-'Info Sheet'!$D$22)+1))</f>
        <v>0</v>
      </c>
      <c r="KG6" s="48">
        <f>IF(KG5="",0,IF(YEAR(Start_period)=KG8,1,(KPI!KG8-'Info Sheet'!$D$22)+1))</f>
        <v>0</v>
      </c>
      <c r="KH6" s="48">
        <f>IF(KH5="",0,IF(YEAR(Start_period)=KH8,1,(KPI!KH8-'Info Sheet'!$D$22)+1))</f>
        <v>0</v>
      </c>
      <c r="KI6" s="48">
        <f>IF(KI5="",0,IF(YEAR(Start_period)=KI8,1,(KPI!KI8-'Info Sheet'!$D$22)+1))</f>
        <v>0</v>
      </c>
      <c r="KJ6" s="48">
        <f>IF(KJ5="",0,IF(YEAR(Start_period)=KJ8,1,(KPI!KJ8-'Info Sheet'!$D$22)+1))</f>
        <v>0</v>
      </c>
      <c r="KK6" s="48">
        <f>IF(KK5="",0,IF(YEAR(Start_period)=KK8,1,(KPI!KK8-'Info Sheet'!$D$22)+1))</f>
        <v>0</v>
      </c>
      <c r="KL6" s="48">
        <f>IF(KL5="",0,IF(YEAR(Start_period)=KL8,1,(KPI!KL8-'Info Sheet'!$D$22)+1))</f>
        <v>0</v>
      </c>
      <c r="KM6" s="48">
        <f>IF(KM5="",0,IF(YEAR(Start_period)=KM8,1,(KPI!KM8-'Info Sheet'!$D$22)+1))</f>
        <v>0</v>
      </c>
      <c r="KN6" s="48">
        <f>IF(KN5="",0,IF(YEAR(Start_period)=KN8,1,(KPI!KN8-'Info Sheet'!$D$22)+1))</f>
        <v>0</v>
      </c>
      <c r="KO6" s="48">
        <f>IF(KO5="",0,IF(YEAR(Start_period)=KO8,1,(KPI!KO8-'Info Sheet'!$D$22)+1))</f>
        <v>0</v>
      </c>
      <c r="KP6" s="48">
        <f>IF(KP5="",0,IF(YEAR(Start_period)=KP8,1,(KPI!KP8-'Info Sheet'!$D$22)+1))</f>
        <v>0</v>
      </c>
      <c r="KQ6" s="48">
        <f>IF(KQ5="",0,IF(YEAR(Start_period)=KQ8,1,(KPI!KQ8-'Info Sheet'!$D$22)+1))</f>
        <v>0</v>
      </c>
      <c r="KR6" s="48">
        <f>IF(KR5="",0,IF(YEAR(Start_period)=KR8,1,(KPI!KR8-'Info Sheet'!$D$22)+1))</f>
        <v>0</v>
      </c>
      <c r="KS6" s="48">
        <f>IF(KS5="",0,IF(YEAR(Start_period)=KS8,1,(KPI!KS8-'Info Sheet'!$D$22)+1))</f>
        <v>0</v>
      </c>
      <c r="KT6" s="48">
        <f>IF(KT5="",0,IF(YEAR(Start_period)=KT8,1,(KPI!KT8-'Info Sheet'!$D$22)+1))</f>
        <v>0</v>
      </c>
      <c r="KU6" s="48">
        <f>IF(KU5="",0,IF(YEAR(Start_period)=KU8,1,(KPI!KU8-'Info Sheet'!$D$22)+1))</f>
        <v>0</v>
      </c>
      <c r="KV6" s="48">
        <f>IF(KV5="",0,IF(YEAR(Start_period)=KV8,1,(KPI!KV8-'Info Sheet'!$D$22)+1))</f>
        <v>0</v>
      </c>
      <c r="KW6" s="48">
        <f>IF(KW5="",0,IF(YEAR(Start_period)=KW8,1,(KPI!KW8-'Info Sheet'!$D$22)+1))</f>
        <v>0</v>
      </c>
      <c r="KX6" s="48">
        <f>IF(KX5="",0,IF(YEAR(Start_period)=KX8,1,(KPI!KX8-'Info Sheet'!$D$22)+1))</f>
        <v>0</v>
      </c>
      <c r="KY6" s="48">
        <f>IF(KY5="",0,IF(YEAR(Start_period)=KY8,1,(KPI!KY8-'Info Sheet'!$D$22)+1))</f>
        <v>0</v>
      </c>
      <c r="KZ6" s="48">
        <f>IF(KZ5="",0,IF(YEAR(Start_period)=KZ8,1,(KPI!KZ8-'Info Sheet'!$D$22)+1))</f>
        <v>0</v>
      </c>
      <c r="LA6" s="48">
        <f>IF(LA5="",0,IF(YEAR(Start_period)=LA8,1,(KPI!LA8-'Info Sheet'!$D$22)+1))</f>
        <v>0</v>
      </c>
      <c r="LB6" s="48">
        <f>IF(LB5="",0,IF(YEAR(Start_period)=LB8,1,(KPI!LB8-'Info Sheet'!$D$22)+1))</f>
        <v>0</v>
      </c>
      <c r="LC6" s="48">
        <f>IF(LC5="",0,IF(YEAR(Start_period)=LC8,1,(KPI!LC8-'Info Sheet'!$D$22)+1))</f>
        <v>0</v>
      </c>
      <c r="LD6" s="48">
        <f>IF(LD5="",0,IF(YEAR(Start_period)=LD8,1,(KPI!LD8-'Info Sheet'!$D$22)+1))</f>
        <v>0</v>
      </c>
      <c r="LE6" s="48">
        <f>IF(LE5="",0,IF(YEAR(Start_period)=LE8,1,(KPI!LE8-'Info Sheet'!$D$22)+1))</f>
        <v>0</v>
      </c>
      <c r="LF6" s="48">
        <f>IF(LF5="",0,IF(YEAR(Start_period)=LF8,1,(KPI!LF8-'Info Sheet'!$D$22)+1))</f>
        <v>0</v>
      </c>
      <c r="LG6" s="48">
        <f>IF(LG5="",0,IF(YEAR(Start_period)=LG8,1,(KPI!LG8-'Info Sheet'!$D$22)+1))</f>
        <v>0</v>
      </c>
      <c r="LH6" s="48">
        <f>IF(LH5="",0,IF(YEAR(Start_period)=LH8,1,(KPI!LH8-'Info Sheet'!$D$22)+1))</f>
        <v>0</v>
      </c>
      <c r="LI6" s="48">
        <f>IF(LI5="",0,IF(YEAR(Start_period)=LI8,1,(KPI!LI8-'Info Sheet'!$D$22)+1))</f>
        <v>0</v>
      </c>
      <c r="LJ6" s="48">
        <f>IF(LJ5="",0,IF(YEAR(Start_period)=LJ8,1,(KPI!LJ8-'Info Sheet'!$D$22)+1))</f>
        <v>0</v>
      </c>
      <c r="LK6" s="48">
        <f>IF(LK5="",0,IF(YEAR(Start_period)=LK8,1,(KPI!LK8-'Info Sheet'!$D$22)+1))</f>
        <v>0</v>
      </c>
      <c r="LL6" s="48">
        <f>IF(LL5="",0,IF(YEAR(Start_period)=LL8,1,(KPI!LL8-'Info Sheet'!$D$22)+1))</f>
        <v>0</v>
      </c>
      <c r="LM6" s="48">
        <f>IF(LM5="",0,IF(YEAR(Start_period)=LM8,1,(KPI!LM8-'Info Sheet'!$D$22)+1))</f>
        <v>0</v>
      </c>
      <c r="LN6" s="48">
        <f>IF(LN5="",0,IF(YEAR(Start_period)=LN8,1,(KPI!LN8-'Info Sheet'!$D$22)+1))</f>
        <v>0</v>
      </c>
      <c r="LO6" s="48">
        <f>IF(LO5="",0,IF(YEAR(Start_period)=LO8,1,(KPI!LO8-'Info Sheet'!$D$22)+1))</f>
        <v>0</v>
      </c>
      <c r="LP6" s="48">
        <f>IF(LP5="",0,IF(YEAR(Start_period)=LP8,1,(KPI!LP8-'Info Sheet'!$D$22)+1))</f>
        <v>0</v>
      </c>
      <c r="LQ6" s="48">
        <f>IF(LQ5="",0,IF(YEAR(Start_period)=LQ8,1,(KPI!LQ8-'Info Sheet'!$D$22)+1))</f>
        <v>0</v>
      </c>
      <c r="LR6" s="48">
        <f>IF(LR5="",0,IF(YEAR(Start_period)=LR8,1,(KPI!LR8-'Info Sheet'!$D$22)+1))</f>
        <v>0</v>
      </c>
      <c r="LS6" s="48">
        <f>IF(LS5="",0,IF(YEAR(Start_period)=LS8,1,(KPI!LS8-'Info Sheet'!$D$22)+1))</f>
        <v>0</v>
      </c>
      <c r="LT6" s="48">
        <f>IF(LT5="",0,IF(YEAR(Start_period)=LT8,1,(KPI!LT8-'Info Sheet'!$D$22)+1))</f>
        <v>0</v>
      </c>
      <c r="LU6" s="48">
        <f>IF(LU5="",0,IF(YEAR(Start_period)=LU8,1,(KPI!LU8-'Info Sheet'!$D$22)+1))</f>
        <v>0</v>
      </c>
      <c r="LV6" s="48">
        <f>IF(LV5="",0,IF(YEAR(Start_period)=LV8,1,(KPI!LV8-'Info Sheet'!$D$22)+1))</f>
        <v>0</v>
      </c>
      <c r="LW6" s="48">
        <f>IF(LW5="",0,IF(YEAR(Start_period)=LW8,1,(KPI!LW8-'Info Sheet'!$D$22)+1))</f>
        <v>0</v>
      </c>
      <c r="LX6" s="48">
        <f>IF(LX5="",0,IF(YEAR(Start_period)=LX8,1,(KPI!LX8-'Info Sheet'!$D$22)+1))</f>
        <v>0</v>
      </c>
      <c r="LY6" s="48">
        <f>IF(LY5="",0,IF(YEAR(Start_period)=LY8,1,(KPI!LY8-'Info Sheet'!$D$22)+1))</f>
        <v>0</v>
      </c>
    </row>
    <row r="7" spans="1:339">
      <c r="B7" s="139" t="s">
        <v>0</v>
      </c>
      <c r="C7" s="140"/>
      <c r="E7" s="35">
        <f>IF(E5="","",EDATE(Start_period,E5))</f>
        <v>44105</v>
      </c>
      <c r="F7" s="35">
        <f t="shared" ref="F7:BP7" si="157">IF(F5="","",EDATE(Start_period,F5))</f>
        <v>44136</v>
      </c>
      <c r="G7" s="35">
        <f t="shared" si="157"/>
        <v>44166</v>
      </c>
      <c r="H7" s="35">
        <f t="shared" si="157"/>
        <v>44197</v>
      </c>
      <c r="I7" s="35">
        <f t="shared" si="157"/>
        <v>44228</v>
      </c>
      <c r="J7" s="35">
        <f t="shared" si="157"/>
        <v>44256</v>
      </c>
      <c r="K7" s="35">
        <f t="shared" si="157"/>
        <v>44287</v>
      </c>
      <c r="L7" s="35">
        <f t="shared" si="157"/>
        <v>44317</v>
      </c>
      <c r="M7" s="35">
        <f t="shared" si="157"/>
        <v>44348</v>
      </c>
      <c r="N7" s="35">
        <f t="shared" si="157"/>
        <v>44378</v>
      </c>
      <c r="O7" s="35">
        <f t="shared" si="157"/>
        <v>44409</v>
      </c>
      <c r="P7" s="35">
        <f t="shared" si="157"/>
        <v>44440</v>
      </c>
      <c r="Q7" s="35">
        <f t="shared" si="157"/>
        <v>44470</v>
      </c>
      <c r="R7" s="35">
        <f t="shared" si="157"/>
        <v>44501</v>
      </c>
      <c r="S7" s="35">
        <f t="shared" si="157"/>
        <v>44531</v>
      </c>
      <c r="T7" s="35">
        <f t="shared" si="157"/>
        <v>44562</v>
      </c>
      <c r="U7" s="35">
        <f t="shared" si="157"/>
        <v>44593</v>
      </c>
      <c r="V7" s="35">
        <f t="shared" si="157"/>
        <v>44621</v>
      </c>
      <c r="W7" s="35">
        <f t="shared" si="157"/>
        <v>44652</v>
      </c>
      <c r="X7" s="35">
        <f t="shared" si="157"/>
        <v>44682</v>
      </c>
      <c r="Y7" s="35">
        <f t="shared" si="157"/>
        <v>44713</v>
      </c>
      <c r="Z7" s="35">
        <f t="shared" si="157"/>
        <v>44743</v>
      </c>
      <c r="AA7" s="35">
        <f t="shared" si="157"/>
        <v>44774</v>
      </c>
      <c r="AB7" s="35">
        <f t="shared" si="157"/>
        <v>44805</v>
      </c>
      <c r="AC7" s="35">
        <f t="shared" si="157"/>
        <v>44835</v>
      </c>
      <c r="AD7" s="35">
        <f t="shared" si="157"/>
        <v>44866</v>
      </c>
      <c r="AE7" s="35">
        <f t="shared" si="157"/>
        <v>44896</v>
      </c>
      <c r="AF7" s="35">
        <f t="shared" si="157"/>
        <v>44927</v>
      </c>
      <c r="AG7" s="35">
        <f t="shared" si="157"/>
        <v>44958</v>
      </c>
      <c r="AH7" s="35">
        <f t="shared" si="157"/>
        <v>44986</v>
      </c>
      <c r="AI7" s="35">
        <f t="shared" si="157"/>
        <v>45017</v>
      </c>
      <c r="AJ7" s="35">
        <f t="shared" si="157"/>
        <v>45047</v>
      </c>
      <c r="AK7" s="35">
        <f t="shared" si="157"/>
        <v>45078</v>
      </c>
      <c r="AL7" s="35">
        <f t="shared" si="157"/>
        <v>45108</v>
      </c>
      <c r="AM7" s="35">
        <f t="shared" si="157"/>
        <v>45139</v>
      </c>
      <c r="AN7" s="35">
        <f t="shared" si="157"/>
        <v>45170</v>
      </c>
      <c r="AO7" s="35">
        <f t="shared" si="157"/>
        <v>45200</v>
      </c>
      <c r="AP7" s="35">
        <f t="shared" si="157"/>
        <v>45231</v>
      </c>
      <c r="AQ7" s="35">
        <f t="shared" si="157"/>
        <v>45261</v>
      </c>
      <c r="AR7" s="35">
        <f t="shared" si="157"/>
        <v>45292</v>
      </c>
      <c r="AS7" s="35">
        <f t="shared" si="157"/>
        <v>45323</v>
      </c>
      <c r="AT7" s="35">
        <f t="shared" si="157"/>
        <v>45352</v>
      </c>
      <c r="AU7" s="35">
        <f t="shared" si="157"/>
        <v>45383</v>
      </c>
      <c r="AV7" s="35">
        <f t="shared" si="157"/>
        <v>45413</v>
      </c>
      <c r="AW7" s="35">
        <f t="shared" si="157"/>
        <v>45444</v>
      </c>
      <c r="AX7" s="35">
        <f t="shared" si="157"/>
        <v>45474</v>
      </c>
      <c r="AY7" s="35">
        <f t="shared" si="157"/>
        <v>45505</v>
      </c>
      <c r="AZ7" s="35">
        <f t="shared" si="157"/>
        <v>45536</v>
      </c>
      <c r="BA7" s="35">
        <f t="shared" si="157"/>
        <v>45566</v>
      </c>
      <c r="BB7" s="35">
        <f t="shared" si="157"/>
        <v>45597</v>
      </c>
      <c r="BC7" s="35">
        <f t="shared" si="157"/>
        <v>45627</v>
      </c>
      <c r="BD7" s="35">
        <f t="shared" si="157"/>
        <v>45658</v>
      </c>
      <c r="BE7" s="35">
        <f t="shared" si="157"/>
        <v>45689</v>
      </c>
      <c r="BF7" s="35">
        <f t="shared" si="157"/>
        <v>45717</v>
      </c>
      <c r="BG7" s="35">
        <f t="shared" si="157"/>
        <v>45748</v>
      </c>
      <c r="BH7" s="35">
        <f t="shared" si="157"/>
        <v>45778</v>
      </c>
      <c r="BI7" s="35">
        <f t="shared" si="157"/>
        <v>45809</v>
      </c>
      <c r="BJ7" s="35">
        <f t="shared" si="157"/>
        <v>45839</v>
      </c>
      <c r="BK7" s="35">
        <f t="shared" si="157"/>
        <v>45870</v>
      </c>
      <c r="BL7" s="35">
        <f t="shared" si="157"/>
        <v>45901</v>
      </c>
      <c r="BM7" s="35">
        <f t="shared" si="157"/>
        <v>45931</v>
      </c>
      <c r="BN7" s="35" t="str">
        <f t="shared" si="157"/>
        <v/>
      </c>
      <c r="BO7" s="35" t="str">
        <f t="shared" si="157"/>
        <v/>
      </c>
      <c r="BP7" s="35" t="str">
        <f t="shared" si="157"/>
        <v/>
      </c>
      <c r="BQ7" s="35" t="str">
        <f t="shared" ref="BQ7:EB7" si="158">IF(BQ5="","",EDATE(Start_period,BQ5))</f>
        <v/>
      </c>
      <c r="BR7" s="35" t="str">
        <f t="shared" si="158"/>
        <v/>
      </c>
      <c r="BS7" s="35" t="str">
        <f t="shared" si="158"/>
        <v/>
      </c>
      <c r="BT7" s="35" t="str">
        <f t="shared" si="158"/>
        <v/>
      </c>
      <c r="BU7" s="35" t="str">
        <f t="shared" si="158"/>
        <v/>
      </c>
      <c r="BV7" s="35" t="str">
        <f t="shared" si="158"/>
        <v/>
      </c>
      <c r="BW7" s="35" t="str">
        <f t="shared" si="158"/>
        <v/>
      </c>
      <c r="BX7" s="35" t="str">
        <f t="shared" si="158"/>
        <v/>
      </c>
      <c r="BY7" s="35" t="str">
        <f t="shared" si="158"/>
        <v/>
      </c>
      <c r="BZ7" s="35" t="str">
        <f t="shared" si="158"/>
        <v/>
      </c>
      <c r="CA7" s="35" t="str">
        <f t="shared" si="158"/>
        <v/>
      </c>
      <c r="CB7" s="35" t="str">
        <f t="shared" si="158"/>
        <v/>
      </c>
      <c r="CC7" s="35" t="str">
        <f t="shared" si="158"/>
        <v/>
      </c>
      <c r="CD7" s="35" t="str">
        <f t="shared" si="158"/>
        <v/>
      </c>
      <c r="CE7" s="35" t="str">
        <f t="shared" si="158"/>
        <v/>
      </c>
      <c r="CF7" s="35" t="str">
        <f t="shared" si="158"/>
        <v/>
      </c>
      <c r="CG7" s="35" t="str">
        <f t="shared" si="158"/>
        <v/>
      </c>
      <c r="CH7" s="35" t="str">
        <f t="shared" si="158"/>
        <v/>
      </c>
      <c r="CI7" s="35" t="str">
        <f t="shared" si="158"/>
        <v/>
      </c>
      <c r="CJ7" s="35" t="str">
        <f t="shared" si="158"/>
        <v/>
      </c>
      <c r="CK7" s="35" t="str">
        <f t="shared" si="158"/>
        <v/>
      </c>
      <c r="CL7" s="35" t="str">
        <f t="shared" si="158"/>
        <v/>
      </c>
      <c r="CM7" s="35" t="str">
        <f t="shared" si="158"/>
        <v/>
      </c>
      <c r="CN7" s="35" t="str">
        <f t="shared" si="158"/>
        <v/>
      </c>
      <c r="CO7" s="35" t="str">
        <f t="shared" si="158"/>
        <v/>
      </c>
      <c r="CP7" s="35" t="str">
        <f t="shared" si="158"/>
        <v/>
      </c>
      <c r="CQ7" s="35" t="str">
        <f t="shared" si="158"/>
        <v/>
      </c>
      <c r="CR7" s="35" t="str">
        <f t="shared" si="158"/>
        <v/>
      </c>
      <c r="CS7" s="35" t="str">
        <f t="shared" si="158"/>
        <v/>
      </c>
      <c r="CT7" s="35" t="str">
        <f t="shared" si="158"/>
        <v/>
      </c>
      <c r="CU7" s="35" t="str">
        <f t="shared" si="158"/>
        <v/>
      </c>
      <c r="CV7" s="35" t="str">
        <f t="shared" si="158"/>
        <v/>
      </c>
      <c r="CW7" s="35" t="str">
        <f t="shared" si="158"/>
        <v/>
      </c>
      <c r="CX7" s="35" t="str">
        <f t="shared" si="158"/>
        <v/>
      </c>
      <c r="CY7" s="35" t="str">
        <f t="shared" si="158"/>
        <v/>
      </c>
      <c r="CZ7" s="35" t="str">
        <f t="shared" si="158"/>
        <v/>
      </c>
      <c r="DA7" s="35" t="str">
        <f t="shared" si="158"/>
        <v/>
      </c>
      <c r="DB7" s="35" t="str">
        <f t="shared" si="158"/>
        <v/>
      </c>
      <c r="DC7" s="35" t="str">
        <f t="shared" si="158"/>
        <v/>
      </c>
      <c r="DD7" s="35" t="str">
        <f t="shared" si="158"/>
        <v/>
      </c>
      <c r="DE7" s="35" t="str">
        <f t="shared" si="158"/>
        <v/>
      </c>
      <c r="DF7" s="35" t="str">
        <f t="shared" si="158"/>
        <v/>
      </c>
      <c r="DG7" s="35" t="str">
        <f t="shared" si="158"/>
        <v/>
      </c>
      <c r="DH7" s="35" t="str">
        <f t="shared" si="158"/>
        <v/>
      </c>
      <c r="DI7" s="35" t="str">
        <f t="shared" si="158"/>
        <v/>
      </c>
      <c r="DJ7" s="35" t="str">
        <f t="shared" si="158"/>
        <v/>
      </c>
      <c r="DK7" s="35" t="str">
        <f t="shared" si="158"/>
        <v/>
      </c>
      <c r="DL7" s="35" t="str">
        <f t="shared" si="158"/>
        <v/>
      </c>
      <c r="DM7" s="35" t="str">
        <f t="shared" si="158"/>
        <v/>
      </c>
      <c r="DN7" s="35" t="str">
        <f t="shared" si="158"/>
        <v/>
      </c>
      <c r="DO7" s="35" t="str">
        <f t="shared" si="158"/>
        <v/>
      </c>
      <c r="DP7" s="35" t="str">
        <f t="shared" si="158"/>
        <v/>
      </c>
      <c r="DQ7" s="35" t="str">
        <f t="shared" si="158"/>
        <v/>
      </c>
      <c r="DR7" s="35" t="str">
        <f t="shared" si="158"/>
        <v/>
      </c>
      <c r="DS7" s="35" t="str">
        <f t="shared" si="158"/>
        <v/>
      </c>
      <c r="DT7" s="35" t="str">
        <f t="shared" si="158"/>
        <v/>
      </c>
      <c r="DU7" s="35" t="str">
        <f t="shared" si="158"/>
        <v/>
      </c>
      <c r="DV7" s="35" t="str">
        <f t="shared" si="158"/>
        <v/>
      </c>
      <c r="DW7" s="35" t="str">
        <f t="shared" si="158"/>
        <v/>
      </c>
      <c r="DX7" s="35" t="str">
        <f t="shared" si="158"/>
        <v/>
      </c>
      <c r="DY7" s="35" t="str">
        <f t="shared" si="158"/>
        <v/>
      </c>
      <c r="DZ7" s="35" t="str">
        <f t="shared" si="158"/>
        <v/>
      </c>
      <c r="EA7" s="35" t="str">
        <f t="shared" si="158"/>
        <v/>
      </c>
      <c r="EB7" s="35" t="str">
        <f t="shared" si="158"/>
        <v/>
      </c>
      <c r="EC7" s="35" t="str">
        <f t="shared" ref="EC7:GN7" si="159">IF(EC5="","",EDATE(Start_period,EC5))</f>
        <v/>
      </c>
      <c r="ED7" s="35" t="str">
        <f t="shared" si="159"/>
        <v/>
      </c>
      <c r="EE7" s="35" t="str">
        <f t="shared" si="159"/>
        <v/>
      </c>
      <c r="EF7" s="35" t="str">
        <f t="shared" si="159"/>
        <v/>
      </c>
      <c r="EG7" s="35" t="str">
        <f t="shared" si="159"/>
        <v/>
      </c>
      <c r="EH7" s="35" t="str">
        <f t="shared" si="159"/>
        <v/>
      </c>
      <c r="EI7" s="35" t="str">
        <f t="shared" si="159"/>
        <v/>
      </c>
      <c r="EJ7" s="35" t="str">
        <f t="shared" si="159"/>
        <v/>
      </c>
      <c r="EK7" s="35" t="str">
        <f t="shared" si="159"/>
        <v/>
      </c>
      <c r="EL7" s="35" t="str">
        <f t="shared" si="159"/>
        <v/>
      </c>
      <c r="EM7" s="35" t="str">
        <f t="shared" si="159"/>
        <v/>
      </c>
      <c r="EN7" s="35" t="str">
        <f t="shared" si="159"/>
        <v/>
      </c>
      <c r="EO7" s="35" t="str">
        <f t="shared" si="159"/>
        <v/>
      </c>
      <c r="EP7" s="35" t="str">
        <f t="shared" si="159"/>
        <v/>
      </c>
      <c r="EQ7" s="35" t="str">
        <f t="shared" si="159"/>
        <v/>
      </c>
      <c r="ER7" s="35" t="str">
        <f t="shared" si="159"/>
        <v/>
      </c>
      <c r="ES7" s="35" t="str">
        <f t="shared" si="159"/>
        <v/>
      </c>
      <c r="ET7" s="35" t="str">
        <f t="shared" si="159"/>
        <v/>
      </c>
      <c r="EU7" s="35" t="str">
        <f t="shared" si="159"/>
        <v/>
      </c>
      <c r="EV7" s="35" t="str">
        <f t="shared" si="159"/>
        <v/>
      </c>
      <c r="EW7" s="35" t="str">
        <f t="shared" si="159"/>
        <v/>
      </c>
      <c r="EX7" s="35" t="str">
        <f t="shared" si="159"/>
        <v/>
      </c>
      <c r="EY7" s="35" t="str">
        <f t="shared" si="159"/>
        <v/>
      </c>
      <c r="EZ7" s="35" t="str">
        <f t="shared" si="159"/>
        <v/>
      </c>
      <c r="FA7" s="35" t="str">
        <f t="shared" si="159"/>
        <v/>
      </c>
      <c r="FB7" s="35" t="str">
        <f t="shared" si="159"/>
        <v/>
      </c>
      <c r="FC7" s="35" t="str">
        <f t="shared" si="159"/>
        <v/>
      </c>
      <c r="FD7" s="35" t="str">
        <f t="shared" si="159"/>
        <v/>
      </c>
      <c r="FE7" s="35" t="str">
        <f t="shared" si="159"/>
        <v/>
      </c>
      <c r="FF7" s="35" t="str">
        <f t="shared" si="159"/>
        <v/>
      </c>
      <c r="FG7" s="35" t="str">
        <f t="shared" si="159"/>
        <v/>
      </c>
      <c r="FH7" s="35" t="str">
        <f t="shared" si="159"/>
        <v/>
      </c>
      <c r="FI7" s="35" t="str">
        <f t="shared" si="159"/>
        <v/>
      </c>
      <c r="FJ7" s="35" t="str">
        <f t="shared" si="159"/>
        <v/>
      </c>
      <c r="FK7" s="35" t="str">
        <f t="shared" si="159"/>
        <v/>
      </c>
      <c r="FL7" s="35" t="str">
        <f t="shared" si="159"/>
        <v/>
      </c>
      <c r="FM7" s="35" t="str">
        <f t="shared" si="159"/>
        <v/>
      </c>
      <c r="FN7" s="35" t="str">
        <f t="shared" si="159"/>
        <v/>
      </c>
      <c r="FO7" s="35" t="str">
        <f t="shared" si="159"/>
        <v/>
      </c>
      <c r="FP7" s="35" t="str">
        <f t="shared" si="159"/>
        <v/>
      </c>
      <c r="FQ7" s="35" t="str">
        <f t="shared" si="159"/>
        <v/>
      </c>
      <c r="FR7" s="35" t="str">
        <f t="shared" si="159"/>
        <v/>
      </c>
      <c r="FS7" s="35" t="str">
        <f t="shared" si="159"/>
        <v/>
      </c>
      <c r="FT7" s="35" t="str">
        <f t="shared" si="159"/>
        <v/>
      </c>
      <c r="FU7" s="35" t="str">
        <f t="shared" si="159"/>
        <v/>
      </c>
      <c r="FV7" s="35" t="str">
        <f t="shared" si="159"/>
        <v/>
      </c>
      <c r="FW7" s="35" t="str">
        <f t="shared" si="159"/>
        <v/>
      </c>
      <c r="FX7" s="35" t="str">
        <f t="shared" si="159"/>
        <v/>
      </c>
      <c r="FY7" s="35" t="str">
        <f t="shared" si="159"/>
        <v/>
      </c>
      <c r="FZ7" s="35" t="str">
        <f t="shared" si="159"/>
        <v/>
      </c>
      <c r="GA7" s="35" t="str">
        <f t="shared" si="159"/>
        <v/>
      </c>
      <c r="GB7" s="35" t="str">
        <f t="shared" si="159"/>
        <v/>
      </c>
      <c r="GC7" s="35" t="str">
        <f t="shared" si="159"/>
        <v/>
      </c>
      <c r="GD7" s="35" t="str">
        <f t="shared" si="159"/>
        <v/>
      </c>
      <c r="GE7" s="35" t="str">
        <f t="shared" si="159"/>
        <v/>
      </c>
      <c r="GF7" s="35" t="str">
        <f t="shared" si="159"/>
        <v/>
      </c>
      <c r="GG7" s="35" t="str">
        <f t="shared" si="159"/>
        <v/>
      </c>
      <c r="GH7" s="35" t="str">
        <f t="shared" si="159"/>
        <v/>
      </c>
      <c r="GI7" s="35" t="str">
        <f t="shared" si="159"/>
        <v/>
      </c>
      <c r="GJ7" s="35" t="str">
        <f t="shared" si="159"/>
        <v/>
      </c>
      <c r="GK7" s="35" t="str">
        <f t="shared" si="159"/>
        <v/>
      </c>
      <c r="GL7" s="35" t="str">
        <f t="shared" si="159"/>
        <v/>
      </c>
      <c r="GM7" s="35" t="str">
        <f t="shared" si="159"/>
        <v/>
      </c>
      <c r="GN7" s="35" t="str">
        <f t="shared" si="159"/>
        <v/>
      </c>
      <c r="GO7" s="35" t="str">
        <f t="shared" ref="GO7:IZ7" si="160">IF(GO5="","",EDATE(Start_period,GO5))</f>
        <v/>
      </c>
      <c r="GP7" s="35" t="str">
        <f t="shared" si="160"/>
        <v/>
      </c>
      <c r="GQ7" s="35" t="str">
        <f t="shared" si="160"/>
        <v/>
      </c>
      <c r="GR7" s="35" t="str">
        <f t="shared" si="160"/>
        <v/>
      </c>
      <c r="GS7" s="35" t="str">
        <f t="shared" si="160"/>
        <v/>
      </c>
      <c r="GT7" s="35" t="str">
        <f t="shared" si="160"/>
        <v/>
      </c>
      <c r="GU7" s="35" t="str">
        <f t="shared" si="160"/>
        <v/>
      </c>
      <c r="GV7" s="35" t="str">
        <f t="shared" si="160"/>
        <v/>
      </c>
      <c r="GW7" s="35" t="str">
        <f t="shared" si="160"/>
        <v/>
      </c>
      <c r="GX7" s="35" t="str">
        <f t="shared" si="160"/>
        <v/>
      </c>
      <c r="GY7" s="35" t="str">
        <f t="shared" si="160"/>
        <v/>
      </c>
      <c r="GZ7" s="35" t="str">
        <f t="shared" si="160"/>
        <v/>
      </c>
      <c r="HA7" s="35" t="str">
        <f t="shared" si="160"/>
        <v/>
      </c>
      <c r="HB7" s="35" t="str">
        <f t="shared" si="160"/>
        <v/>
      </c>
      <c r="HC7" s="35" t="str">
        <f t="shared" si="160"/>
        <v/>
      </c>
      <c r="HD7" s="35" t="str">
        <f t="shared" si="160"/>
        <v/>
      </c>
      <c r="HE7" s="35" t="str">
        <f t="shared" si="160"/>
        <v/>
      </c>
      <c r="HF7" s="35" t="str">
        <f t="shared" si="160"/>
        <v/>
      </c>
      <c r="HG7" s="35" t="str">
        <f t="shared" si="160"/>
        <v/>
      </c>
      <c r="HH7" s="35" t="str">
        <f t="shared" si="160"/>
        <v/>
      </c>
      <c r="HI7" s="35" t="str">
        <f t="shared" si="160"/>
        <v/>
      </c>
      <c r="HJ7" s="35" t="str">
        <f t="shared" si="160"/>
        <v/>
      </c>
      <c r="HK7" s="35" t="str">
        <f t="shared" si="160"/>
        <v/>
      </c>
      <c r="HL7" s="35" t="str">
        <f t="shared" si="160"/>
        <v/>
      </c>
      <c r="HM7" s="35" t="str">
        <f t="shared" si="160"/>
        <v/>
      </c>
      <c r="HN7" s="35" t="str">
        <f t="shared" si="160"/>
        <v/>
      </c>
      <c r="HO7" s="35" t="str">
        <f t="shared" si="160"/>
        <v/>
      </c>
      <c r="HP7" s="35" t="str">
        <f t="shared" si="160"/>
        <v/>
      </c>
      <c r="HQ7" s="35" t="str">
        <f t="shared" si="160"/>
        <v/>
      </c>
      <c r="HR7" s="35" t="str">
        <f t="shared" si="160"/>
        <v/>
      </c>
      <c r="HS7" s="35" t="str">
        <f t="shared" si="160"/>
        <v/>
      </c>
      <c r="HT7" s="35" t="str">
        <f t="shared" si="160"/>
        <v/>
      </c>
      <c r="HU7" s="35" t="str">
        <f t="shared" si="160"/>
        <v/>
      </c>
      <c r="HV7" s="35" t="str">
        <f t="shared" si="160"/>
        <v/>
      </c>
      <c r="HW7" s="35" t="str">
        <f t="shared" si="160"/>
        <v/>
      </c>
      <c r="HX7" s="35" t="str">
        <f t="shared" si="160"/>
        <v/>
      </c>
      <c r="HY7" s="35" t="str">
        <f t="shared" si="160"/>
        <v/>
      </c>
      <c r="HZ7" s="35" t="str">
        <f t="shared" si="160"/>
        <v/>
      </c>
      <c r="IA7" s="35" t="str">
        <f t="shared" si="160"/>
        <v/>
      </c>
      <c r="IB7" s="35" t="str">
        <f t="shared" si="160"/>
        <v/>
      </c>
      <c r="IC7" s="35" t="str">
        <f t="shared" si="160"/>
        <v/>
      </c>
      <c r="ID7" s="35" t="str">
        <f t="shared" si="160"/>
        <v/>
      </c>
      <c r="IE7" s="35" t="str">
        <f t="shared" si="160"/>
        <v/>
      </c>
      <c r="IF7" s="35" t="str">
        <f t="shared" si="160"/>
        <v/>
      </c>
      <c r="IG7" s="35" t="str">
        <f t="shared" si="160"/>
        <v/>
      </c>
      <c r="IH7" s="35" t="str">
        <f t="shared" si="160"/>
        <v/>
      </c>
      <c r="II7" s="35" t="str">
        <f t="shared" si="160"/>
        <v/>
      </c>
      <c r="IJ7" s="35" t="str">
        <f t="shared" si="160"/>
        <v/>
      </c>
      <c r="IK7" s="35" t="str">
        <f t="shared" si="160"/>
        <v/>
      </c>
      <c r="IL7" s="35" t="str">
        <f t="shared" si="160"/>
        <v/>
      </c>
      <c r="IM7" s="35" t="str">
        <f t="shared" si="160"/>
        <v/>
      </c>
      <c r="IN7" s="35" t="str">
        <f t="shared" si="160"/>
        <v/>
      </c>
      <c r="IO7" s="35" t="str">
        <f t="shared" si="160"/>
        <v/>
      </c>
      <c r="IP7" s="35" t="str">
        <f t="shared" si="160"/>
        <v/>
      </c>
      <c r="IQ7" s="35" t="str">
        <f t="shared" si="160"/>
        <v/>
      </c>
      <c r="IR7" s="35" t="str">
        <f t="shared" si="160"/>
        <v/>
      </c>
      <c r="IS7" s="35" t="str">
        <f t="shared" si="160"/>
        <v/>
      </c>
      <c r="IT7" s="35" t="str">
        <f t="shared" si="160"/>
        <v/>
      </c>
      <c r="IU7" s="35" t="str">
        <f t="shared" si="160"/>
        <v/>
      </c>
      <c r="IV7" s="35" t="str">
        <f t="shared" si="160"/>
        <v/>
      </c>
      <c r="IW7" s="35" t="str">
        <f t="shared" si="160"/>
        <v/>
      </c>
      <c r="IX7" s="35" t="str">
        <f t="shared" si="160"/>
        <v/>
      </c>
      <c r="IY7" s="35" t="str">
        <f t="shared" si="160"/>
        <v/>
      </c>
      <c r="IZ7" s="35" t="str">
        <f t="shared" si="160"/>
        <v/>
      </c>
      <c r="JA7" s="35" t="str">
        <f t="shared" ref="JA7:LL7" si="161">IF(JA5="","",EDATE(Start_period,JA5))</f>
        <v/>
      </c>
      <c r="JB7" s="35" t="str">
        <f t="shared" si="161"/>
        <v/>
      </c>
      <c r="JC7" s="35" t="str">
        <f t="shared" si="161"/>
        <v/>
      </c>
      <c r="JD7" s="35" t="str">
        <f t="shared" si="161"/>
        <v/>
      </c>
      <c r="JE7" s="35" t="str">
        <f t="shared" si="161"/>
        <v/>
      </c>
      <c r="JF7" s="35" t="str">
        <f t="shared" si="161"/>
        <v/>
      </c>
      <c r="JG7" s="35" t="str">
        <f t="shared" si="161"/>
        <v/>
      </c>
      <c r="JH7" s="35" t="str">
        <f t="shared" si="161"/>
        <v/>
      </c>
      <c r="JI7" s="35" t="str">
        <f t="shared" si="161"/>
        <v/>
      </c>
      <c r="JJ7" s="35" t="str">
        <f t="shared" si="161"/>
        <v/>
      </c>
      <c r="JK7" s="35" t="str">
        <f t="shared" si="161"/>
        <v/>
      </c>
      <c r="JL7" s="35" t="str">
        <f t="shared" si="161"/>
        <v/>
      </c>
      <c r="JM7" s="35" t="str">
        <f t="shared" si="161"/>
        <v/>
      </c>
      <c r="JN7" s="35" t="str">
        <f t="shared" si="161"/>
        <v/>
      </c>
      <c r="JO7" s="35" t="str">
        <f t="shared" si="161"/>
        <v/>
      </c>
      <c r="JP7" s="35" t="str">
        <f t="shared" si="161"/>
        <v/>
      </c>
      <c r="JQ7" s="35" t="str">
        <f t="shared" si="161"/>
        <v/>
      </c>
      <c r="JR7" s="35" t="str">
        <f t="shared" si="161"/>
        <v/>
      </c>
      <c r="JS7" s="35" t="str">
        <f t="shared" si="161"/>
        <v/>
      </c>
      <c r="JT7" s="35" t="str">
        <f t="shared" si="161"/>
        <v/>
      </c>
      <c r="JU7" s="35" t="str">
        <f t="shared" si="161"/>
        <v/>
      </c>
      <c r="JV7" s="35" t="str">
        <f t="shared" si="161"/>
        <v/>
      </c>
      <c r="JW7" s="35" t="str">
        <f t="shared" si="161"/>
        <v/>
      </c>
      <c r="JX7" s="35" t="str">
        <f t="shared" si="161"/>
        <v/>
      </c>
      <c r="JY7" s="35" t="str">
        <f t="shared" si="161"/>
        <v/>
      </c>
      <c r="JZ7" s="35" t="str">
        <f t="shared" si="161"/>
        <v/>
      </c>
      <c r="KA7" s="35" t="str">
        <f t="shared" si="161"/>
        <v/>
      </c>
      <c r="KB7" s="35" t="str">
        <f t="shared" si="161"/>
        <v/>
      </c>
      <c r="KC7" s="35" t="str">
        <f t="shared" si="161"/>
        <v/>
      </c>
      <c r="KD7" s="35" t="str">
        <f t="shared" si="161"/>
        <v/>
      </c>
      <c r="KE7" s="35" t="str">
        <f t="shared" si="161"/>
        <v/>
      </c>
      <c r="KF7" s="35" t="str">
        <f t="shared" si="161"/>
        <v/>
      </c>
      <c r="KG7" s="35" t="str">
        <f t="shared" si="161"/>
        <v/>
      </c>
      <c r="KH7" s="35" t="str">
        <f t="shared" si="161"/>
        <v/>
      </c>
      <c r="KI7" s="35" t="str">
        <f t="shared" si="161"/>
        <v/>
      </c>
      <c r="KJ7" s="35" t="str">
        <f t="shared" si="161"/>
        <v/>
      </c>
      <c r="KK7" s="35" t="str">
        <f t="shared" si="161"/>
        <v/>
      </c>
      <c r="KL7" s="35" t="str">
        <f t="shared" si="161"/>
        <v/>
      </c>
      <c r="KM7" s="35" t="str">
        <f t="shared" si="161"/>
        <v/>
      </c>
      <c r="KN7" s="35" t="str">
        <f t="shared" si="161"/>
        <v/>
      </c>
      <c r="KO7" s="35" t="str">
        <f t="shared" si="161"/>
        <v/>
      </c>
      <c r="KP7" s="35" t="str">
        <f t="shared" si="161"/>
        <v/>
      </c>
      <c r="KQ7" s="35" t="str">
        <f t="shared" si="161"/>
        <v/>
      </c>
      <c r="KR7" s="35" t="str">
        <f t="shared" si="161"/>
        <v/>
      </c>
      <c r="KS7" s="35" t="str">
        <f t="shared" si="161"/>
        <v/>
      </c>
      <c r="KT7" s="35" t="str">
        <f t="shared" si="161"/>
        <v/>
      </c>
      <c r="KU7" s="35" t="str">
        <f t="shared" si="161"/>
        <v/>
      </c>
      <c r="KV7" s="35" t="str">
        <f t="shared" si="161"/>
        <v/>
      </c>
      <c r="KW7" s="35" t="str">
        <f t="shared" si="161"/>
        <v/>
      </c>
      <c r="KX7" s="35" t="str">
        <f t="shared" si="161"/>
        <v/>
      </c>
      <c r="KY7" s="35" t="str">
        <f t="shared" si="161"/>
        <v/>
      </c>
      <c r="KZ7" s="35" t="str">
        <f t="shared" si="161"/>
        <v/>
      </c>
      <c r="LA7" s="35" t="str">
        <f t="shared" si="161"/>
        <v/>
      </c>
      <c r="LB7" s="35" t="str">
        <f t="shared" si="161"/>
        <v/>
      </c>
      <c r="LC7" s="35" t="str">
        <f t="shared" si="161"/>
        <v/>
      </c>
      <c r="LD7" s="35" t="str">
        <f t="shared" si="161"/>
        <v/>
      </c>
      <c r="LE7" s="35" t="str">
        <f t="shared" si="161"/>
        <v/>
      </c>
      <c r="LF7" s="35" t="str">
        <f t="shared" si="161"/>
        <v/>
      </c>
      <c r="LG7" s="35" t="str">
        <f t="shared" si="161"/>
        <v/>
      </c>
      <c r="LH7" s="35" t="str">
        <f t="shared" si="161"/>
        <v/>
      </c>
      <c r="LI7" s="35" t="str">
        <f t="shared" si="161"/>
        <v/>
      </c>
      <c r="LJ7" s="35" t="str">
        <f t="shared" si="161"/>
        <v/>
      </c>
      <c r="LK7" s="35" t="str">
        <f t="shared" si="161"/>
        <v/>
      </c>
      <c r="LL7" s="35" t="str">
        <f t="shared" si="161"/>
        <v/>
      </c>
      <c r="LM7" s="35" t="str">
        <f t="shared" ref="LM7:LY7" si="162">IF(LM5="","",EDATE(Start_period,LM5))</f>
        <v/>
      </c>
      <c r="LN7" s="35" t="str">
        <f t="shared" si="162"/>
        <v/>
      </c>
      <c r="LO7" s="35" t="str">
        <f t="shared" si="162"/>
        <v/>
      </c>
      <c r="LP7" s="35" t="str">
        <f t="shared" si="162"/>
        <v/>
      </c>
      <c r="LQ7" s="35" t="str">
        <f t="shared" si="162"/>
        <v/>
      </c>
      <c r="LR7" s="35" t="str">
        <f t="shared" si="162"/>
        <v/>
      </c>
      <c r="LS7" s="35" t="str">
        <f t="shared" si="162"/>
        <v/>
      </c>
      <c r="LT7" s="35" t="str">
        <f t="shared" si="162"/>
        <v/>
      </c>
      <c r="LU7" s="35" t="str">
        <f t="shared" si="162"/>
        <v/>
      </c>
      <c r="LV7" s="35" t="str">
        <f t="shared" si="162"/>
        <v/>
      </c>
      <c r="LW7" s="35" t="str">
        <f t="shared" si="162"/>
        <v/>
      </c>
      <c r="LX7" s="35" t="str">
        <f t="shared" si="162"/>
        <v/>
      </c>
      <c r="LY7" s="35" t="str">
        <f t="shared" si="162"/>
        <v/>
      </c>
      <c r="MA7" s="154" t="s">
        <v>34</v>
      </c>
    </row>
    <row r="8" spans="1:339">
      <c r="B8" s="144" t="s">
        <v>31</v>
      </c>
      <c r="C8" s="145"/>
      <c r="E8" s="49">
        <f t="shared" ref="E8" si="163">IFERROR(YEAR(E7),"")</f>
        <v>2020</v>
      </c>
      <c r="F8" s="49">
        <f t="shared" ref="F8" si="164">IFERROR(YEAR(F7),"")</f>
        <v>2020</v>
      </c>
      <c r="G8" s="49">
        <f t="shared" ref="G8" si="165">IFERROR(YEAR(G7),"")</f>
        <v>2020</v>
      </c>
      <c r="H8" s="49">
        <f t="shared" ref="H8" si="166">IFERROR(YEAR(H7),"")</f>
        <v>2021</v>
      </c>
      <c r="I8" s="49">
        <f t="shared" ref="I8" si="167">IFERROR(YEAR(I7),"")</f>
        <v>2021</v>
      </c>
      <c r="J8" s="49">
        <f t="shared" ref="J8" si="168">IFERROR(YEAR(J7),"")</f>
        <v>2021</v>
      </c>
      <c r="K8" s="49">
        <f t="shared" ref="K8" si="169">IFERROR(YEAR(K7),"")</f>
        <v>2021</v>
      </c>
      <c r="L8" s="49">
        <f t="shared" ref="L8" si="170">IFERROR(YEAR(L7),"")</f>
        <v>2021</v>
      </c>
      <c r="M8" s="49">
        <f t="shared" ref="M8" si="171">IFERROR(YEAR(M7),"")</f>
        <v>2021</v>
      </c>
      <c r="N8" s="49">
        <f t="shared" ref="N8" si="172">IFERROR(YEAR(N7),"")</f>
        <v>2021</v>
      </c>
      <c r="O8" s="49">
        <f t="shared" ref="O8" si="173">IFERROR(YEAR(O7),"")</f>
        <v>2021</v>
      </c>
      <c r="P8" s="49">
        <f t="shared" ref="P8" si="174">IFERROR(YEAR(P7),"")</f>
        <v>2021</v>
      </c>
      <c r="Q8" s="49">
        <f t="shared" ref="Q8" si="175">IFERROR(YEAR(Q7),"")</f>
        <v>2021</v>
      </c>
      <c r="R8" s="49">
        <f t="shared" ref="R8" si="176">IFERROR(YEAR(R7),"")</f>
        <v>2021</v>
      </c>
      <c r="S8" s="49">
        <f t="shared" ref="S8" si="177">IFERROR(YEAR(S7),"")</f>
        <v>2021</v>
      </c>
      <c r="T8" s="49">
        <f t="shared" ref="T8" si="178">IFERROR(YEAR(T7),"")</f>
        <v>2022</v>
      </c>
      <c r="U8" s="49">
        <f t="shared" ref="U8" si="179">IFERROR(YEAR(U7),"")</f>
        <v>2022</v>
      </c>
      <c r="V8" s="49">
        <f t="shared" ref="V8" si="180">IFERROR(YEAR(V7),"")</f>
        <v>2022</v>
      </c>
      <c r="W8" s="49">
        <f t="shared" ref="W8" si="181">IFERROR(YEAR(W7),"")</f>
        <v>2022</v>
      </c>
      <c r="X8" s="49">
        <f t="shared" ref="X8" si="182">IFERROR(YEAR(X7),"")</f>
        <v>2022</v>
      </c>
      <c r="Y8" s="49">
        <f t="shared" ref="Y8" si="183">IFERROR(YEAR(Y7),"")</f>
        <v>2022</v>
      </c>
      <c r="Z8" s="49">
        <f t="shared" ref="Z8" si="184">IFERROR(YEAR(Z7),"")</f>
        <v>2022</v>
      </c>
      <c r="AA8" s="49">
        <f t="shared" ref="AA8" si="185">IFERROR(YEAR(AA7),"")</f>
        <v>2022</v>
      </c>
      <c r="AB8" s="49">
        <f t="shared" ref="AB8" si="186">IFERROR(YEAR(AB7),"")</f>
        <v>2022</v>
      </c>
      <c r="AC8" s="49">
        <f t="shared" ref="AC8" si="187">IFERROR(YEAR(AC7),"")</f>
        <v>2022</v>
      </c>
      <c r="AD8" s="49">
        <f t="shared" ref="AD8" si="188">IFERROR(YEAR(AD7),"")</f>
        <v>2022</v>
      </c>
      <c r="AE8" s="49">
        <f t="shared" ref="AE8" si="189">IFERROR(YEAR(AE7),"")</f>
        <v>2022</v>
      </c>
      <c r="AF8" s="49">
        <f t="shared" ref="AF8" si="190">IFERROR(YEAR(AF7),"")</f>
        <v>2023</v>
      </c>
      <c r="AG8" s="49">
        <f t="shared" ref="AG8" si="191">IFERROR(YEAR(AG7),"")</f>
        <v>2023</v>
      </c>
      <c r="AH8" s="49">
        <f t="shared" ref="AH8" si="192">IFERROR(YEAR(AH7),"")</f>
        <v>2023</v>
      </c>
      <c r="AI8" s="49">
        <f t="shared" ref="AI8" si="193">IFERROR(YEAR(AI7),"")</f>
        <v>2023</v>
      </c>
      <c r="AJ8" s="49">
        <f t="shared" ref="AJ8" si="194">IFERROR(YEAR(AJ7),"")</f>
        <v>2023</v>
      </c>
      <c r="AK8" s="49">
        <f t="shared" ref="AK8" si="195">IFERROR(YEAR(AK7),"")</f>
        <v>2023</v>
      </c>
      <c r="AL8" s="49">
        <f t="shared" ref="AL8" si="196">IFERROR(YEAR(AL7),"")</f>
        <v>2023</v>
      </c>
      <c r="AM8" s="49">
        <f t="shared" ref="AM8" si="197">IFERROR(YEAR(AM7),"")</f>
        <v>2023</v>
      </c>
      <c r="AN8" s="49">
        <f t="shared" ref="AN8" si="198">IFERROR(YEAR(AN7),"")</f>
        <v>2023</v>
      </c>
      <c r="AO8" s="49">
        <f t="shared" ref="AO8" si="199">IFERROR(YEAR(AO7),"")</f>
        <v>2023</v>
      </c>
      <c r="AP8" s="49">
        <f t="shared" ref="AP8" si="200">IFERROR(YEAR(AP7),"")</f>
        <v>2023</v>
      </c>
      <c r="AQ8" s="49">
        <f t="shared" ref="AQ8" si="201">IFERROR(YEAR(AQ7),"")</f>
        <v>2023</v>
      </c>
      <c r="AR8" s="49">
        <f t="shared" ref="AR8" si="202">IFERROR(YEAR(AR7),"")</f>
        <v>2024</v>
      </c>
      <c r="AS8" s="49">
        <f t="shared" ref="AS8" si="203">IFERROR(YEAR(AS7),"")</f>
        <v>2024</v>
      </c>
      <c r="AT8" s="49">
        <f t="shared" ref="AT8" si="204">IFERROR(YEAR(AT7),"")</f>
        <v>2024</v>
      </c>
      <c r="AU8" s="49">
        <f t="shared" ref="AU8" si="205">IFERROR(YEAR(AU7),"")</f>
        <v>2024</v>
      </c>
      <c r="AV8" s="49">
        <f t="shared" ref="AV8" si="206">IFERROR(YEAR(AV7),"")</f>
        <v>2024</v>
      </c>
      <c r="AW8" s="49">
        <f t="shared" ref="AW8" si="207">IFERROR(YEAR(AW7),"")</f>
        <v>2024</v>
      </c>
      <c r="AX8" s="49">
        <f t="shared" ref="AX8" si="208">IFERROR(YEAR(AX7),"")</f>
        <v>2024</v>
      </c>
      <c r="AY8" s="49">
        <f t="shared" ref="AY8" si="209">IFERROR(YEAR(AY7),"")</f>
        <v>2024</v>
      </c>
      <c r="AZ8" s="49">
        <f t="shared" ref="AZ8" si="210">IFERROR(YEAR(AZ7),"")</f>
        <v>2024</v>
      </c>
      <c r="BA8" s="49">
        <f t="shared" ref="BA8" si="211">IFERROR(YEAR(BA7),"")</f>
        <v>2024</v>
      </c>
      <c r="BB8" s="49">
        <f t="shared" ref="BB8" si="212">IFERROR(YEAR(BB7),"")</f>
        <v>2024</v>
      </c>
      <c r="BC8" s="49">
        <f t="shared" ref="BC8" si="213">IFERROR(YEAR(BC7),"")</f>
        <v>2024</v>
      </c>
      <c r="BD8" s="49">
        <f t="shared" ref="BD8" si="214">IFERROR(YEAR(BD7),"")</f>
        <v>2025</v>
      </c>
      <c r="BE8" s="49">
        <f t="shared" ref="BE8" si="215">IFERROR(YEAR(BE7),"")</f>
        <v>2025</v>
      </c>
      <c r="BF8" s="49">
        <f t="shared" ref="BF8" si="216">IFERROR(YEAR(BF7),"")</f>
        <v>2025</v>
      </c>
      <c r="BG8" s="49">
        <f t="shared" ref="BG8" si="217">IFERROR(YEAR(BG7),"")</f>
        <v>2025</v>
      </c>
      <c r="BH8" s="49">
        <f t="shared" ref="BH8" si="218">IFERROR(YEAR(BH7),"")</f>
        <v>2025</v>
      </c>
      <c r="BI8" s="49">
        <f t="shared" ref="BI8" si="219">IFERROR(YEAR(BI7),"")</f>
        <v>2025</v>
      </c>
      <c r="BJ8" s="49">
        <f t="shared" ref="BJ8" si="220">IFERROR(YEAR(BJ7),"")</f>
        <v>2025</v>
      </c>
      <c r="BK8" s="49">
        <f t="shared" ref="BK8" si="221">IFERROR(YEAR(BK7),"")</f>
        <v>2025</v>
      </c>
      <c r="BL8" s="49">
        <f t="shared" ref="BL8" si="222">IFERROR(YEAR(BL7),"")</f>
        <v>2025</v>
      </c>
      <c r="BM8" s="49">
        <f t="shared" ref="BM8" si="223">IFERROR(YEAR(BM7),"")</f>
        <v>2025</v>
      </c>
      <c r="BN8" s="49" t="str">
        <f t="shared" ref="BN8" si="224">IFERROR(YEAR(BN7),"")</f>
        <v/>
      </c>
      <c r="BO8" s="49" t="str">
        <f t="shared" ref="BO8" si="225">IFERROR(YEAR(BO7),"")</f>
        <v/>
      </c>
      <c r="BP8" s="49" t="str">
        <f t="shared" ref="BP8" si="226">IFERROR(YEAR(BP7),"")</f>
        <v/>
      </c>
      <c r="BQ8" s="49" t="str">
        <f t="shared" ref="BQ8" si="227">IFERROR(YEAR(BQ7),"")</f>
        <v/>
      </c>
      <c r="BR8" s="49" t="str">
        <f t="shared" ref="BR8" si="228">IFERROR(YEAR(BR7),"")</f>
        <v/>
      </c>
      <c r="BS8" s="49" t="str">
        <f t="shared" ref="BS8" si="229">IFERROR(YEAR(BS7),"")</f>
        <v/>
      </c>
      <c r="BT8" s="49" t="str">
        <f t="shared" ref="BT8" si="230">IFERROR(YEAR(BT7),"")</f>
        <v/>
      </c>
      <c r="BU8" s="49" t="str">
        <f t="shared" ref="BU8" si="231">IFERROR(YEAR(BU7),"")</f>
        <v/>
      </c>
      <c r="BV8" s="49" t="str">
        <f t="shared" ref="BV8" si="232">IFERROR(YEAR(BV7),"")</f>
        <v/>
      </c>
      <c r="BW8" s="49" t="str">
        <f t="shared" ref="BW8" si="233">IFERROR(YEAR(BW7),"")</f>
        <v/>
      </c>
      <c r="BX8" s="49" t="str">
        <f t="shared" ref="BX8" si="234">IFERROR(YEAR(BX7),"")</f>
        <v/>
      </c>
      <c r="BY8" s="49" t="str">
        <f t="shared" ref="BY8" si="235">IFERROR(YEAR(BY7),"")</f>
        <v/>
      </c>
      <c r="BZ8" s="49" t="str">
        <f t="shared" ref="BZ8" si="236">IFERROR(YEAR(BZ7),"")</f>
        <v/>
      </c>
      <c r="CA8" s="49" t="str">
        <f t="shared" ref="CA8" si="237">IFERROR(YEAR(CA7),"")</f>
        <v/>
      </c>
      <c r="CB8" s="49" t="str">
        <f t="shared" ref="CB8" si="238">IFERROR(YEAR(CB7),"")</f>
        <v/>
      </c>
      <c r="CC8" s="49" t="str">
        <f t="shared" ref="CC8" si="239">IFERROR(YEAR(CC7),"")</f>
        <v/>
      </c>
      <c r="CD8" s="49" t="str">
        <f t="shared" ref="CD8" si="240">IFERROR(YEAR(CD7),"")</f>
        <v/>
      </c>
      <c r="CE8" s="49" t="str">
        <f t="shared" ref="CE8" si="241">IFERROR(YEAR(CE7),"")</f>
        <v/>
      </c>
      <c r="CF8" s="49" t="str">
        <f t="shared" ref="CF8" si="242">IFERROR(YEAR(CF7),"")</f>
        <v/>
      </c>
      <c r="CG8" s="49" t="str">
        <f t="shared" ref="CG8" si="243">IFERROR(YEAR(CG7),"")</f>
        <v/>
      </c>
      <c r="CH8" s="49" t="str">
        <f t="shared" ref="CH8" si="244">IFERROR(YEAR(CH7),"")</f>
        <v/>
      </c>
      <c r="CI8" s="49" t="str">
        <f t="shared" ref="CI8" si="245">IFERROR(YEAR(CI7),"")</f>
        <v/>
      </c>
      <c r="CJ8" s="49" t="str">
        <f t="shared" ref="CJ8" si="246">IFERROR(YEAR(CJ7),"")</f>
        <v/>
      </c>
      <c r="CK8" s="49" t="str">
        <f t="shared" ref="CK8" si="247">IFERROR(YEAR(CK7),"")</f>
        <v/>
      </c>
      <c r="CL8" s="49" t="str">
        <f t="shared" ref="CL8" si="248">IFERROR(YEAR(CL7),"")</f>
        <v/>
      </c>
      <c r="CM8" s="49" t="str">
        <f t="shared" ref="CM8" si="249">IFERROR(YEAR(CM7),"")</f>
        <v/>
      </c>
      <c r="CN8" s="49" t="str">
        <f t="shared" ref="CN8" si="250">IFERROR(YEAR(CN7),"")</f>
        <v/>
      </c>
      <c r="CO8" s="49" t="str">
        <f t="shared" ref="CO8" si="251">IFERROR(YEAR(CO7),"")</f>
        <v/>
      </c>
      <c r="CP8" s="49" t="str">
        <f t="shared" ref="CP8" si="252">IFERROR(YEAR(CP7),"")</f>
        <v/>
      </c>
      <c r="CQ8" s="49" t="str">
        <f t="shared" ref="CQ8" si="253">IFERROR(YEAR(CQ7),"")</f>
        <v/>
      </c>
      <c r="CR8" s="49" t="str">
        <f t="shared" ref="CR8" si="254">IFERROR(YEAR(CR7),"")</f>
        <v/>
      </c>
      <c r="CS8" s="49" t="str">
        <f t="shared" ref="CS8" si="255">IFERROR(YEAR(CS7),"")</f>
        <v/>
      </c>
      <c r="CT8" s="49" t="str">
        <f t="shared" ref="CT8" si="256">IFERROR(YEAR(CT7),"")</f>
        <v/>
      </c>
      <c r="CU8" s="49" t="str">
        <f t="shared" ref="CU8" si="257">IFERROR(YEAR(CU7),"")</f>
        <v/>
      </c>
      <c r="CV8" s="49" t="str">
        <f t="shared" ref="CV8" si="258">IFERROR(YEAR(CV7),"")</f>
        <v/>
      </c>
      <c r="CW8" s="49" t="str">
        <f t="shared" ref="CW8" si="259">IFERROR(YEAR(CW7),"")</f>
        <v/>
      </c>
      <c r="CX8" s="49" t="str">
        <f t="shared" ref="CX8" si="260">IFERROR(YEAR(CX7),"")</f>
        <v/>
      </c>
      <c r="CY8" s="49" t="str">
        <f t="shared" ref="CY8" si="261">IFERROR(YEAR(CY7),"")</f>
        <v/>
      </c>
      <c r="CZ8" s="49" t="str">
        <f t="shared" ref="CZ8" si="262">IFERROR(YEAR(CZ7),"")</f>
        <v/>
      </c>
      <c r="DA8" s="49" t="str">
        <f t="shared" ref="DA8" si="263">IFERROR(YEAR(DA7),"")</f>
        <v/>
      </c>
      <c r="DB8" s="49" t="str">
        <f t="shared" ref="DB8" si="264">IFERROR(YEAR(DB7),"")</f>
        <v/>
      </c>
      <c r="DC8" s="49" t="str">
        <f t="shared" ref="DC8" si="265">IFERROR(YEAR(DC7),"")</f>
        <v/>
      </c>
      <c r="DD8" s="49" t="str">
        <f t="shared" ref="DD8" si="266">IFERROR(YEAR(DD7),"")</f>
        <v/>
      </c>
      <c r="DE8" s="49" t="str">
        <f t="shared" ref="DE8" si="267">IFERROR(YEAR(DE7),"")</f>
        <v/>
      </c>
      <c r="DF8" s="49" t="str">
        <f t="shared" ref="DF8" si="268">IFERROR(YEAR(DF7),"")</f>
        <v/>
      </c>
      <c r="DG8" s="49" t="str">
        <f t="shared" ref="DG8" si="269">IFERROR(YEAR(DG7),"")</f>
        <v/>
      </c>
      <c r="DH8" s="49" t="str">
        <f t="shared" ref="DH8" si="270">IFERROR(YEAR(DH7),"")</f>
        <v/>
      </c>
      <c r="DI8" s="49" t="str">
        <f t="shared" ref="DI8" si="271">IFERROR(YEAR(DI7),"")</f>
        <v/>
      </c>
      <c r="DJ8" s="49" t="str">
        <f t="shared" ref="DJ8" si="272">IFERROR(YEAR(DJ7),"")</f>
        <v/>
      </c>
      <c r="DK8" s="49" t="str">
        <f t="shared" ref="DK8" si="273">IFERROR(YEAR(DK7),"")</f>
        <v/>
      </c>
      <c r="DL8" s="49" t="str">
        <f t="shared" ref="DL8" si="274">IFERROR(YEAR(DL7),"")</f>
        <v/>
      </c>
      <c r="DM8" s="49" t="str">
        <f t="shared" ref="DM8" si="275">IFERROR(YEAR(DM7),"")</f>
        <v/>
      </c>
      <c r="DN8" s="49" t="str">
        <f t="shared" ref="DN8" si="276">IFERROR(YEAR(DN7),"")</f>
        <v/>
      </c>
      <c r="DO8" s="49" t="str">
        <f t="shared" ref="DO8" si="277">IFERROR(YEAR(DO7),"")</f>
        <v/>
      </c>
      <c r="DP8" s="49" t="str">
        <f t="shared" ref="DP8" si="278">IFERROR(YEAR(DP7),"")</f>
        <v/>
      </c>
      <c r="DQ8" s="49" t="str">
        <f t="shared" ref="DQ8" si="279">IFERROR(YEAR(DQ7),"")</f>
        <v/>
      </c>
      <c r="DR8" s="49" t="str">
        <f t="shared" ref="DR8" si="280">IFERROR(YEAR(DR7),"")</f>
        <v/>
      </c>
      <c r="DS8" s="49" t="str">
        <f t="shared" ref="DS8" si="281">IFERROR(YEAR(DS7),"")</f>
        <v/>
      </c>
      <c r="DT8" s="49" t="str">
        <f t="shared" ref="DT8" si="282">IFERROR(YEAR(DT7),"")</f>
        <v/>
      </c>
      <c r="DU8" s="49" t="str">
        <f t="shared" ref="DU8" si="283">IFERROR(YEAR(DU7),"")</f>
        <v/>
      </c>
      <c r="DV8" s="49" t="str">
        <f t="shared" ref="DV8" si="284">IFERROR(YEAR(DV7),"")</f>
        <v/>
      </c>
      <c r="DW8" s="49" t="str">
        <f t="shared" ref="DW8" si="285">IFERROR(YEAR(DW7),"")</f>
        <v/>
      </c>
      <c r="DX8" s="49" t="str">
        <f t="shared" ref="DX8" si="286">IFERROR(YEAR(DX7),"")</f>
        <v/>
      </c>
      <c r="DY8" s="49" t="str">
        <f t="shared" ref="DY8" si="287">IFERROR(YEAR(DY7),"")</f>
        <v/>
      </c>
      <c r="DZ8" s="49" t="str">
        <f t="shared" ref="DZ8" si="288">IFERROR(YEAR(DZ7),"")</f>
        <v/>
      </c>
      <c r="EA8" s="49" t="str">
        <f t="shared" ref="EA8" si="289">IFERROR(YEAR(EA7),"")</f>
        <v/>
      </c>
      <c r="EB8" s="49" t="str">
        <f t="shared" ref="EB8" si="290">IFERROR(YEAR(EB7),"")</f>
        <v/>
      </c>
      <c r="EC8" s="49" t="str">
        <f t="shared" ref="EC8" si="291">IFERROR(YEAR(EC7),"")</f>
        <v/>
      </c>
      <c r="ED8" s="49" t="str">
        <f t="shared" ref="ED8" si="292">IFERROR(YEAR(ED7),"")</f>
        <v/>
      </c>
      <c r="EE8" s="49" t="str">
        <f t="shared" ref="EE8" si="293">IFERROR(YEAR(EE7),"")</f>
        <v/>
      </c>
      <c r="EF8" s="49" t="str">
        <f t="shared" ref="EF8" si="294">IFERROR(YEAR(EF7),"")</f>
        <v/>
      </c>
      <c r="EG8" s="49" t="str">
        <f t="shared" ref="EG8" si="295">IFERROR(YEAR(EG7),"")</f>
        <v/>
      </c>
      <c r="EH8" s="49" t="str">
        <f t="shared" ref="EH8" si="296">IFERROR(YEAR(EH7),"")</f>
        <v/>
      </c>
      <c r="EI8" s="49" t="str">
        <f t="shared" ref="EI8" si="297">IFERROR(YEAR(EI7),"")</f>
        <v/>
      </c>
      <c r="EJ8" s="49" t="str">
        <f t="shared" ref="EJ8" si="298">IFERROR(YEAR(EJ7),"")</f>
        <v/>
      </c>
      <c r="EK8" s="49" t="str">
        <f t="shared" ref="EK8" si="299">IFERROR(YEAR(EK7),"")</f>
        <v/>
      </c>
      <c r="EL8" s="49" t="str">
        <f t="shared" ref="EL8" si="300">IFERROR(YEAR(EL7),"")</f>
        <v/>
      </c>
      <c r="EM8" s="49" t="str">
        <f t="shared" ref="EM8" si="301">IFERROR(YEAR(EM7),"")</f>
        <v/>
      </c>
      <c r="EN8" s="49" t="str">
        <f t="shared" ref="EN8" si="302">IFERROR(YEAR(EN7),"")</f>
        <v/>
      </c>
      <c r="EO8" s="49" t="str">
        <f t="shared" ref="EO8" si="303">IFERROR(YEAR(EO7),"")</f>
        <v/>
      </c>
      <c r="EP8" s="49" t="str">
        <f t="shared" ref="EP8" si="304">IFERROR(YEAR(EP7),"")</f>
        <v/>
      </c>
      <c r="EQ8" s="49" t="str">
        <f t="shared" ref="EQ8" si="305">IFERROR(YEAR(EQ7),"")</f>
        <v/>
      </c>
      <c r="ER8" s="49" t="str">
        <f t="shared" ref="ER8" si="306">IFERROR(YEAR(ER7),"")</f>
        <v/>
      </c>
      <c r="ES8" s="49" t="str">
        <f t="shared" ref="ES8" si="307">IFERROR(YEAR(ES7),"")</f>
        <v/>
      </c>
      <c r="ET8" s="49" t="str">
        <f t="shared" ref="ET8" si="308">IFERROR(YEAR(ET7),"")</f>
        <v/>
      </c>
      <c r="EU8" s="49" t="str">
        <f t="shared" ref="EU8" si="309">IFERROR(YEAR(EU7),"")</f>
        <v/>
      </c>
      <c r="EV8" s="49" t="str">
        <f t="shared" ref="EV8" si="310">IFERROR(YEAR(EV7),"")</f>
        <v/>
      </c>
      <c r="EW8" s="49" t="str">
        <f t="shared" ref="EW8" si="311">IFERROR(YEAR(EW7),"")</f>
        <v/>
      </c>
      <c r="EX8" s="49" t="str">
        <f t="shared" ref="EX8" si="312">IFERROR(YEAR(EX7),"")</f>
        <v/>
      </c>
      <c r="EY8" s="49" t="str">
        <f t="shared" ref="EY8" si="313">IFERROR(YEAR(EY7),"")</f>
        <v/>
      </c>
      <c r="EZ8" s="49" t="str">
        <f t="shared" ref="EZ8" si="314">IFERROR(YEAR(EZ7),"")</f>
        <v/>
      </c>
      <c r="FA8" s="49" t="str">
        <f t="shared" ref="FA8" si="315">IFERROR(YEAR(FA7),"")</f>
        <v/>
      </c>
      <c r="FB8" s="49" t="str">
        <f t="shared" ref="FB8" si="316">IFERROR(YEAR(FB7),"")</f>
        <v/>
      </c>
      <c r="FC8" s="49" t="str">
        <f t="shared" ref="FC8" si="317">IFERROR(YEAR(FC7),"")</f>
        <v/>
      </c>
      <c r="FD8" s="49" t="str">
        <f t="shared" ref="FD8" si="318">IFERROR(YEAR(FD7),"")</f>
        <v/>
      </c>
      <c r="FE8" s="49" t="str">
        <f t="shared" ref="FE8" si="319">IFERROR(YEAR(FE7),"")</f>
        <v/>
      </c>
      <c r="FF8" s="49" t="str">
        <f t="shared" ref="FF8" si="320">IFERROR(YEAR(FF7),"")</f>
        <v/>
      </c>
      <c r="FG8" s="49" t="str">
        <f t="shared" ref="FG8" si="321">IFERROR(YEAR(FG7),"")</f>
        <v/>
      </c>
      <c r="FH8" s="49" t="str">
        <f t="shared" ref="FH8:GR8" si="322">IFERROR(YEAR(FH7),"")</f>
        <v/>
      </c>
      <c r="FI8" s="49" t="str">
        <f t="shared" si="322"/>
        <v/>
      </c>
      <c r="FJ8" s="49" t="str">
        <f t="shared" si="322"/>
        <v/>
      </c>
      <c r="FK8" s="49" t="str">
        <f t="shared" si="322"/>
        <v/>
      </c>
      <c r="FL8" s="49" t="str">
        <f t="shared" si="322"/>
        <v/>
      </c>
      <c r="FM8" s="49" t="str">
        <f t="shared" si="322"/>
        <v/>
      </c>
      <c r="FN8" s="49" t="str">
        <f t="shared" si="322"/>
        <v/>
      </c>
      <c r="FO8" s="49" t="str">
        <f t="shared" si="322"/>
        <v/>
      </c>
      <c r="FP8" s="49" t="str">
        <f t="shared" si="322"/>
        <v/>
      </c>
      <c r="FQ8" s="49" t="str">
        <f t="shared" si="322"/>
        <v/>
      </c>
      <c r="FR8" s="49" t="str">
        <f t="shared" si="322"/>
        <v/>
      </c>
      <c r="FS8" s="49" t="str">
        <f t="shared" si="322"/>
        <v/>
      </c>
      <c r="FT8" s="49" t="str">
        <f t="shared" si="322"/>
        <v/>
      </c>
      <c r="FU8" s="49" t="str">
        <f t="shared" si="322"/>
        <v/>
      </c>
      <c r="FV8" s="49" t="str">
        <f t="shared" si="322"/>
        <v/>
      </c>
      <c r="FW8" s="49" t="str">
        <f t="shared" si="322"/>
        <v/>
      </c>
      <c r="FX8" s="49" t="str">
        <f t="shared" si="322"/>
        <v/>
      </c>
      <c r="FY8" s="49" t="str">
        <f t="shared" si="322"/>
        <v/>
      </c>
      <c r="FZ8" s="49" t="str">
        <f t="shared" si="322"/>
        <v/>
      </c>
      <c r="GA8" s="49" t="str">
        <f t="shared" si="322"/>
        <v/>
      </c>
      <c r="GB8" s="49" t="str">
        <f t="shared" si="322"/>
        <v/>
      </c>
      <c r="GC8" s="49" t="str">
        <f t="shared" si="322"/>
        <v/>
      </c>
      <c r="GD8" s="49" t="str">
        <f t="shared" si="322"/>
        <v/>
      </c>
      <c r="GE8" s="49" t="str">
        <f t="shared" si="322"/>
        <v/>
      </c>
      <c r="GF8" s="49" t="str">
        <f t="shared" si="322"/>
        <v/>
      </c>
      <c r="GG8" s="49" t="str">
        <f t="shared" si="322"/>
        <v/>
      </c>
      <c r="GH8" s="49" t="str">
        <f t="shared" si="322"/>
        <v/>
      </c>
      <c r="GI8" s="49" t="str">
        <f t="shared" si="322"/>
        <v/>
      </c>
      <c r="GJ8" s="49" t="str">
        <f t="shared" si="322"/>
        <v/>
      </c>
      <c r="GK8" s="49" t="str">
        <f t="shared" si="322"/>
        <v/>
      </c>
      <c r="GL8" s="49" t="str">
        <f t="shared" si="322"/>
        <v/>
      </c>
      <c r="GM8" s="49" t="str">
        <f t="shared" si="322"/>
        <v/>
      </c>
      <c r="GN8" s="49" t="str">
        <f t="shared" si="322"/>
        <v/>
      </c>
      <c r="GO8" s="49" t="str">
        <f t="shared" si="322"/>
        <v/>
      </c>
      <c r="GP8" s="49" t="str">
        <f t="shared" si="322"/>
        <v/>
      </c>
      <c r="GQ8" s="49" t="str">
        <f t="shared" si="322"/>
        <v/>
      </c>
      <c r="GR8" s="49" t="str">
        <f t="shared" si="322"/>
        <v/>
      </c>
      <c r="GS8" s="49" t="str">
        <f t="shared" ref="GS8:JD8" si="323">IFERROR(YEAR(GS7),"")</f>
        <v/>
      </c>
      <c r="GT8" s="49" t="str">
        <f t="shared" si="323"/>
        <v/>
      </c>
      <c r="GU8" s="49" t="str">
        <f t="shared" si="323"/>
        <v/>
      </c>
      <c r="GV8" s="49" t="str">
        <f t="shared" si="323"/>
        <v/>
      </c>
      <c r="GW8" s="49" t="str">
        <f t="shared" si="323"/>
        <v/>
      </c>
      <c r="GX8" s="49" t="str">
        <f t="shared" si="323"/>
        <v/>
      </c>
      <c r="GY8" s="49" t="str">
        <f t="shared" si="323"/>
        <v/>
      </c>
      <c r="GZ8" s="49" t="str">
        <f t="shared" si="323"/>
        <v/>
      </c>
      <c r="HA8" s="49" t="str">
        <f t="shared" si="323"/>
        <v/>
      </c>
      <c r="HB8" s="49" t="str">
        <f t="shared" si="323"/>
        <v/>
      </c>
      <c r="HC8" s="49" t="str">
        <f t="shared" si="323"/>
        <v/>
      </c>
      <c r="HD8" s="49" t="str">
        <f t="shared" si="323"/>
        <v/>
      </c>
      <c r="HE8" s="49" t="str">
        <f t="shared" si="323"/>
        <v/>
      </c>
      <c r="HF8" s="49" t="str">
        <f t="shared" si="323"/>
        <v/>
      </c>
      <c r="HG8" s="49" t="str">
        <f t="shared" si="323"/>
        <v/>
      </c>
      <c r="HH8" s="49" t="str">
        <f t="shared" si="323"/>
        <v/>
      </c>
      <c r="HI8" s="49" t="str">
        <f t="shared" si="323"/>
        <v/>
      </c>
      <c r="HJ8" s="49" t="str">
        <f t="shared" si="323"/>
        <v/>
      </c>
      <c r="HK8" s="49" t="str">
        <f t="shared" si="323"/>
        <v/>
      </c>
      <c r="HL8" s="49" t="str">
        <f t="shared" si="323"/>
        <v/>
      </c>
      <c r="HM8" s="49" t="str">
        <f t="shared" si="323"/>
        <v/>
      </c>
      <c r="HN8" s="49" t="str">
        <f t="shared" si="323"/>
        <v/>
      </c>
      <c r="HO8" s="49" t="str">
        <f t="shared" si="323"/>
        <v/>
      </c>
      <c r="HP8" s="49" t="str">
        <f t="shared" si="323"/>
        <v/>
      </c>
      <c r="HQ8" s="49" t="str">
        <f t="shared" si="323"/>
        <v/>
      </c>
      <c r="HR8" s="49" t="str">
        <f t="shared" si="323"/>
        <v/>
      </c>
      <c r="HS8" s="49" t="str">
        <f t="shared" si="323"/>
        <v/>
      </c>
      <c r="HT8" s="49" t="str">
        <f t="shared" si="323"/>
        <v/>
      </c>
      <c r="HU8" s="49" t="str">
        <f t="shared" si="323"/>
        <v/>
      </c>
      <c r="HV8" s="49" t="str">
        <f t="shared" si="323"/>
        <v/>
      </c>
      <c r="HW8" s="49" t="str">
        <f t="shared" si="323"/>
        <v/>
      </c>
      <c r="HX8" s="49" t="str">
        <f t="shared" si="323"/>
        <v/>
      </c>
      <c r="HY8" s="49" t="str">
        <f t="shared" si="323"/>
        <v/>
      </c>
      <c r="HZ8" s="49" t="str">
        <f t="shared" si="323"/>
        <v/>
      </c>
      <c r="IA8" s="49" t="str">
        <f t="shared" si="323"/>
        <v/>
      </c>
      <c r="IB8" s="49" t="str">
        <f t="shared" si="323"/>
        <v/>
      </c>
      <c r="IC8" s="49" t="str">
        <f t="shared" si="323"/>
        <v/>
      </c>
      <c r="ID8" s="49" t="str">
        <f t="shared" si="323"/>
        <v/>
      </c>
      <c r="IE8" s="49" t="str">
        <f t="shared" si="323"/>
        <v/>
      </c>
      <c r="IF8" s="49" t="str">
        <f t="shared" si="323"/>
        <v/>
      </c>
      <c r="IG8" s="49" t="str">
        <f t="shared" si="323"/>
        <v/>
      </c>
      <c r="IH8" s="49" t="str">
        <f t="shared" si="323"/>
        <v/>
      </c>
      <c r="II8" s="49" t="str">
        <f t="shared" si="323"/>
        <v/>
      </c>
      <c r="IJ8" s="49" t="str">
        <f t="shared" si="323"/>
        <v/>
      </c>
      <c r="IK8" s="49" t="str">
        <f t="shared" si="323"/>
        <v/>
      </c>
      <c r="IL8" s="49" t="str">
        <f t="shared" si="323"/>
        <v/>
      </c>
      <c r="IM8" s="49" t="str">
        <f t="shared" si="323"/>
        <v/>
      </c>
      <c r="IN8" s="49" t="str">
        <f t="shared" si="323"/>
        <v/>
      </c>
      <c r="IO8" s="49" t="str">
        <f t="shared" si="323"/>
        <v/>
      </c>
      <c r="IP8" s="49" t="str">
        <f t="shared" si="323"/>
        <v/>
      </c>
      <c r="IQ8" s="49" t="str">
        <f t="shared" si="323"/>
        <v/>
      </c>
      <c r="IR8" s="49" t="str">
        <f t="shared" si="323"/>
        <v/>
      </c>
      <c r="IS8" s="49" t="str">
        <f t="shared" si="323"/>
        <v/>
      </c>
      <c r="IT8" s="49" t="str">
        <f t="shared" si="323"/>
        <v/>
      </c>
      <c r="IU8" s="49" t="str">
        <f t="shared" si="323"/>
        <v/>
      </c>
      <c r="IV8" s="49" t="str">
        <f t="shared" si="323"/>
        <v/>
      </c>
      <c r="IW8" s="49" t="str">
        <f t="shared" si="323"/>
        <v/>
      </c>
      <c r="IX8" s="49" t="str">
        <f t="shared" si="323"/>
        <v/>
      </c>
      <c r="IY8" s="49" t="str">
        <f t="shared" si="323"/>
        <v/>
      </c>
      <c r="IZ8" s="49" t="str">
        <f t="shared" si="323"/>
        <v/>
      </c>
      <c r="JA8" s="49" t="str">
        <f t="shared" si="323"/>
        <v/>
      </c>
      <c r="JB8" s="49" t="str">
        <f t="shared" si="323"/>
        <v/>
      </c>
      <c r="JC8" s="49" t="str">
        <f t="shared" si="323"/>
        <v/>
      </c>
      <c r="JD8" s="49" t="str">
        <f t="shared" si="323"/>
        <v/>
      </c>
      <c r="JE8" s="49" t="str">
        <f t="shared" ref="JE8:LP8" si="324">IFERROR(YEAR(JE7),"")</f>
        <v/>
      </c>
      <c r="JF8" s="49" t="str">
        <f t="shared" si="324"/>
        <v/>
      </c>
      <c r="JG8" s="49" t="str">
        <f t="shared" si="324"/>
        <v/>
      </c>
      <c r="JH8" s="49" t="str">
        <f t="shared" si="324"/>
        <v/>
      </c>
      <c r="JI8" s="49" t="str">
        <f t="shared" si="324"/>
        <v/>
      </c>
      <c r="JJ8" s="49" t="str">
        <f t="shared" si="324"/>
        <v/>
      </c>
      <c r="JK8" s="49" t="str">
        <f t="shared" si="324"/>
        <v/>
      </c>
      <c r="JL8" s="49" t="str">
        <f t="shared" si="324"/>
        <v/>
      </c>
      <c r="JM8" s="49" t="str">
        <f t="shared" si="324"/>
        <v/>
      </c>
      <c r="JN8" s="49" t="str">
        <f t="shared" si="324"/>
        <v/>
      </c>
      <c r="JO8" s="49" t="str">
        <f t="shared" si="324"/>
        <v/>
      </c>
      <c r="JP8" s="49" t="str">
        <f t="shared" si="324"/>
        <v/>
      </c>
      <c r="JQ8" s="49" t="str">
        <f t="shared" si="324"/>
        <v/>
      </c>
      <c r="JR8" s="49" t="str">
        <f t="shared" si="324"/>
        <v/>
      </c>
      <c r="JS8" s="49" t="str">
        <f t="shared" si="324"/>
        <v/>
      </c>
      <c r="JT8" s="49" t="str">
        <f t="shared" si="324"/>
        <v/>
      </c>
      <c r="JU8" s="49" t="str">
        <f t="shared" si="324"/>
        <v/>
      </c>
      <c r="JV8" s="49" t="str">
        <f t="shared" si="324"/>
        <v/>
      </c>
      <c r="JW8" s="49" t="str">
        <f t="shared" si="324"/>
        <v/>
      </c>
      <c r="JX8" s="49" t="str">
        <f t="shared" si="324"/>
        <v/>
      </c>
      <c r="JY8" s="49" t="str">
        <f t="shared" si="324"/>
        <v/>
      </c>
      <c r="JZ8" s="49" t="str">
        <f t="shared" si="324"/>
        <v/>
      </c>
      <c r="KA8" s="49" t="str">
        <f t="shared" si="324"/>
        <v/>
      </c>
      <c r="KB8" s="49" t="str">
        <f t="shared" si="324"/>
        <v/>
      </c>
      <c r="KC8" s="49" t="str">
        <f t="shared" si="324"/>
        <v/>
      </c>
      <c r="KD8" s="49" t="str">
        <f t="shared" si="324"/>
        <v/>
      </c>
      <c r="KE8" s="49" t="str">
        <f t="shared" si="324"/>
        <v/>
      </c>
      <c r="KF8" s="49" t="str">
        <f t="shared" si="324"/>
        <v/>
      </c>
      <c r="KG8" s="49" t="str">
        <f t="shared" si="324"/>
        <v/>
      </c>
      <c r="KH8" s="49" t="str">
        <f t="shared" si="324"/>
        <v/>
      </c>
      <c r="KI8" s="49" t="str">
        <f t="shared" si="324"/>
        <v/>
      </c>
      <c r="KJ8" s="49" t="str">
        <f t="shared" si="324"/>
        <v/>
      </c>
      <c r="KK8" s="49" t="str">
        <f t="shared" si="324"/>
        <v/>
      </c>
      <c r="KL8" s="49" t="str">
        <f t="shared" si="324"/>
        <v/>
      </c>
      <c r="KM8" s="49" t="str">
        <f t="shared" si="324"/>
        <v/>
      </c>
      <c r="KN8" s="49" t="str">
        <f t="shared" si="324"/>
        <v/>
      </c>
      <c r="KO8" s="49" t="str">
        <f t="shared" si="324"/>
        <v/>
      </c>
      <c r="KP8" s="49" t="str">
        <f t="shared" si="324"/>
        <v/>
      </c>
      <c r="KQ8" s="49" t="str">
        <f t="shared" si="324"/>
        <v/>
      </c>
      <c r="KR8" s="49" t="str">
        <f t="shared" si="324"/>
        <v/>
      </c>
      <c r="KS8" s="49" t="str">
        <f t="shared" si="324"/>
        <v/>
      </c>
      <c r="KT8" s="49" t="str">
        <f t="shared" si="324"/>
        <v/>
      </c>
      <c r="KU8" s="49" t="str">
        <f t="shared" si="324"/>
        <v/>
      </c>
      <c r="KV8" s="49" t="str">
        <f t="shared" si="324"/>
        <v/>
      </c>
      <c r="KW8" s="49" t="str">
        <f t="shared" si="324"/>
        <v/>
      </c>
      <c r="KX8" s="49" t="str">
        <f t="shared" si="324"/>
        <v/>
      </c>
      <c r="KY8" s="49" t="str">
        <f t="shared" si="324"/>
        <v/>
      </c>
      <c r="KZ8" s="49" t="str">
        <f t="shared" si="324"/>
        <v/>
      </c>
      <c r="LA8" s="49" t="str">
        <f t="shared" si="324"/>
        <v/>
      </c>
      <c r="LB8" s="49" t="str">
        <f t="shared" si="324"/>
        <v/>
      </c>
      <c r="LC8" s="49" t="str">
        <f t="shared" si="324"/>
        <v/>
      </c>
      <c r="LD8" s="49" t="str">
        <f t="shared" si="324"/>
        <v/>
      </c>
      <c r="LE8" s="49" t="str">
        <f t="shared" si="324"/>
        <v/>
      </c>
      <c r="LF8" s="49" t="str">
        <f t="shared" si="324"/>
        <v/>
      </c>
      <c r="LG8" s="49" t="str">
        <f t="shared" si="324"/>
        <v/>
      </c>
      <c r="LH8" s="49" t="str">
        <f t="shared" si="324"/>
        <v/>
      </c>
      <c r="LI8" s="49" t="str">
        <f t="shared" si="324"/>
        <v/>
      </c>
      <c r="LJ8" s="49" t="str">
        <f t="shared" si="324"/>
        <v/>
      </c>
      <c r="LK8" s="49" t="str">
        <f t="shared" si="324"/>
        <v/>
      </c>
      <c r="LL8" s="49" t="str">
        <f t="shared" si="324"/>
        <v/>
      </c>
      <c r="LM8" s="49" t="str">
        <f t="shared" si="324"/>
        <v/>
      </c>
      <c r="LN8" s="49" t="str">
        <f t="shared" si="324"/>
        <v/>
      </c>
      <c r="LO8" s="49" t="str">
        <f t="shared" si="324"/>
        <v/>
      </c>
      <c r="LP8" s="49" t="str">
        <f t="shared" si="324"/>
        <v/>
      </c>
      <c r="LQ8" s="49" t="str">
        <f t="shared" ref="LQ8:LY8" si="325">IFERROR(YEAR(LQ7),"")</f>
        <v/>
      </c>
      <c r="LR8" s="49" t="str">
        <f t="shared" si="325"/>
        <v/>
      </c>
      <c r="LS8" s="49" t="str">
        <f t="shared" si="325"/>
        <v/>
      </c>
      <c r="LT8" s="49" t="str">
        <f t="shared" si="325"/>
        <v/>
      </c>
      <c r="LU8" s="49" t="str">
        <f t="shared" si="325"/>
        <v/>
      </c>
      <c r="LV8" s="49" t="str">
        <f t="shared" si="325"/>
        <v/>
      </c>
      <c r="LW8" s="49" t="str">
        <f t="shared" si="325"/>
        <v/>
      </c>
      <c r="LX8" s="49" t="str">
        <f t="shared" si="325"/>
        <v/>
      </c>
      <c r="LY8" s="49" t="str">
        <f t="shared" si="325"/>
        <v/>
      </c>
      <c r="MA8" s="155"/>
    </row>
    <row r="9" spans="1:339">
      <c r="B9" s="144" t="s">
        <v>32</v>
      </c>
      <c r="C9" s="145"/>
      <c r="E9" s="50">
        <f>IFERROR(MONTH(E7),"")</f>
        <v>10</v>
      </c>
      <c r="F9" s="50">
        <f t="shared" ref="F9:Q9" si="326">IFERROR(MONTH(F7),"")</f>
        <v>11</v>
      </c>
      <c r="G9" s="50">
        <f t="shared" si="326"/>
        <v>12</v>
      </c>
      <c r="H9" s="50">
        <f t="shared" si="326"/>
        <v>1</v>
      </c>
      <c r="I9" s="50">
        <f t="shared" si="326"/>
        <v>2</v>
      </c>
      <c r="J9" s="50">
        <f t="shared" si="326"/>
        <v>3</v>
      </c>
      <c r="K9" s="50">
        <f t="shared" si="326"/>
        <v>4</v>
      </c>
      <c r="L9" s="50">
        <f t="shared" si="326"/>
        <v>5</v>
      </c>
      <c r="M9" s="50">
        <f t="shared" si="326"/>
        <v>6</v>
      </c>
      <c r="N9" s="50">
        <f t="shared" si="326"/>
        <v>7</v>
      </c>
      <c r="O9" s="50">
        <f t="shared" si="326"/>
        <v>8</v>
      </c>
      <c r="P9" s="50">
        <f t="shared" si="326"/>
        <v>9</v>
      </c>
      <c r="Q9" s="50">
        <f t="shared" si="326"/>
        <v>10</v>
      </c>
      <c r="R9" s="50">
        <f t="shared" ref="R9:AG9" si="327">IFERROR(MONTH(R7),"")</f>
        <v>11</v>
      </c>
      <c r="S9" s="50">
        <f t="shared" si="327"/>
        <v>12</v>
      </c>
      <c r="T9" s="50">
        <f t="shared" si="327"/>
        <v>1</v>
      </c>
      <c r="U9" s="50">
        <f t="shared" si="327"/>
        <v>2</v>
      </c>
      <c r="V9" s="50">
        <f t="shared" si="327"/>
        <v>3</v>
      </c>
      <c r="W9" s="50">
        <f t="shared" si="327"/>
        <v>4</v>
      </c>
      <c r="X9" s="50">
        <f t="shared" si="327"/>
        <v>5</v>
      </c>
      <c r="Y9" s="50">
        <f t="shared" si="327"/>
        <v>6</v>
      </c>
      <c r="Z9" s="50">
        <f t="shared" si="327"/>
        <v>7</v>
      </c>
      <c r="AA9" s="50">
        <f t="shared" si="327"/>
        <v>8</v>
      </c>
      <c r="AB9" s="50">
        <f t="shared" si="327"/>
        <v>9</v>
      </c>
      <c r="AC9" s="50">
        <f t="shared" si="327"/>
        <v>10</v>
      </c>
      <c r="AD9" s="50">
        <f t="shared" si="327"/>
        <v>11</v>
      </c>
      <c r="AE9" s="50">
        <f t="shared" si="327"/>
        <v>12</v>
      </c>
      <c r="AF9" s="50">
        <f t="shared" si="327"/>
        <v>1</v>
      </c>
      <c r="AG9" s="50">
        <f t="shared" si="327"/>
        <v>2</v>
      </c>
      <c r="AH9" s="50">
        <f t="shared" ref="AH9:CE9" si="328">IFERROR(MONTH(AH7),"")</f>
        <v>3</v>
      </c>
      <c r="AI9" s="50">
        <f t="shared" si="328"/>
        <v>4</v>
      </c>
      <c r="AJ9" s="50">
        <f t="shared" si="328"/>
        <v>5</v>
      </c>
      <c r="AK9" s="50">
        <f t="shared" si="328"/>
        <v>6</v>
      </c>
      <c r="AL9" s="50">
        <f t="shared" si="328"/>
        <v>7</v>
      </c>
      <c r="AM9" s="50">
        <f t="shared" si="328"/>
        <v>8</v>
      </c>
      <c r="AN9" s="50">
        <f t="shared" si="328"/>
        <v>9</v>
      </c>
      <c r="AO9" s="50">
        <f t="shared" si="328"/>
        <v>10</v>
      </c>
      <c r="AP9" s="50">
        <f t="shared" si="328"/>
        <v>11</v>
      </c>
      <c r="AQ9" s="50">
        <f t="shared" si="328"/>
        <v>12</v>
      </c>
      <c r="AR9" s="50">
        <f t="shared" si="328"/>
        <v>1</v>
      </c>
      <c r="AS9" s="50">
        <f t="shared" si="328"/>
        <v>2</v>
      </c>
      <c r="AT9" s="50">
        <f t="shared" si="328"/>
        <v>3</v>
      </c>
      <c r="AU9" s="50">
        <f t="shared" si="328"/>
        <v>4</v>
      </c>
      <c r="AV9" s="50">
        <f t="shared" si="328"/>
        <v>5</v>
      </c>
      <c r="AW9" s="50">
        <f t="shared" si="328"/>
        <v>6</v>
      </c>
      <c r="AX9" s="50">
        <f t="shared" si="328"/>
        <v>7</v>
      </c>
      <c r="AY9" s="50">
        <f t="shared" si="328"/>
        <v>8</v>
      </c>
      <c r="AZ9" s="50">
        <f t="shared" si="328"/>
        <v>9</v>
      </c>
      <c r="BA9" s="50">
        <f t="shared" si="328"/>
        <v>10</v>
      </c>
      <c r="BB9" s="50">
        <f t="shared" si="328"/>
        <v>11</v>
      </c>
      <c r="BC9" s="50">
        <f t="shared" si="328"/>
        <v>12</v>
      </c>
      <c r="BD9" s="50">
        <f t="shared" si="328"/>
        <v>1</v>
      </c>
      <c r="BE9" s="50">
        <f t="shared" si="328"/>
        <v>2</v>
      </c>
      <c r="BF9" s="50">
        <f t="shared" si="328"/>
        <v>3</v>
      </c>
      <c r="BG9" s="50">
        <f t="shared" si="328"/>
        <v>4</v>
      </c>
      <c r="BH9" s="50">
        <f t="shared" si="328"/>
        <v>5</v>
      </c>
      <c r="BI9" s="50">
        <f t="shared" si="328"/>
        <v>6</v>
      </c>
      <c r="BJ9" s="50">
        <f t="shared" si="328"/>
        <v>7</v>
      </c>
      <c r="BK9" s="50">
        <f t="shared" si="328"/>
        <v>8</v>
      </c>
      <c r="BL9" s="50">
        <f t="shared" si="328"/>
        <v>9</v>
      </c>
      <c r="BM9" s="50">
        <f t="shared" si="328"/>
        <v>10</v>
      </c>
      <c r="BN9" s="50" t="str">
        <f t="shared" si="328"/>
        <v/>
      </c>
      <c r="BO9" s="50" t="str">
        <f t="shared" si="328"/>
        <v/>
      </c>
      <c r="BP9" s="50" t="str">
        <f t="shared" si="328"/>
        <v/>
      </c>
      <c r="BQ9" s="50" t="str">
        <f t="shared" si="328"/>
        <v/>
      </c>
      <c r="BR9" s="50" t="str">
        <f t="shared" si="328"/>
        <v/>
      </c>
      <c r="BS9" s="50" t="str">
        <f t="shared" si="328"/>
        <v/>
      </c>
      <c r="BT9" s="50" t="str">
        <f t="shared" si="328"/>
        <v/>
      </c>
      <c r="BU9" s="50" t="str">
        <f t="shared" si="328"/>
        <v/>
      </c>
      <c r="BV9" s="50" t="str">
        <f t="shared" si="328"/>
        <v/>
      </c>
      <c r="BW9" s="50" t="str">
        <f t="shared" si="328"/>
        <v/>
      </c>
      <c r="BX9" s="50" t="str">
        <f t="shared" si="328"/>
        <v/>
      </c>
      <c r="BY9" s="50" t="str">
        <f t="shared" si="328"/>
        <v/>
      </c>
      <c r="BZ9" s="50" t="str">
        <f t="shared" si="328"/>
        <v/>
      </c>
      <c r="CA9" s="50" t="str">
        <f t="shared" si="328"/>
        <v/>
      </c>
      <c r="CB9" s="50" t="str">
        <f t="shared" si="328"/>
        <v/>
      </c>
      <c r="CC9" s="50" t="str">
        <f t="shared" si="328"/>
        <v/>
      </c>
      <c r="CD9" s="50" t="str">
        <f t="shared" si="328"/>
        <v/>
      </c>
      <c r="CE9" s="50" t="str">
        <f t="shared" si="328"/>
        <v/>
      </c>
      <c r="CF9" s="50" t="str">
        <f t="shared" ref="CF9:EQ9" si="329">IFERROR(MONTH(CF7),"")</f>
        <v/>
      </c>
      <c r="CG9" s="50" t="str">
        <f t="shared" si="329"/>
        <v/>
      </c>
      <c r="CH9" s="50" t="str">
        <f t="shared" si="329"/>
        <v/>
      </c>
      <c r="CI9" s="50" t="str">
        <f t="shared" si="329"/>
        <v/>
      </c>
      <c r="CJ9" s="50" t="str">
        <f t="shared" si="329"/>
        <v/>
      </c>
      <c r="CK9" s="50" t="str">
        <f t="shared" si="329"/>
        <v/>
      </c>
      <c r="CL9" s="50" t="str">
        <f t="shared" si="329"/>
        <v/>
      </c>
      <c r="CM9" s="50" t="str">
        <f t="shared" si="329"/>
        <v/>
      </c>
      <c r="CN9" s="50" t="str">
        <f t="shared" si="329"/>
        <v/>
      </c>
      <c r="CO9" s="50" t="str">
        <f t="shared" si="329"/>
        <v/>
      </c>
      <c r="CP9" s="50" t="str">
        <f t="shared" si="329"/>
        <v/>
      </c>
      <c r="CQ9" s="50" t="str">
        <f t="shared" si="329"/>
        <v/>
      </c>
      <c r="CR9" s="50" t="str">
        <f t="shared" si="329"/>
        <v/>
      </c>
      <c r="CS9" s="50" t="str">
        <f t="shared" si="329"/>
        <v/>
      </c>
      <c r="CT9" s="50" t="str">
        <f t="shared" si="329"/>
        <v/>
      </c>
      <c r="CU9" s="50" t="str">
        <f t="shared" si="329"/>
        <v/>
      </c>
      <c r="CV9" s="50" t="str">
        <f t="shared" si="329"/>
        <v/>
      </c>
      <c r="CW9" s="50" t="str">
        <f t="shared" si="329"/>
        <v/>
      </c>
      <c r="CX9" s="50" t="str">
        <f t="shared" si="329"/>
        <v/>
      </c>
      <c r="CY9" s="50" t="str">
        <f t="shared" si="329"/>
        <v/>
      </c>
      <c r="CZ9" s="50" t="str">
        <f t="shared" si="329"/>
        <v/>
      </c>
      <c r="DA9" s="50" t="str">
        <f t="shared" si="329"/>
        <v/>
      </c>
      <c r="DB9" s="50" t="str">
        <f t="shared" si="329"/>
        <v/>
      </c>
      <c r="DC9" s="50" t="str">
        <f t="shared" si="329"/>
        <v/>
      </c>
      <c r="DD9" s="50" t="str">
        <f t="shared" si="329"/>
        <v/>
      </c>
      <c r="DE9" s="50" t="str">
        <f t="shared" si="329"/>
        <v/>
      </c>
      <c r="DF9" s="50" t="str">
        <f t="shared" si="329"/>
        <v/>
      </c>
      <c r="DG9" s="50" t="str">
        <f t="shared" si="329"/>
        <v/>
      </c>
      <c r="DH9" s="50" t="str">
        <f t="shared" si="329"/>
        <v/>
      </c>
      <c r="DI9" s="50" t="str">
        <f t="shared" si="329"/>
        <v/>
      </c>
      <c r="DJ9" s="50" t="str">
        <f t="shared" si="329"/>
        <v/>
      </c>
      <c r="DK9" s="50" t="str">
        <f t="shared" si="329"/>
        <v/>
      </c>
      <c r="DL9" s="50" t="str">
        <f t="shared" si="329"/>
        <v/>
      </c>
      <c r="DM9" s="50" t="str">
        <f t="shared" si="329"/>
        <v/>
      </c>
      <c r="DN9" s="50" t="str">
        <f t="shared" si="329"/>
        <v/>
      </c>
      <c r="DO9" s="50" t="str">
        <f t="shared" si="329"/>
        <v/>
      </c>
      <c r="DP9" s="50" t="str">
        <f t="shared" si="329"/>
        <v/>
      </c>
      <c r="DQ9" s="50" t="str">
        <f t="shared" si="329"/>
        <v/>
      </c>
      <c r="DR9" s="50" t="str">
        <f t="shared" si="329"/>
        <v/>
      </c>
      <c r="DS9" s="50" t="str">
        <f t="shared" si="329"/>
        <v/>
      </c>
      <c r="DT9" s="50" t="str">
        <f t="shared" si="329"/>
        <v/>
      </c>
      <c r="DU9" s="50" t="str">
        <f t="shared" si="329"/>
        <v/>
      </c>
      <c r="DV9" s="50" t="str">
        <f t="shared" si="329"/>
        <v/>
      </c>
      <c r="DW9" s="50" t="str">
        <f t="shared" si="329"/>
        <v/>
      </c>
      <c r="DX9" s="50" t="str">
        <f t="shared" si="329"/>
        <v/>
      </c>
      <c r="DY9" s="50" t="str">
        <f t="shared" si="329"/>
        <v/>
      </c>
      <c r="DZ9" s="50" t="str">
        <f t="shared" si="329"/>
        <v/>
      </c>
      <c r="EA9" s="50" t="str">
        <f t="shared" si="329"/>
        <v/>
      </c>
      <c r="EB9" s="50" t="str">
        <f t="shared" si="329"/>
        <v/>
      </c>
      <c r="EC9" s="50" t="str">
        <f t="shared" si="329"/>
        <v/>
      </c>
      <c r="ED9" s="50" t="str">
        <f t="shared" si="329"/>
        <v/>
      </c>
      <c r="EE9" s="50" t="str">
        <f t="shared" si="329"/>
        <v/>
      </c>
      <c r="EF9" s="50" t="str">
        <f t="shared" si="329"/>
        <v/>
      </c>
      <c r="EG9" s="50" t="str">
        <f t="shared" si="329"/>
        <v/>
      </c>
      <c r="EH9" s="50" t="str">
        <f t="shared" si="329"/>
        <v/>
      </c>
      <c r="EI9" s="50" t="str">
        <f t="shared" si="329"/>
        <v/>
      </c>
      <c r="EJ9" s="50" t="str">
        <f t="shared" si="329"/>
        <v/>
      </c>
      <c r="EK9" s="50" t="str">
        <f t="shared" si="329"/>
        <v/>
      </c>
      <c r="EL9" s="50" t="str">
        <f t="shared" si="329"/>
        <v/>
      </c>
      <c r="EM9" s="50" t="str">
        <f t="shared" si="329"/>
        <v/>
      </c>
      <c r="EN9" s="50" t="str">
        <f t="shared" si="329"/>
        <v/>
      </c>
      <c r="EO9" s="50" t="str">
        <f t="shared" si="329"/>
        <v/>
      </c>
      <c r="EP9" s="50" t="str">
        <f t="shared" si="329"/>
        <v/>
      </c>
      <c r="EQ9" s="50" t="str">
        <f t="shared" si="329"/>
        <v/>
      </c>
      <c r="ER9" s="50" t="str">
        <f t="shared" ref="ER9:FH9" si="330">IFERROR(MONTH(ER7),"")</f>
        <v/>
      </c>
      <c r="ES9" s="50" t="str">
        <f t="shared" si="330"/>
        <v/>
      </c>
      <c r="ET9" s="50" t="str">
        <f t="shared" si="330"/>
        <v/>
      </c>
      <c r="EU9" s="50" t="str">
        <f t="shared" si="330"/>
        <v/>
      </c>
      <c r="EV9" s="50" t="str">
        <f t="shared" si="330"/>
        <v/>
      </c>
      <c r="EW9" s="50" t="str">
        <f t="shared" si="330"/>
        <v/>
      </c>
      <c r="EX9" s="50" t="str">
        <f t="shared" si="330"/>
        <v/>
      </c>
      <c r="EY9" s="50" t="str">
        <f t="shared" si="330"/>
        <v/>
      </c>
      <c r="EZ9" s="50" t="str">
        <f t="shared" si="330"/>
        <v/>
      </c>
      <c r="FA9" s="50" t="str">
        <f t="shared" si="330"/>
        <v/>
      </c>
      <c r="FB9" s="50" t="str">
        <f t="shared" si="330"/>
        <v/>
      </c>
      <c r="FC9" s="50" t="str">
        <f t="shared" si="330"/>
        <v/>
      </c>
      <c r="FD9" s="50" t="str">
        <f t="shared" si="330"/>
        <v/>
      </c>
      <c r="FE9" s="50" t="str">
        <f t="shared" si="330"/>
        <v/>
      </c>
      <c r="FF9" s="50" t="str">
        <f t="shared" si="330"/>
        <v/>
      </c>
      <c r="FG9" s="50" t="str">
        <f t="shared" si="330"/>
        <v/>
      </c>
      <c r="FH9" s="50" t="str">
        <f t="shared" si="330"/>
        <v/>
      </c>
      <c r="FI9" s="50" t="str">
        <f t="shared" ref="FI9:GR9" si="331">IFERROR(MONTH(FI7),"")</f>
        <v/>
      </c>
      <c r="FJ9" s="50" t="str">
        <f t="shared" si="331"/>
        <v/>
      </c>
      <c r="FK9" s="50" t="str">
        <f t="shared" si="331"/>
        <v/>
      </c>
      <c r="FL9" s="50" t="str">
        <f t="shared" si="331"/>
        <v/>
      </c>
      <c r="FM9" s="50" t="str">
        <f t="shared" si="331"/>
        <v/>
      </c>
      <c r="FN9" s="50" t="str">
        <f t="shared" si="331"/>
        <v/>
      </c>
      <c r="FO9" s="50" t="str">
        <f t="shared" si="331"/>
        <v/>
      </c>
      <c r="FP9" s="50" t="str">
        <f t="shared" si="331"/>
        <v/>
      </c>
      <c r="FQ9" s="50" t="str">
        <f t="shared" si="331"/>
        <v/>
      </c>
      <c r="FR9" s="50" t="str">
        <f t="shared" si="331"/>
        <v/>
      </c>
      <c r="FS9" s="50" t="str">
        <f t="shared" si="331"/>
        <v/>
      </c>
      <c r="FT9" s="50" t="str">
        <f t="shared" si="331"/>
        <v/>
      </c>
      <c r="FU9" s="50" t="str">
        <f t="shared" si="331"/>
        <v/>
      </c>
      <c r="FV9" s="50" t="str">
        <f t="shared" si="331"/>
        <v/>
      </c>
      <c r="FW9" s="50" t="str">
        <f t="shared" si="331"/>
        <v/>
      </c>
      <c r="FX9" s="50" t="str">
        <f t="shared" si="331"/>
        <v/>
      </c>
      <c r="FY9" s="50" t="str">
        <f t="shared" si="331"/>
        <v/>
      </c>
      <c r="FZ9" s="50" t="str">
        <f t="shared" si="331"/>
        <v/>
      </c>
      <c r="GA9" s="50" t="str">
        <f t="shared" si="331"/>
        <v/>
      </c>
      <c r="GB9" s="50" t="str">
        <f t="shared" si="331"/>
        <v/>
      </c>
      <c r="GC9" s="50" t="str">
        <f t="shared" si="331"/>
        <v/>
      </c>
      <c r="GD9" s="50" t="str">
        <f t="shared" si="331"/>
        <v/>
      </c>
      <c r="GE9" s="50" t="str">
        <f t="shared" si="331"/>
        <v/>
      </c>
      <c r="GF9" s="50" t="str">
        <f t="shared" si="331"/>
        <v/>
      </c>
      <c r="GG9" s="50" t="str">
        <f t="shared" si="331"/>
        <v/>
      </c>
      <c r="GH9" s="50" t="str">
        <f t="shared" si="331"/>
        <v/>
      </c>
      <c r="GI9" s="50" t="str">
        <f t="shared" si="331"/>
        <v/>
      </c>
      <c r="GJ9" s="50" t="str">
        <f t="shared" si="331"/>
        <v/>
      </c>
      <c r="GK9" s="50" t="str">
        <f t="shared" si="331"/>
        <v/>
      </c>
      <c r="GL9" s="50" t="str">
        <f t="shared" si="331"/>
        <v/>
      </c>
      <c r="GM9" s="50" t="str">
        <f t="shared" si="331"/>
        <v/>
      </c>
      <c r="GN9" s="50" t="str">
        <f t="shared" si="331"/>
        <v/>
      </c>
      <c r="GO9" s="50" t="str">
        <f t="shared" si="331"/>
        <v/>
      </c>
      <c r="GP9" s="50" t="str">
        <f t="shared" si="331"/>
        <v/>
      </c>
      <c r="GQ9" s="50" t="str">
        <f t="shared" si="331"/>
        <v/>
      </c>
      <c r="GR9" s="50" t="str">
        <f t="shared" si="331"/>
        <v/>
      </c>
      <c r="GS9" s="50" t="str">
        <f t="shared" ref="GS9:JD9" si="332">IFERROR(MONTH(GS7),"")</f>
        <v/>
      </c>
      <c r="GT9" s="50" t="str">
        <f t="shared" si="332"/>
        <v/>
      </c>
      <c r="GU9" s="50" t="str">
        <f t="shared" si="332"/>
        <v/>
      </c>
      <c r="GV9" s="50" t="str">
        <f t="shared" si="332"/>
        <v/>
      </c>
      <c r="GW9" s="50" t="str">
        <f t="shared" si="332"/>
        <v/>
      </c>
      <c r="GX9" s="50" t="str">
        <f t="shared" si="332"/>
        <v/>
      </c>
      <c r="GY9" s="50" t="str">
        <f t="shared" si="332"/>
        <v/>
      </c>
      <c r="GZ9" s="50" t="str">
        <f t="shared" si="332"/>
        <v/>
      </c>
      <c r="HA9" s="50" t="str">
        <f t="shared" si="332"/>
        <v/>
      </c>
      <c r="HB9" s="50" t="str">
        <f t="shared" si="332"/>
        <v/>
      </c>
      <c r="HC9" s="50" t="str">
        <f t="shared" si="332"/>
        <v/>
      </c>
      <c r="HD9" s="50" t="str">
        <f t="shared" si="332"/>
        <v/>
      </c>
      <c r="HE9" s="50" t="str">
        <f t="shared" si="332"/>
        <v/>
      </c>
      <c r="HF9" s="50" t="str">
        <f t="shared" si="332"/>
        <v/>
      </c>
      <c r="HG9" s="50" t="str">
        <f t="shared" si="332"/>
        <v/>
      </c>
      <c r="HH9" s="50" t="str">
        <f t="shared" si="332"/>
        <v/>
      </c>
      <c r="HI9" s="50" t="str">
        <f t="shared" si="332"/>
        <v/>
      </c>
      <c r="HJ9" s="50" t="str">
        <f t="shared" si="332"/>
        <v/>
      </c>
      <c r="HK9" s="50" t="str">
        <f t="shared" si="332"/>
        <v/>
      </c>
      <c r="HL9" s="50" t="str">
        <f t="shared" si="332"/>
        <v/>
      </c>
      <c r="HM9" s="50" t="str">
        <f t="shared" si="332"/>
        <v/>
      </c>
      <c r="HN9" s="50" t="str">
        <f t="shared" si="332"/>
        <v/>
      </c>
      <c r="HO9" s="50" t="str">
        <f t="shared" si="332"/>
        <v/>
      </c>
      <c r="HP9" s="50" t="str">
        <f t="shared" si="332"/>
        <v/>
      </c>
      <c r="HQ9" s="50" t="str">
        <f t="shared" si="332"/>
        <v/>
      </c>
      <c r="HR9" s="50" t="str">
        <f t="shared" si="332"/>
        <v/>
      </c>
      <c r="HS9" s="50" t="str">
        <f t="shared" si="332"/>
        <v/>
      </c>
      <c r="HT9" s="50" t="str">
        <f t="shared" si="332"/>
        <v/>
      </c>
      <c r="HU9" s="50" t="str">
        <f t="shared" si="332"/>
        <v/>
      </c>
      <c r="HV9" s="50" t="str">
        <f t="shared" si="332"/>
        <v/>
      </c>
      <c r="HW9" s="50" t="str">
        <f t="shared" si="332"/>
        <v/>
      </c>
      <c r="HX9" s="50" t="str">
        <f t="shared" si="332"/>
        <v/>
      </c>
      <c r="HY9" s="50" t="str">
        <f t="shared" si="332"/>
        <v/>
      </c>
      <c r="HZ9" s="50" t="str">
        <f t="shared" si="332"/>
        <v/>
      </c>
      <c r="IA9" s="50" t="str">
        <f t="shared" si="332"/>
        <v/>
      </c>
      <c r="IB9" s="50" t="str">
        <f t="shared" si="332"/>
        <v/>
      </c>
      <c r="IC9" s="50" t="str">
        <f t="shared" si="332"/>
        <v/>
      </c>
      <c r="ID9" s="50" t="str">
        <f t="shared" si="332"/>
        <v/>
      </c>
      <c r="IE9" s="50" t="str">
        <f t="shared" si="332"/>
        <v/>
      </c>
      <c r="IF9" s="50" t="str">
        <f t="shared" si="332"/>
        <v/>
      </c>
      <c r="IG9" s="50" t="str">
        <f t="shared" si="332"/>
        <v/>
      </c>
      <c r="IH9" s="50" t="str">
        <f t="shared" si="332"/>
        <v/>
      </c>
      <c r="II9" s="50" t="str">
        <f t="shared" si="332"/>
        <v/>
      </c>
      <c r="IJ9" s="50" t="str">
        <f t="shared" si="332"/>
        <v/>
      </c>
      <c r="IK9" s="50" t="str">
        <f t="shared" si="332"/>
        <v/>
      </c>
      <c r="IL9" s="50" t="str">
        <f t="shared" si="332"/>
        <v/>
      </c>
      <c r="IM9" s="50" t="str">
        <f t="shared" si="332"/>
        <v/>
      </c>
      <c r="IN9" s="50" t="str">
        <f t="shared" si="332"/>
        <v/>
      </c>
      <c r="IO9" s="50" t="str">
        <f t="shared" si="332"/>
        <v/>
      </c>
      <c r="IP9" s="50" t="str">
        <f t="shared" si="332"/>
        <v/>
      </c>
      <c r="IQ9" s="50" t="str">
        <f t="shared" si="332"/>
        <v/>
      </c>
      <c r="IR9" s="50" t="str">
        <f t="shared" si="332"/>
        <v/>
      </c>
      <c r="IS9" s="50" t="str">
        <f t="shared" si="332"/>
        <v/>
      </c>
      <c r="IT9" s="50" t="str">
        <f t="shared" si="332"/>
        <v/>
      </c>
      <c r="IU9" s="50" t="str">
        <f t="shared" si="332"/>
        <v/>
      </c>
      <c r="IV9" s="50" t="str">
        <f t="shared" si="332"/>
        <v/>
      </c>
      <c r="IW9" s="50" t="str">
        <f t="shared" si="332"/>
        <v/>
      </c>
      <c r="IX9" s="50" t="str">
        <f t="shared" si="332"/>
        <v/>
      </c>
      <c r="IY9" s="50" t="str">
        <f t="shared" si="332"/>
        <v/>
      </c>
      <c r="IZ9" s="50" t="str">
        <f t="shared" si="332"/>
        <v/>
      </c>
      <c r="JA9" s="50" t="str">
        <f t="shared" si="332"/>
        <v/>
      </c>
      <c r="JB9" s="50" t="str">
        <f t="shared" si="332"/>
        <v/>
      </c>
      <c r="JC9" s="50" t="str">
        <f t="shared" si="332"/>
        <v/>
      </c>
      <c r="JD9" s="50" t="str">
        <f t="shared" si="332"/>
        <v/>
      </c>
      <c r="JE9" s="50" t="str">
        <f t="shared" ref="JE9:LP9" si="333">IFERROR(MONTH(JE7),"")</f>
        <v/>
      </c>
      <c r="JF9" s="50" t="str">
        <f t="shared" si="333"/>
        <v/>
      </c>
      <c r="JG9" s="50" t="str">
        <f t="shared" si="333"/>
        <v/>
      </c>
      <c r="JH9" s="50" t="str">
        <f t="shared" si="333"/>
        <v/>
      </c>
      <c r="JI9" s="50" t="str">
        <f t="shared" si="333"/>
        <v/>
      </c>
      <c r="JJ9" s="50" t="str">
        <f t="shared" si="333"/>
        <v/>
      </c>
      <c r="JK9" s="50" t="str">
        <f t="shared" si="333"/>
        <v/>
      </c>
      <c r="JL9" s="50" t="str">
        <f t="shared" si="333"/>
        <v/>
      </c>
      <c r="JM9" s="50" t="str">
        <f t="shared" si="333"/>
        <v/>
      </c>
      <c r="JN9" s="50" t="str">
        <f t="shared" si="333"/>
        <v/>
      </c>
      <c r="JO9" s="50" t="str">
        <f t="shared" si="333"/>
        <v/>
      </c>
      <c r="JP9" s="50" t="str">
        <f t="shared" si="333"/>
        <v/>
      </c>
      <c r="JQ9" s="50" t="str">
        <f t="shared" si="333"/>
        <v/>
      </c>
      <c r="JR9" s="50" t="str">
        <f t="shared" si="333"/>
        <v/>
      </c>
      <c r="JS9" s="50" t="str">
        <f t="shared" si="333"/>
        <v/>
      </c>
      <c r="JT9" s="50" t="str">
        <f t="shared" si="333"/>
        <v/>
      </c>
      <c r="JU9" s="50" t="str">
        <f t="shared" si="333"/>
        <v/>
      </c>
      <c r="JV9" s="50" t="str">
        <f t="shared" si="333"/>
        <v/>
      </c>
      <c r="JW9" s="50" t="str">
        <f t="shared" si="333"/>
        <v/>
      </c>
      <c r="JX9" s="50" t="str">
        <f t="shared" si="333"/>
        <v/>
      </c>
      <c r="JY9" s="50" t="str">
        <f t="shared" si="333"/>
        <v/>
      </c>
      <c r="JZ9" s="50" t="str">
        <f t="shared" si="333"/>
        <v/>
      </c>
      <c r="KA9" s="50" t="str">
        <f t="shared" si="333"/>
        <v/>
      </c>
      <c r="KB9" s="50" t="str">
        <f t="shared" si="333"/>
        <v/>
      </c>
      <c r="KC9" s="50" t="str">
        <f t="shared" si="333"/>
        <v/>
      </c>
      <c r="KD9" s="50" t="str">
        <f t="shared" si="333"/>
        <v/>
      </c>
      <c r="KE9" s="50" t="str">
        <f t="shared" si="333"/>
        <v/>
      </c>
      <c r="KF9" s="50" t="str">
        <f t="shared" si="333"/>
        <v/>
      </c>
      <c r="KG9" s="50" t="str">
        <f t="shared" si="333"/>
        <v/>
      </c>
      <c r="KH9" s="50" t="str">
        <f t="shared" si="333"/>
        <v/>
      </c>
      <c r="KI9" s="50" t="str">
        <f t="shared" si="333"/>
        <v/>
      </c>
      <c r="KJ9" s="50" t="str">
        <f t="shared" si="333"/>
        <v/>
      </c>
      <c r="KK9" s="50" t="str">
        <f t="shared" si="333"/>
        <v/>
      </c>
      <c r="KL9" s="50" t="str">
        <f t="shared" si="333"/>
        <v/>
      </c>
      <c r="KM9" s="50" t="str">
        <f t="shared" si="333"/>
        <v/>
      </c>
      <c r="KN9" s="50" t="str">
        <f t="shared" si="333"/>
        <v/>
      </c>
      <c r="KO9" s="50" t="str">
        <f t="shared" si="333"/>
        <v/>
      </c>
      <c r="KP9" s="50" t="str">
        <f t="shared" si="333"/>
        <v/>
      </c>
      <c r="KQ9" s="50" t="str">
        <f t="shared" si="333"/>
        <v/>
      </c>
      <c r="KR9" s="50" t="str">
        <f t="shared" si="333"/>
        <v/>
      </c>
      <c r="KS9" s="50" t="str">
        <f t="shared" si="333"/>
        <v/>
      </c>
      <c r="KT9" s="50" t="str">
        <f t="shared" si="333"/>
        <v/>
      </c>
      <c r="KU9" s="50" t="str">
        <f t="shared" si="333"/>
        <v/>
      </c>
      <c r="KV9" s="50" t="str">
        <f t="shared" si="333"/>
        <v/>
      </c>
      <c r="KW9" s="50" t="str">
        <f t="shared" si="333"/>
        <v/>
      </c>
      <c r="KX9" s="50" t="str">
        <f t="shared" si="333"/>
        <v/>
      </c>
      <c r="KY9" s="50" t="str">
        <f t="shared" si="333"/>
        <v/>
      </c>
      <c r="KZ9" s="50" t="str">
        <f t="shared" si="333"/>
        <v/>
      </c>
      <c r="LA9" s="50" t="str">
        <f t="shared" si="333"/>
        <v/>
      </c>
      <c r="LB9" s="50" t="str">
        <f t="shared" si="333"/>
        <v/>
      </c>
      <c r="LC9" s="50" t="str">
        <f t="shared" si="333"/>
        <v/>
      </c>
      <c r="LD9" s="50" t="str">
        <f t="shared" si="333"/>
        <v/>
      </c>
      <c r="LE9" s="50" t="str">
        <f t="shared" si="333"/>
        <v/>
      </c>
      <c r="LF9" s="50" t="str">
        <f t="shared" si="333"/>
        <v/>
      </c>
      <c r="LG9" s="50" t="str">
        <f t="shared" si="333"/>
        <v/>
      </c>
      <c r="LH9" s="50" t="str">
        <f t="shared" si="333"/>
        <v/>
      </c>
      <c r="LI9" s="50" t="str">
        <f t="shared" si="333"/>
        <v/>
      </c>
      <c r="LJ9" s="50" t="str">
        <f t="shared" si="333"/>
        <v/>
      </c>
      <c r="LK9" s="50" t="str">
        <f t="shared" si="333"/>
        <v/>
      </c>
      <c r="LL9" s="50" t="str">
        <f t="shared" si="333"/>
        <v/>
      </c>
      <c r="LM9" s="50" t="str">
        <f t="shared" si="333"/>
        <v/>
      </c>
      <c r="LN9" s="50" t="str">
        <f t="shared" si="333"/>
        <v/>
      </c>
      <c r="LO9" s="50" t="str">
        <f t="shared" si="333"/>
        <v/>
      </c>
      <c r="LP9" s="50" t="str">
        <f t="shared" si="333"/>
        <v/>
      </c>
      <c r="LQ9" s="50" t="str">
        <f t="shared" ref="LQ9:LY9" si="334">IFERROR(MONTH(LQ7),"")</f>
        <v/>
      </c>
      <c r="LR9" s="50" t="str">
        <f t="shared" si="334"/>
        <v/>
      </c>
      <c r="LS9" s="50" t="str">
        <f t="shared" si="334"/>
        <v/>
      </c>
      <c r="LT9" s="50" t="str">
        <f t="shared" si="334"/>
        <v/>
      </c>
      <c r="LU9" s="50" t="str">
        <f t="shared" si="334"/>
        <v/>
      </c>
      <c r="LV9" s="50" t="str">
        <f t="shared" si="334"/>
        <v/>
      </c>
      <c r="LW9" s="50" t="str">
        <f t="shared" si="334"/>
        <v/>
      </c>
      <c r="LX9" s="50" t="str">
        <f t="shared" si="334"/>
        <v/>
      </c>
      <c r="LY9" s="50" t="str">
        <f t="shared" si="334"/>
        <v/>
      </c>
      <c r="MA9" s="155"/>
    </row>
    <row r="10" spans="1:339">
      <c r="MA10" s="156"/>
    </row>
    <row r="11" spans="1:339" s="63" customFormat="1">
      <c r="A11" s="15"/>
      <c r="B11" s="143" t="s">
        <v>1</v>
      </c>
      <c r="C11" s="143"/>
      <c r="D11" s="15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5"/>
      <c r="MA11" s="2">
        <f>SUM(E11:LY11)</f>
        <v>0</v>
      </c>
    </row>
    <row r="12" spans="1:339">
      <c r="B12" s="157" t="s">
        <v>47</v>
      </c>
      <c r="C12" s="158"/>
      <c r="E12" s="3">
        <f>SUMIFS($D$11:E11,$D$6:E6,(KPI!E8-'Info Sheet'!$D$22)+1)</f>
        <v>0</v>
      </c>
      <c r="F12" s="3">
        <f>SUMIFS($D$11:F11,$D$6:F6,(KPI!F8-'Info Sheet'!$D$22)+1)</f>
        <v>0</v>
      </c>
      <c r="G12" s="3">
        <f>SUMIFS($D$11:G11,$D$6:G6,(KPI!G8-'Info Sheet'!$D$22)+1)</f>
        <v>0</v>
      </c>
      <c r="H12" s="3">
        <f>SUMIFS($D$11:H11,$D$6:H6,(KPI!H8-'Info Sheet'!$D$22)+1)</f>
        <v>0</v>
      </c>
      <c r="I12" s="3">
        <f>SUMIFS($D$11:I11,$D$6:I6,(KPI!I8-'Info Sheet'!$D$22)+1)</f>
        <v>0</v>
      </c>
      <c r="J12" s="3">
        <f>SUMIFS($D$11:J11,$D$6:J6,(KPI!J8-'Info Sheet'!$D$22)+1)</f>
        <v>0</v>
      </c>
      <c r="K12" s="3">
        <f>SUMIFS($D$11:K11,$D$6:K6,(KPI!K8-'Info Sheet'!$D$22)+1)</f>
        <v>0</v>
      </c>
      <c r="L12" s="3">
        <f>SUMIFS($D$11:L11,$D$6:L6,(KPI!L8-'Info Sheet'!$D$22)+1)</f>
        <v>0</v>
      </c>
      <c r="M12" s="3">
        <f>SUMIFS($D$11:M11,$D$6:M6,(KPI!M8-'Info Sheet'!$D$22)+1)</f>
        <v>0</v>
      </c>
      <c r="N12" s="3">
        <f>SUMIFS($D$11:N11,$D$6:N6,(KPI!N8-'Info Sheet'!$D$22)+1)</f>
        <v>0</v>
      </c>
      <c r="O12" s="3">
        <f>SUMIFS($D$11:O11,$D$6:O6,(KPI!O8-'Info Sheet'!$D$22)+1)</f>
        <v>0</v>
      </c>
      <c r="P12" s="3">
        <f>SUMIFS($D$11:P11,$D$6:P6,(KPI!P8-'Info Sheet'!$D$22)+1)</f>
        <v>0</v>
      </c>
      <c r="Q12" s="3">
        <f>SUMIFS($D$11:Q11,$D$6:Q6,(KPI!Q8-'Info Sheet'!$D$22)+1)</f>
        <v>0</v>
      </c>
      <c r="R12" s="3">
        <f>SUMIFS($D$11:R11,$D$6:R6,(KPI!R8-'Info Sheet'!$D$22)+1)</f>
        <v>0</v>
      </c>
      <c r="S12" s="3">
        <f>SUMIFS($D$11:S11,$D$6:S6,(KPI!S8-'Info Sheet'!$D$22)+1)</f>
        <v>0</v>
      </c>
      <c r="T12" s="3">
        <f>SUMIFS($D$11:T11,$D$6:T6,(KPI!T8-'Info Sheet'!$D$22)+1)</f>
        <v>0</v>
      </c>
      <c r="U12" s="3">
        <f>SUMIFS($D$11:U11,$D$6:U6,(KPI!U8-'Info Sheet'!$D$22)+1)</f>
        <v>0</v>
      </c>
      <c r="V12" s="3">
        <f>SUMIFS($D$11:V11,$D$6:V6,(KPI!V8-'Info Sheet'!$D$22)+1)</f>
        <v>0</v>
      </c>
      <c r="W12" s="3">
        <f>SUMIFS($D$11:W11,$D$6:W6,(KPI!W8-'Info Sheet'!$D$22)+1)</f>
        <v>0</v>
      </c>
      <c r="X12" s="3">
        <f>SUMIFS($D$11:X11,$D$6:X6,(KPI!X8-'Info Sheet'!$D$22)+1)</f>
        <v>0</v>
      </c>
      <c r="Y12" s="3">
        <f>SUMIFS($D$11:Y11,$D$6:Y6,(KPI!Y8-'Info Sheet'!$D$22)+1)</f>
        <v>0</v>
      </c>
      <c r="Z12" s="3">
        <f>SUMIFS($D$11:Z11,$D$6:Z6,(KPI!Z8-'Info Sheet'!$D$22)+1)</f>
        <v>0</v>
      </c>
      <c r="AA12" s="3">
        <f>SUMIFS($D$11:AA11,$D$6:AA6,(KPI!AA8-'Info Sheet'!$D$22)+1)</f>
        <v>0</v>
      </c>
      <c r="AB12" s="3">
        <f>SUMIFS($D$11:AB11,$D$6:AB6,(KPI!AB8-'Info Sheet'!$D$22)+1)</f>
        <v>0</v>
      </c>
      <c r="AC12" s="3">
        <f>SUMIFS($D$11:AC11,$D$6:AC6,(KPI!AC8-'Info Sheet'!$D$22)+1)</f>
        <v>0</v>
      </c>
      <c r="AD12" s="3">
        <f>SUMIFS($D$11:AD11,$D$6:AD6,(KPI!AD8-'Info Sheet'!$D$22)+1)</f>
        <v>0</v>
      </c>
      <c r="AE12" s="3">
        <f>SUMIFS($D$11:AE11,$D$6:AE6,(KPI!AE8-'Info Sheet'!$D$22)+1)</f>
        <v>0</v>
      </c>
      <c r="AF12" s="3">
        <f>SUMIFS($D$11:AF11,$D$6:AF6,(KPI!AF8-'Info Sheet'!$D$22)+1)</f>
        <v>0</v>
      </c>
      <c r="AG12" s="3">
        <f>SUMIFS($D$11:AG11,$D$6:AG6,(KPI!AG8-'Info Sheet'!$D$22)+1)</f>
        <v>0</v>
      </c>
      <c r="AH12" s="3">
        <f>SUMIFS($D$11:AH11,$D$6:AH6,(KPI!AH8-'Info Sheet'!$D$22)+1)</f>
        <v>0</v>
      </c>
      <c r="AI12" s="3">
        <f>SUMIFS($D$11:AI11,$D$6:AI6,(KPI!AI8-'Info Sheet'!$D$22)+1)</f>
        <v>0</v>
      </c>
      <c r="AJ12" s="3">
        <f>SUMIFS($D$11:AJ11,$D$6:AJ6,(KPI!AJ8-'Info Sheet'!$D$22)+1)</f>
        <v>0</v>
      </c>
      <c r="AK12" s="3">
        <f>SUMIFS($D$11:AK11,$D$6:AK6,(KPI!AK8-'Info Sheet'!$D$22)+1)</f>
        <v>0</v>
      </c>
      <c r="AL12" s="3">
        <f>SUMIFS($D$11:AL11,$D$6:AL6,(KPI!AL8-'Info Sheet'!$D$22)+1)</f>
        <v>0</v>
      </c>
      <c r="AM12" s="3">
        <f>SUMIFS($D$11:AM11,$D$6:AM6,(KPI!AM8-'Info Sheet'!$D$22)+1)</f>
        <v>0</v>
      </c>
      <c r="AN12" s="3">
        <f>SUMIFS($D$11:AN11,$D$6:AN6,(KPI!AN8-'Info Sheet'!$D$22)+1)</f>
        <v>0</v>
      </c>
      <c r="AO12" s="3">
        <f>SUMIFS($D$11:AO11,$D$6:AO6,(KPI!AO8-'Info Sheet'!$D$22)+1)</f>
        <v>0</v>
      </c>
      <c r="AP12" s="3">
        <f>SUMIFS($D$11:AP11,$D$6:AP6,(KPI!AP8-'Info Sheet'!$D$22)+1)</f>
        <v>0</v>
      </c>
      <c r="AQ12" s="3">
        <f>SUMIFS($D$11:AQ11,$D$6:AQ6,(KPI!AQ8-'Info Sheet'!$D$22)+1)</f>
        <v>0</v>
      </c>
      <c r="AR12" s="3">
        <f>SUMIFS($D$11:AR11,$D$6:AR6,(KPI!AR8-'Info Sheet'!$D$22)+1)</f>
        <v>0</v>
      </c>
      <c r="AS12" s="3">
        <f>SUMIFS($D$11:AS11,$D$6:AS6,(KPI!AS8-'Info Sheet'!$D$22)+1)</f>
        <v>0</v>
      </c>
      <c r="AT12" s="3">
        <f>SUMIFS($D$11:AT11,$D$6:AT6,(KPI!AT8-'Info Sheet'!$D$22)+1)</f>
        <v>0</v>
      </c>
      <c r="AU12" s="3">
        <f>SUMIFS($D$11:AU11,$D$6:AU6,(KPI!AU8-'Info Sheet'!$D$22)+1)</f>
        <v>0</v>
      </c>
      <c r="AV12" s="3">
        <f>SUMIFS($D$11:AV11,$D$6:AV6,(KPI!AV8-'Info Sheet'!$D$22)+1)</f>
        <v>0</v>
      </c>
      <c r="AW12" s="3">
        <f>SUMIFS($D$11:AW11,$D$6:AW6,(KPI!AW8-'Info Sheet'!$D$22)+1)</f>
        <v>0</v>
      </c>
      <c r="AX12" s="3">
        <f>SUMIFS($D$11:AX11,$D$6:AX6,(KPI!AX8-'Info Sheet'!$D$22)+1)</f>
        <v>0</v>
      </c>
      <c r="AY12" s="3">
        <f>SUMIFS($D$11:AY11,$D$6:AY6,(KPI!AY8-'Info Sheet'!$D$22)+1)</f>
        <v>0</v>
      </c>
      <c r="AZ12" s="3">
        <f>SUMIFS($D$11:AZ11,$D$6:AZ6,(KPI!AZ8-'Info Sheet'!$D$22)+1)</f>
        <v>0</v>
      </c>
      <c r="BA12" s="3">
        <f>SUMIFS($D$11:BA11,$D$6:BA6,(KPI!BA8-'Info Sheet'!$D$22)+1)</f>
        <v>0</v>
      </c>
      <c r="BB12" s="3">
        <f>SUMIFS($D$11:BB11,$D$6:BB6,(KPI!BB8-'Info Sheet'!$D$22)+1)</f>
        <v>0</v>
      </c>
      <c r="BC12" s="3">
        <f>SUMIFS($D$11:BC11,$D$6:BC6,(KPI!BC8-'Info Sheet'!$D$22)+1)</f>
        <v>0</v>
      </c>
      <c r="BD12" s="3">
        <f>SUMIFS($D$11:BD11,$D$6:BD6,(KPI!BD8-'Info Sheet'!$D$22)+1)</f>
        <v>0</v>
      </c>
      <c r="BE12" s="3">
        <f>SUMIFS($D$11:BE11,$D$6:BE6,(KPI!BE8-'Info Sheet'!$D$22)+1)</f>
        <v>0</v>
      </c>
      <c r="BF12" s="3">
        <f>SUMIFS($D$11:BF11,$D$6:BF6,(KPI!BF8-'Info Sheet'!$D$22)+1)</f>
        <v>0</v>
      </c>
      <c r="BG12" s="3">
        <f>SUMIFS($D$11:BG11,$D$6:BG6,(KPI!BG8-'Info Sheet'!$D$22)+1)</f>
        <v>0</v>
      </c>
      <c r="BH12" s="3">
        <f>SUMIFS($D$11:BH11,$D$6:BH6,(KPI!BH8-'Info Sheet'!$D$22)+1)</f>
        <v>0</v>
      </c>
      <c r="BI12" s="3">
        <f>SUMIFS($D$11:BI11,$D$6:BI6,(KPI!BI8-'Info Sheet'!$D$22)+1)</f>
        <v>0</v>
      </c>
      <c r="BJ12" s="3">
        <f>SUMIFS($D$11:BJ11,$D$6:BJ6,(KPI!BJ8-'Info Sheet'!$D$22)+1)</f>
        <v>0</v>
      </c>
      <c r="BK12" s="3">
        <f>SUMIFS($D$11:BK11,$D$6:BK6,(KPI!BK8-'Info Sheet'!$D$22)+1)</f>
        <v>0</v>
      </c>
      <c r="BL12" s="3">
        <f>SUMIFS($D$11:BL11,$D$6:BL6,(KPI!BL8-'Info Sheet'!$D$22)+1)</f>
        <v>0</v>
      </c>
      <c r="BM12" s="3">
        <f>SUMIFS($D$11:BM11,$D$6:BM6,(KPI!BM8-'Info Sheet'!$D$22)+1)</f>
        <v>0</v>
      </c>
      <c r="BN12" s="3">
        <f>SUMIFS($D$11:BN11,$D$6:BN6,(KPI!BN8-'Info Sheet'!$D$22)+1)</f>
        <v>0</v>
      </c>
      <c r="BO12" s="3">
        <f>SUMIFS($D$11:BO11,$D$6:BO6,(KPI!BO8-'Info Sheet'!$D$22)+1)</f>
        <v>0</v>
      </c>
      <c r="BP12" s="3">
        <f>SUMIFS($D$11:BP11,$D$6:BP6,(KPI!BP8-'Info Sheet'!$D$22)+1)</f>
        <v>0</v>
      </c>
      <c r="BQ12" s="3">
        <f>SUMIFS($D$11:BQ11,$D$6:BQ6,(KPI!BQ8-'Info Sheet'!$D$22)+1)</f>
        <v>0</v>
      </c>
      <c r="BR12" s="3">
        <f>SUMIFS($D$11:BR11,$D$6:BR6,(KPI!BR8-'Info Sheet'!$D$22)+1)</f>
        <v>0</v>
      </c>
      <c r="BS12" s="3">
        <f>SUMIFS($D$11:BS11,$D$6:BS6,(KPI!BS8-'Info Sheet'!$D$22)+1)</f>
        <v>0</v>
      </c>
      <c r="BT12" s="3">
        <f>SUMIFS($D$11:BT11,$D$6:BT6,(KPI!BT8-'Info Sheet'!$D$22)+1)</f>
        <v>0</v>
      </c>
      <c r="BU12" s="3">
        <f>SUMIFS($D$11:BU11,$D$6:BU6,(KPI!BU8-'Info Sheet'!$D$22)+1)</f>
        <v>0</v>
      </c>
      <c r="BV12" s="3">
        <f>SUMIFS($D$11:BV11,$D$6:BV6,(KPI!BV8-'Info Sheet'!$D$22)+1)</f>
        <v>0</v>
      </c>
      <c r="BW12" s="3">
        <f>SUMIFS($D$11:BW11,$D$6:BW6,(KPI!BW8-'Info Sheet'!$D$22)+1)</f>
        <v>0</v>
      </c>
      <c r="BX12" s="3">
        <f>SUMIFS($D$11:BX11,$D$6:BX6,(KPI!BX8-'Info Sheet'!$D$22)+1)</f>
        <v>0</v>
      </c>
      <c r="BY12" s="3">
        <f>SUMIFS($D$11:BY11,$D$6:BY6,(KPI!BY8-'Info Sheet'!$D$22)+1)</f>
        <v>0</v>
      </c>
      <c r="BZ12" s="3">
        <f>SUMIFS($D$11:BZ11,$D$6:BZ6,(KPI!BZ8-'Info Sheet'!$D$22)+1)</f>
        <v>0</v>
      </c>
      <c r="CA12" s="3">
        <f>SUMIFS($D$11:CA11,$D$6:CA6,(KPI!CA8-'Info Sheet'!$D$22)+1)</f>
        <v>0</v>
      </c>
      <c r="CB12" s="3">
        <f>SUMIFS($D$11:CB11,$D$6:CB6,(KPI!CB8-'Info Sheet'!$D$22)+1)</f>
        <v>0</v>
      </c>
      <c r="CC12" s="3">
        <f>SUMIFS($D$11:CC11,$D$6:CC6,(KPI!CC8-'Info Sheet'!$D$22)+1)</f>
        <v>0</v>
      </c>
      <c r="CD12" s="3">
        <f>SUMIFS($D$11:CD11,$D$6:CD6,(KPI!CD8-'Info Sheet'!$D$22)+1)</f>
        <v>0</v>
      </c>
      <c r="CE12" s="3">
        <f>SUMIFS($D$11:CE11,$D$6:CE6,(KPI!CE8-'Info Sheet'!$D$22)+1)</f>
        <v>0</v>
      </c>
      <c r="CF12" s="3">
        <f>SUMIFS($D$11:CF11,$D$6:CF6,(KPI!CF8-'Info Sheet'!$D$22)+1)</f>
        <v>0</v>
      </c>
      <c r="CG12" s="3">
        <f>SUMIFS($D$11:CG11,$D$6:CG6,(KPI!CG8-'Info Sheet'!$D$22)+1)</f>
        <v>0</v>
      </c>
      <c r="CH12" s="3">
        <f>SUMIFS($D$11:CH11,$D$6:CH6,(KPI!CH8-'Info Sheet'!$D$22)+1)</f>
        <v>0</v>
      </c>
      <c r="CI12" s="3">
        <f>SUMIFS($D$11:CI11,$D$6:CI6,(KPI!CI8-'Info Sheet'!$D$22)+1)</f>
        <v>0</v>
      </c>
      <c r="CJ12" s="3">
        <f>SUMIFS($D$11:CJ11,$D$6:CJ6,(KPI!CJ8-'Info Sheet'!$D$22)+1)</f>
        <v>0</v>
      </c>
      <c r="CK12" s="3">
        <f>SUMIFS($D$11:CK11,$D$6:CK6,(KPI!CK8-'Info Sheet'!$D$22)+1)</f>
        <v>0</v>
      </c>
      <c r="CL12" s="3">
        <f>SUMIFS($D$11:CL11,$D$6:CL6,(KPI!CL8-'Info Sheet'!$D$22)+1)</f>
        <v>0</v>
      </c>
      <c r="CM12" s="3">
        <f>SUMIFS($D$11:CM11,$D$6:CM6,(KPI!CM8-'Info Sheet'!$D$22)+1)</f>
        <v>0</v>
      </c>
      <c r="CN12" s="3">
        <f>SUMIFS($D$11:CN11,$D$6:CN6,(KPI!CN8-'Info Sheet'!$D$22)+1)</f>
        <v>0</v>
      </c>
      <c r="CO12" s="3">
        <f>SUMIFS($D$11:CO11,$D$6:CO6,(KPI!CO8-'Info Sheet'!$D$22)+1)</f>
        <v>0</v>
      </c>
      <c r="CP12" s="3">
        <f>SUMIFS($D$11:CP11,$D$6:CP6,(KPI!CP8-'Info Sheet'!$D$22)+1)</f>
        <v>0</v>
      </c>
      <c r="CQ12" s="3">
        <f>SUMIFS($D$11:CQ11,$D$6:CQ6,(KPI!CQ8-'Info Sheet'!$D$22)+1)</f>
        <v>0</v>
      </c>
      <c r="CR12" s="3">
        <f>SUMIFS($D$11:CR11,$D$6:CR6,(KPI!CR8-'Info Sheet'!$D$22)+1)</f>
        <v>0</v>
      </c>
      <c r="CS12" s="3">
        <f>SUMIFS($D$11:CS11,$D$6:CS6,(KPI!CS8-'Info Sheet'!$D$22)+1)</f>
        <v>0</v>
      </c>
      <c r="CT12" s="3">
        <f>SUMIFS($D$11:CT11,$D$6:CT6,(KPI!CT8-'Info Sheet'!$D$22)+1)</f>
        <v>0</v>
      </c>
      <c r="CU12" s="3">
        <f>SUMIFS($D$11:CU11,$D$6:CU6,(KPI!CU8-'Info Sheet'!$D$22)+1)</f>
        <v>0</v>
      </c>
      <c r="CV12" s="3">
        <f>SUMIFS($D$11:CV11,$D$6:CV6,(KPI!CV8-'Info Sheet'!$D$22)+1)</f>
        <v>0</v>
      </c>
      <c r="CW12" s="3">
        <f>SUMIFS($D$11:CW11,$D$6:CW6,(KPI!CW8-'Info Sheet'!$D$22)+1)</f>
        <v>0</v>
      </c>
      <c r="CX12" s="3">
        <f>SUMIFS($D$11:CX11,$D$6:CX6,(KPI!CX8-'Info Sheet'!$D$22)+1)</f>
        <v>0</v>
      </c>
      <c r="CY12" s="3">
        <f>SUMIFS($D$11:CY11,$D$6:CY6,(KPI!CY8-'Info Sheet'!$D$22)+1)</f>
        <v>0</v>
      </c>
      <c r="CZ12" s="3">
        <f>SUMIFS($D$11:CZ11,$D$6:CZ6,(KPI!CZ8-'Info Sheet'!$D$22)+1)</f>
        <v>0</v>
      </c>
      <c r="DA12" s="3">
        <f>SUMIFS($D$11:DA11,$D$6:DA6,(KPI!DA8-'Info Sheet'!$D$22)+1)</f>
        <v>0</v>
      </c>
      <c r="DB12" s="3">
        <f>SUMIFS($D$11:DB11,$D$6:DB6,(KPI!DB8-'Info Sheet'!$D$22)+1)</f>
        <v>0</v>
      </c>
      <c r="DC12" s="3">
        <f>SUMIFS($D$11:DC11,$D$6:DC6,(KPI!DC8-'Info Sheet'!$D$22)+1)</f>
        <v>0</v>
      </c>
      <c r="DD12" s="3">
        <f>SUMIFS($D$11:DD11,$D$6:DD6,(KPI!DD8-'Info Sheet'!$D$22)+1)</f>
        <v>0</v>
      </c>
      <c r="DE12" s="3">
        <f>SUMIFS($D$11:DE11,$D$6:DE6,(KPI!DE8-'Info Sheet'!$D$22)+1)</f>
        <v>0</v>
      </c>
      <c r="DF12" s="3">
        <f>SUMIFS($D$11:DF11,$D$6:DF6,(KPI!DF8-'Info Sheet'!$D$22)+1)</f>
        <v>0</v>
      </c>
      <c r="DG12" s="3">
        <f>SUMIFS($D$11:DG11,$D$6:DG6,(KPI!DG8-'Info Sheet'!$D$22)+1)</f>
        <v>0</v>
      </c>
      <c r="DH12" s="3">
        <f>SUMIFS($D$11:DH11,$D$6:DH6,(KPI!DH8-'Info Sheet'!$D$22)+1)</f>
        <v>0</v>
      </c>
      <c r="DI12" s="3">
        <f>SUMIFS($D$11:DI11,$D$6:DI6,(KPI!DI8-'Info Sheet'!$D$22)+1)</f>
        <v>0</v>
      </c>
      <c r="DJ12" s="3">
        <f>SUMIFS($D$11:DJ11,$D$6:DJ6,(KPI!DJ8-'Info Sheet'!$D$22)+1)</f>
        <v>0</v>
      </c>
      <c r="DK12" s="3">
        <f>SUMIFS($D$11:DK11,$D$6:DK6,(KPI!DK8-'Info Sheet'!$D$22)+1)</f>
        <v>0</v>
      </c>
      <c r="DL12" s="3">
        <f>SUMIFS($D$11:DL11,$D$6:DL6,(KPI!DL8-'Info Sheet'!$D$22)+1)</f>
        <v>0</v>
      </c>
      <c r="DM12" s="3">
        <f>SUMIFS($D$11:DM11,$D$6:DM6,(KPI!DM8-'Info Sheet'!$D$22)+1)</f>
        <v>0</v>
      </c>
      <c r="DN12" s="3">
        <f>SUMIFS($D$11:DN11,$D$6:DN6,(KPI!DN8-'Info Sheet'!$D$22)+1)</f>
        <v>0</v>
      </c>
      <c r="DO12" s="3">
        <f>SUMIFS($D$11:DO11,$D$6:DO6,(KPI!DO8-'Info Sheet'!$D$22)+1)</f>
        <v>0</v>
      </c>
      <c r="DP12" s="3">
        <f>SUMIFS($D$11:DP11,$D$6:DP6,(KPI!DP8-'Info Sheet'!$D$22)+1)</f>
        <v>0</v>
      </c>
      <c r="DQ12" s="3">
        <f>SUMIFS($D$11:DQ11,$D$6:DQ6,(KPI!DQ8-'Info Sheet'!$D$22)+1)</f>
        <v>0</v>
      </c>
      <c r="DR12" s="3">
        <f>SUMIFS($D$11:DR11,$D$6:DR6,(KPI!DR8-'Info Sheet'!$D$22)+1)</f>
        <v>0</v>
      </c>
      <c r="DS12" s="3">
        <f>SUMIFS($D$11:DS11,$D$6:DS6,(KPI!DS8-'Info Sheet'!$D$22)+1)</f>
        <v>0</v>
      </c>
      <c r="DT12" s="3">
        <f>SUMIFS($D$11:DT11,$D$6:DT6,(KPI!DT8-'Info Sheet'!$D$22)+1)</f>
        <v>0</v>
      </c>
      <c r="DU12" s="3">
        <f>SUMIFS($D$11:DU11,$D$6:DU6,(KPI!DU8-'Info Sheet'!$D$22)+1)</f>
        <v>0</v>
      </c>
      <c r="DV12" s="3">
        <f>SUMIFS($D$11:DV11,$D$6:DV6,(KPI!DV8-'Info Sheet'!$D$22)+1)</f>
        <v>0</v>
      </c>
      <c r="DW12" s="3">
        <f>SUMIFS($D$11:DW11,$D$6:DW6,(KPI!DW8-'Info Sheet'!$D$22)+1)</f>
        <v>0</v>
      </c>
      <c r="DX12" s="3">
        <f>SUMIFS($D$11:DX11,$D$6:DX6,(KPI!DX8-'Info Sheet'!$D$22)+1)</f>
        <v>0</v>
      </c>
      <c r="DY12" s="3">
        <f>SUMIFS($D$11:DY11,$D$6:DY6,(KPI!DY8-'Info Sheet'!$D$22)+1)</f>
        <v>0</v>
      </c>
      <c r="DZ12" s="3">
        <f>SUMIFS($D$11:DZ11,$D$6:DZ6,(KPI!DZ8-'Info Sheet'!$D$22)+1)</f>
        <v>0</v>
      </c>
      <c r="EA12" s="3">
        <f>SUMIFS($D$11:EA11,$D$6:EA6,(KPI!EA8-'Info Sheet'!$D$22)+1)</f>
        <v>0</v>
      </c>
      <c r="EB12" s="3">
        <f>SUMIFS($D$11:EB11,$D$6:EB6,(KPI!EB8-'Info Sheet'!$D$22)+1)</f>
        <v>0</v>
      </c>
      <c r="EC12" s="3">
        <f>SUMIFS($D$11:EC11,$D$6:EC6,(KPI!EC8-'Info Sheet'!$D$22)+1)</f>
        <v>0</v>
      </c>
      <c r="ED12" s="3">
        <f>SUMIFS($D$11:ED11,$D$6:ED6,(KPI!ED8-'Info Sheet'!$D$22)+1)</f>
        <v>0</v>
      </c>
      <c r="EE12" s="3">
        <f>SUMIFS($D$11:EE11,$D$6:EE6,(KPI!EE8-'Info Sheet'!$D$22)+1)</f>
        <v>0</v>
      </c>
      <c r="EF12" s="3">
        <f>SUMIFS($D$11:EF11,$D$6:EF6,(KPI!EF8-'Info Sheet'!$D$22)+1)</f>
        <v>0</v>
      </c>
      <c r="EG12" s="3">
        <f>SUMIFS($D$11:EG11,$D$6:EG6,(KPI!EG8-'Info Sheet'!$D$22)+1)</f>
        <v>0</v>
      </c>
      <c r="EH12" s="3">
        <f>SUMIFS($D$11:EH11,$D$6:EH6,(KPI!EH8-'Info Sheet'!$D$22)+1)</f>
        <v>0</v>
      </c>
      <c r="EI12" s="3">
        <f>SUMIFS($D$11:EI11,$D$6:EI6,(KPI!EI8-'Info Sheet'!$D$22)+1)</f>
        <v>0</v>
      </c>
      <c r="EJ12" s="3">
        <f>SUMIFS($D$11:EJ11,$D$6:EJ6,(KPI!EJ8-'Info Sheet'!$D$22)+1)</f>
        <v>0</v>
      </c>
      <c r="EK12" s="3">
        <f>SUMIFS($D$11:EK11,$D$6:EK6,(KPI!EK8-'Info Sheet'!$D$22)+1)</f>
        <v>0</v>
      </c>
      <c r="EL12" s="3">
        <f>SUMIFS($D$11:EL11,$D$6:EL6,(KPI!EL8-'Info Sheet'!$D$22)+1)</f>
        <v>0</v>
      </c>
      <c r="EM12" s="3">
        <f>SUMIFS($D$11:EM11,$D$6:EM6,(KPI!EM8-'Info Sheet'!$D$22)+1)</f>
        <v>0</v>
      </c>
      <c r="EN12" s="3">
        <f>SUMIFS($D$11:EN11,$D$6:EN6,(KPI!EN8-'Info Sheet'!$D$22)+1)</f>
        <v>0</v>
      </c>
      <c r="EO12" s="3">
        <f>SUMIFS($D$11:EO11,$D$6:EO6,(KPI!EO8-'Info Sheet'!$D$22)+1)</f>
        <v>0</v>
      </c>
      <c r="EP12" s="3">
        <f>SUMIFS($D$11:EP11,$D$6:EP6,(KPI!EP8-'Info Sheet'!$D$22)+1)</f>
        <v>0</v>
      </c>
      <c r="EQ12" s="3">
        <f>SUMIFS($D$11:EQ11,$D$6:EQ6,(KPI!EQ8-'Info Sheet'!$D$22)+1)</f>
        <v>0</v>
      </c>
      <c r="ER12" s="3">
        <f>SUMIFS($D$11:ER11,$D$6:ER6,(KPI!ER8-'Info Sheet'!$D$22)+1)</f>
        <v>0</v>
      </c>
      <c r="ES12" s="3">
        <f>SUMIFS($D$11:ES11,$D$6:ES6,(KPI!ES8-'Info Sheet'!$D$22)+1)</f>
        <v>0</v>
      </c>
      <c r="ET12" s="3">
        <f>SUMIFS($D$11:ET11,$D$6:ET6,(KPI!ET8-'Info Sheet'!$D$22)+1)</f>
        <v>0</v>
      </c>
      <c r="EU12" s="3">
        <f>SUMIFS($D$11:EU11,$D$6:EU6,(KPI!EU8-'Info Sheet'!$D$22)+1)</f>
        <v>0</v>
      </c>
      <c r="EV12" s="3">
        <f>SUMIFS($D$11:EV11,$D$6:EV6,(KPI!EV8-'Info Sheet'!$D$22)+1)</f>
        <v>0</v>
      </c>
      <c r="EW12" s="3">
        <f>SUMIFS($D$11:EW11,$D$6:EW6,(KPI!EW8-'Info Sheet'!$D$22)+1)</f>
        <v>0</v>
      </c>
      <c r="EX12" s="3">
        <f>SUMIFS($D$11:EX11,$D$6:EX6,(KPI!EX8-'Info Sheet'!$D$22)+1)</f>
        <v>0</v>
      </c>
      <c r="EY12" s="3">
        <f>SUMIFS($D$11:EY11,$D$6:EY6,(KPI!EY8-'Info Sheet'!$D$22)+1)</f>
        <v>0</v>
      </c>
      <c r="EZ12" s="3">
        <f>SUMIFS($D$11:EZ11,$D$6:EZ6,(KPI!EZ8-'Info Sheet'!$D$22)+1)</f>
        <v>0</v>
      </c>
      <c r="FA12" s="3">
        <f>SUMIFS($D$11:FA11,$D$6:FA6,(KPI!FA8-'Info Sheet'!$D$22)+1)</f>
        <v>0</v>
      </c>
      <c r="FB12" s="3">
        <f>SUMIFS($D$11:FB11,$D$6:FB6,(KPI!FB8-'Info Sheet'!$D$22)+1)</f>
        <v>0</v>
      </c>
      <c r="FC12" s="3">
        <f>SUMIFS($D$11:FC11,$D$6:FC6,(KPI!FC8-'Info Sheet'!$D$22)+1)</f>
        <v>0</v>
      </c>
      <c r="FD12" s="3">
        <f>SUMIFS($D$11:FD11,$D$6:FD6,(KPI!FD8-'Info Sheet'!$D$22)+1)</f>
        <v>0</v>
      </c>
      <c r="FE12" s="3">
        <f>SUMIFS($D$11:FE11,$D$6:FE6,(KPI!FE8-'Info Sheet'!$D$22)+1)</f>
        <v>0</v>
      </c>
      <c r="FF12" s="3">
        <f>SUMIFS($D$11:FF11,$D$6:FF6,(KPI!FF8-'Info Sheet'!$D$22)+1)</f>
        <v>0</v>
      </c>
      <c r="FG12" s="3">
        <f>SUMIFS($D$11:FG11,$D$6:FG6,(KPI!FG8-'Info Sheet'!$D$22)+1)</f>
        <v>0</v>
      </c>
      <c r="FH12" s="3">
        <f>SUMIFS($D$11:FH11,$D$6:FH6,(KPI!FH8-'Info Sheet'!$D$22)+1)</f>
        <v>0</v>
      </c>
      <c r="FI12" s="3">
        <f>SUMIFS($D$11:FI11,$D$6:FI6,(KPI!FI8-'Info Sheet'!$D$22)+1)</f>
        <v>0</v>
      </c>
      <c r="FJ12" s="3">
        <f>SUMIFS($D$11:FJ11,$D$6:FJ6,(KPI!FJ8-'Info Sheet'!$D$22)+1)</f>
        <v>0</v>
      </c>
      <c r="FK12" s="3">
        <f>SUMIFS($D$11:FK11,$D$6:FK6,(KPI!FK8-'Info Sheet'!$D$22)+1)</f>
        <v>0</v>
      </c>
      <c r="FL12" s="3">
        <f>SUMIFS($D$11:FL11,$D$6:FL6,(KPI!FL8-'Info Sheet'!$D$22)+1)</f>
        <v>0</v>
      </c>
      <c r="FM12" s="3">
        <f>SUMIFS($D$11:FM11,$D$6:FM6,(KPI!FM8-'Info Sheet'!$D$22)+1)</f>
        <v>0</v>
      </c>
      <c r="FN12" s="3">
        <f>SUMIFS($D$11:FN11,$D$6:FN6,(KPI!FN8-'Info Sheet'!$D$22)+1)</f>
        <v>0</v>
      </c>
      <c r="FO12" s="3">
        <f>SUMIFS($D$11:FO11,$D$6:FO6,(KPI!FO8-'Info Sheet'!$D$22)+1)</f>
        <v>0</v>
      </c>
      <c r="FP12" s="3">
        <f>SUMIFS($D$11:FP11,$D$6:FP6,(KPI!FP8-'Info Sheet'!$D$22)+1)</f>
        <v>0</v>
      </c>
      <c r="FQ12" s="3">
        <f>SUMIFS($D$11:FQ11,$D$6:FQ6,(KPI!FQ8-'Info Sheet'!$D$22)+1)</f>
        <v>0</v>
      </c>
      <c r="FR12" s="3">
        <f>SUMIFS($D$11:FR11,$D$6:FR6,(KPI!FR8-'Info Sheet'!$D$22)+1)</f>
        <v>0</v>
      </c>
      <c r="FS12" s="3">
        <f>SUMIFS($D$11:FS11,$D$6:FS6,(KPI!FS8-'Info Sheet'!$D$22)+1)</f>
        <v>0</v>
      </c>
      <c r="FT12" s="3">
        <f>SUMIFS($D$11:FT11,$D$6:FT6,(KPI!FT8-'Info Sheet'!$D$22)+1)</f>
        <v>0</v>
      </c>
      <c r="FU12" s="3">
        <f>SUMIFS($D$11:FU11,$D$6:FU6,(KPI!FU8-'Info Sheet'!$D$22)+1)</f>
        <v>0</v>
      </c>
      <c r="FV12" s="3">
        <f>SUMIFS($D$11:FV11,$D$6:FV6,(KPI!FV8-'Info Sheet'!$D$22)+1)</f>
        <v>0</v>
      </c>
      <c r="FW12" s="3">
        <f>SUMIFS($D$11:FW11,$D$6:FW6,(KPI!FW8-'Info Sheet'!$D$22)+1)</f>
        <v>0</v>
      </c>
      <c r="FX12" s="3">
        <f>SUMIFS($D$11:FX11,$D$6:FX6,(KPI!FX8-'Info Sheet'!$D$22)+1)</f>
        <v>0</v>
      </c>
      <c r="FY12" s="3">
        <f>SUMIFS($D$11:FY11,$D$6:FY6,(KPI!FY8-'Info Sheet'!$D$22)+1)</f>
        <v>0</v>
      </c>
      <c r="FZ12" s="3">
        <f>SUMIFS($D$11:FZ11,$D$6:FZ6,(KPI!FZ8-'Info Sheet'!$D$22)+1)</f>
        <v>0</v>
      </c>
      <c r="GA12" s="3">
        <f>SUMIFS($D$11:GA11,$D$6:GA6,(KPI!GA8-'Info Sheet'!$D$22)+1)</f>
        <v>0</v>
      </c>
      <c r="GB12" s="3">
        <f>SUMIFS($D$11:GB11,$D$6:GB6,(KPI!GB8-'Info Sheet'!$D$22)+1)</f>
        <v>0</v>
      </c>
      <c r="GC12" s="3">
        <f>SUMIFS($D$11:GC11,$D$6:GC6,(KPI!GC8-'Info Sheet'!$D$22)+1)</f>
        <v>0</v>
      </c>
      <c r="GD12" s="3">
        <f>SUMIFS($D$11:GD11,$D$6:GD6,(KPI!GD8-'Info Sheet'!$D$22)+1)</f>
        <v>0</v>
      </c>
      <c r="GE12" s="3">
        <f>SUMIFS($D$11:GE11,$D$6:GE6,(KPI!GE8-'Info Sheet'!$D$22)+1)</f>
        <v>0</v>
      </c>
      <c r="GF12" s="3">
        <f>SUMIFS($D$11:GF11,$D$6:GF6,(KPI!GF8-'Info Sheet'!$D$22)+1)</f>
        <v>0</v>
      </c>
      <c r="GG12" s="3">
        <f>SUMIFS($D$11:GG11,$D$6:GG6,(KPI!GG8-'Info Sheet'!$D$22)+1)</f>
        <v>0</v>
      </c>
      <c r="GH12" s="3">
        <f>SUMIFS($D$11:GH11,$D$6:GH6,(KPI!GH8-'Info Sheet'!$D$22)+1)</f>
        <v>0</v>
      </c>
      <c r="GI12" s="3">
        <f>SUMIFS($D$11:GI11,$D$6:GI6,(KPI!GI8-'Info Sheet'!$D$22)+1)</f>
        <v>0</v>
      </c>
      <c r="GJ12" s="3">
        <f>SUMIFS($D$11:GJ11,$D$6:GJ6,(KPI!GJ8-'Info Sheet'!$D$22)+1)</f>
        <v>0</v>
      </c>
      <c r="GK12" s="3">
        <f>SUMIFS($D$11:GK11,$D$6:GK6,(KPI!GK8-'Info Sheet'!$D$22)+1)</f>
        <v>0</v>
      </c>
      <c r="GL12" s="3">
        <f>SUMIFS($D$11:GL11,$D$6:GL6,(KPI!GL8-'Info Sheet'!$D$22)+1)</f>
        <v>0</v>
      </c>
      <c r="GM12" s="3">
        <f>SUMIFS($D$11:GM11,$D$6:GM6,(KPI!GM8-'Info Sheet'!$D$22)+1)</f>
        <v>0</v>
      </c>
      <c r="GN12" s="3">
        <f>SUMIFS($D$11:GN11,$D$6:GN6,(KPI!GN8-'Info Sheet'!$D$22)+1)</f>
        <v>0</v>
      </c>
      <c r="GO12" s="3">
        <f>SUMIFS($D$11:GO11,$D$6:GO6,(KPI!GO8-'Info Sheet'!$D$22)+1)</f>
        <v>0</v>
      </c>
      <c r="GP12" s="3">
        <f>SUMIFS($D$11:GP11,$D$6:GP6,(KPI!GP8-'Info Sheet'!$D$22)+1)</f>
        <v>0</v>
      </c>
      <c r="GQ12" s="3">
        <f>SUMIFS($D$11:GQ11,$D$6:GQ6,(KPI!GQ8-'Info Sheet'!$D$22)+1)</f>
        <v>0</v>
      </c>
      <c r="GR12" s="3">
        <f>SUMIFS($D$11:GR11,$D$6:GR6,(KPI!GR8-'Info Sheet'!$D$22)+1)</f>
        <v>0</v>
      </c>
      <c r="GS12" s="3">
        <f>SUMIFS($D$11:GS11,$D$6:GS6,(KPI!GS8-'Info Sheet'!$D$22)+1)</f>
        <v>0</v>
      </c>
      <c r="GT12" s="3">
        <f>SUMIFS($D$11:GT11,$D$6:GT6,(KPI!GT8-'Info Sheet'!$D$22)+1)</f>
        <v>0</v>
      </c>
      <c r="GU12" s="3">
        <f>SUMIFS($D$11:GU11,$D$6:GU6,(KPI!GU8-'Info Sheet'!$D$22)+1)</f>
        <v>0</v>
      </c>
      <c r="GV12" s="3">
        <f>SUMIFS($D$11:GV11,$D$6:GV6,(KPI!GV8-'Info Sheet'!$D$22)+1)</f>
        <v>0</v>
      </c>
      <c r="GW12" s="3">
        <f>SUMIFS($D$11:GW11,$D$6:GW6,(KPI!GW8-'Info Sheet'!$D$22)+1)</f>
        <v>0</v>
      </c>
      <c r="GX12" s="3">
        <f>SUMIFS($D$11:GX11,$D$6:GX6,(KPI!GX8-'Info Sheet'!$D$22)+1)</f>
        <v>0</v>
      </c>
      <c r="GY12" s="3">
        <f>SUMIFS($D$11:GY11,$D$6:GY6,(KPI!GY8-'Info Sheet'!$D$22)+1)</f>
        <v>0</v>
      </c>
      <c r="GZ12" s="3">
        <f>SUMIFS($D$11:GZ11,$D$6:GZ6,(KPI!GZ8-'Info Sheet'!$D$22)+1)</f>
        <v>0</v>
      </c>
      <c r="HA12" s="3">
        <f>SUMIFS($D$11:HA11,$D$6:HA6,(KPI!HA8-'Info Sheet'!$D$22)+1)</f>
        <v>0</v>
      </c>
      <c r="HB12" s="3">
        <f>SUMIFS($D$11:HB11,$D$6:HB6,(KPI!HB8-'Info Sheet'!$D$22)+1)</f>
        <v>0</v>
      </c>
      <c r="HC12" s="3">
        <f>SUMIFS($D$11:HC11,$D$6:HC6,(KPI!HC8-'Info Sheet'!$D$22)+1)</f>
        <v>0</v>
      </c>
      <c r="HD12" s="3">
        <f>SUMIFS($D$11:HD11,$D$6:HD6,(KPI!HD8-'Info Sheet'!$D$22)+1)</f>
        <v>0</v>
      </c>
      <c r="HE12" s="3">
        <f>SUMIFS($D$11:HE11,$D$6:HE6,(KPI!HE8-'Info Sheet'!$D$22)+1)</f>
        <v>0</v>
      </c>
      <c r="HF12" s="3">
        <f>SUMIFS($D$11:HF11,$D$6:HF6,(KPI!HF8-'Info Sheet'!$D$22)+1)</f>
        <v>0</v>
      </c>
      <c r="HG12" s="3">
        <f>SUMIFS($D$11:HG11,$D$6:HG6,(KPI!HG8-'Info Sheet'!$D$22)+1)</f>
        <v>0</v>
      </c>
      <c r="HH12" s="3">
        <f>SUMIFS($D$11:HH11,$D$6:HH6,(KPI!HH8-'Info Sheet'!$D$22)+1)</f>
        <v>0</v>
      </c>
      <c r="HI12" s="3">
        <f>SUMIFS($D$11:HI11,$D$6:HI6,(KPI!HI8-'Info Sheet'!$D$22)+1)</f>
        <v>0</v>
      </c>
      <c r="HJ12" s="3">
        <f>SUMIFS($D$11:HJ11,$D$6:HJ6,(KPI!HJ8-'Info Sheet'!$D$22)+1)</f>
        <v>0</v>
      </c>
      <c r="HK12" s="3">
        <f>SUMIFS($D$11:HK11,$D$6:HK6,(KPI!HK8-'Info Sheet'!$D$22)+1)</f>
        <v>0</v>
      </c>
      <c r="HL12" s="3">
        <f>SUMIFS($D$11:HL11,$D$6:HL6,(KPI!HL8-'Info Sheet'!$D$22)+1)</f>
        <v>0</v>
      </c>
      <c r="HM12" s="3">
        <f>SUMIFS($D$11:HM11,$D$6:HM6,(KPI!HM8-'Info Sheet'!$D$22)+1)</f>
        <v>0</v>
      </c>
      <c r="HN12" s="3">
        <f>SUMIFS($D$11:HN11,$D$6:HN6,(KPI!HN8-'Info Sheet'!$D$22)+1)</f>
        <v>0</v>
      </c>
      <c r="HO12" s="3">
        <f>SUMIFS($D$11:HO11,$D$6:HO6,(KPI!HO8-'Info Sheet'!$D$22)+1)</f>
        <v>0</v>
      </c>
      <c r="HP12" s="3">
        <f>SUMIFS($D$11:HP11,$D$6:HP6,(KPI!HP8-'Info Sheet'!$D$22)+1)</f>
        <v>0</v>
      </c>
      <c r="HQ12" s="3">
        <f>SUMIFS($D$11:HQ11,$D$6:HQ6,(KPI!HQ8-'Info Sheet'!$D$22)+1)</f>
        <v>0</v>
      </c>
      <c r="HR12" s="3">
        <f>SUMIFS($D$11:HR11,$D$6:HR6,(KPI!HR8-'Info Sheet'!$D$22)+1)</f>
        <v>0</v>
      </c>
      <c r="HS12" s="3">
        <f>SUMIFS($D$11:HS11,$D$6:HS6,(KPI!HS8-'Info Sheet'!$D$22)+1)</f>
        <v>0</v>
      </c>
      <c r="HT12" s="3">
        <f>SUMIFS($D$11:HT11,$D$6:HT6,(KPI!HT8-'Info Sheet'!$D$22)+1)</f>
        <v>0</v>
      </c>
      <c r="HU12" s="3">
        <f>SUMIFS($D$11:HU11,$D$6:HU6,(KPI!HU8-'Info Sheet'!$D$22)+1)</f>
        <v>0</v>
      </c>
      <c r="HV12" s="3">
        <f>SUMIFS($D$11:HV11,$D$6:HV6,(KPI!HV8-'Info Sheet'!$D$22)+1)</f>
        <v>0</v>
      </c>
      <c r="HW12" s="3">
        <f>SUMIFS($D$11:HW11,$D$6:HW6,(KPI!HW8-'Info Sheet'!$D$22)+1)</f>
        <v>0</v>
      </c>
      <c r="HX12" s="3">
        <f>SUMIFS($D$11:HX11,$D$6:HX6,(KPI!HX8-'Info Sheet'!$D$22)+1)</f>
        <v>0</v>
      </c>
      <c r="HY12" s="3">
        <f>SUMIFS($D$11:HY11,$D$6:HY6,(KPI!HY8-'Info Sheet'!$D$22)+1)</f>
        <v>0</v>
      </c>
      <c r="HZ12" s="3">
        <f>SUMIFS($D$11:HZ11,$D$6:HZ6,(KPI!HZ8-'Info Sheet'!$D$22)+1)</f>
        <v>0</v>
      </c>
      <c r="IA12" s="3">
        <f>SUMIFS($D$11:IA11,$D$6:IA6,(KPI!IA8-'Info Sheet'!$D$22)+1)</f>
        <v>0</v>
      </c>
      <c r="IB12" s="3">
        <f>SUMIFS($D$11:IB11,$D$6:IB6,(KPI!IB8-'Info Sheet'!$D$22)+1)</f>
        <v>0</v>
      </c>
      <c r="IC12" s="3">
        <f>SUMIFS($D$11:IC11,$D$6:IC6,(KPI!IC8-'Info Sheet'!$D$22)+1)</f>
        <v>0</v>
      </c>
      <c r="ID12" s="3">
        <f>SUMIFS($D$11:ID11,$D$6:ID6,(KPI!ID8-'Info Sheet'!$D$22)+1)</f>
        <v>0</v>
      </c>
      <c r="IE12" s="3">
        <f>SUMIFS($D$11:IE11,$D$6:IE6,(KPI!IE8-'Info Sheet'!$D$22)+1)</f>
        <v>0</v>
      </c>
      <c r="IF12" s="3">
        <f>SUMIFS($D$11:IF11,$D$6:IF6,(KPI!IF8-'Info Sheet'!$D$22)+1)</f>
        <v>0</v>
      </c>
      <c r="IG12" s="3">
        <f>SUMIFS($D$11:IG11,$D$6:IG6,(KPI!IG8-'Info Sheet'!$D$22)+1)</f>
        <v>0</v>
      </c>
      <c r="IH12" s="3">
        <f>SUMIFS($D$11:IH11,$D$6:IH6,(KPI!IH8-'Info Sheet'!$D$22)+1)</f>
        <v>0</v>
      </c>
      <c r="II12" s="3">
        <f>SUMIFS($D$11:II11,$D$6:II6,(KPI!II8-'Info Sheet'!$D$22)+1)</f>
        <v>0</v>
      </c>
      <c r="IJ12" s="3">
        <f>SUMIFS($D$11:IJ11,$D$6:IJ6,(KPI!IJ8-'Info Sheet'!$D$22)+1)</f>
        <v>0</v>
      </c>
      <c r="IK12" s="3">
        <f>SUMIFS($D$11:IK11,$D$6:IK6,(KPI!IK8-'Info Sheet'!$D$22)+1)</f>
        <v>0</v>
      </c>
      <c r="IL12" s="3">
        <f>SUMIFS($D$11:IL11,$D$6:IL6,(KPI!IL8-'Info Sheet'!$D$22)+1)</f>
        <v>0</v>
      </c>
      <c r="IM12" s="3">
        <f>SUMIFS($D$11:IM11,$D$6:IM6,(KPI!IM8-'Info Sheet'!$D$22)+1)</f>
        <v>0</v>
      </c>
      <c r="IN12" s="3">
        <f>SUMIFS($D$11:IN11,$D$6:IN6,(KPI!IN8-'Info Sheet'!$D$22)+1)</f>
        <v>0</v>
      </c>
      <c r="IO12" s="3">
        <f>SUMIFS($D$11:IO11,$D$6:IO6,(KPI!IO8-'Info Sheet'!$D$22)+1)</f>
        <v>0</v>
      </c>
      <c r="IP12" s="3">
        <f>SUMIFS($D$11:IP11,$D$6:IP6,(KPI!IP8-'Info Sheet'!$D$22)+1)</f>
        <v>0</v>
      </c>
      <c r="IQ12" s="3">
        <f>SUMIFS($D$11:IQ11,$D$6:IQ6,(KPI!IQ8-'Info Sheet'!$D$22)+1)</f>
        <v>0</v>
      </c>
      <c r="IR12" s="3">
        <f>SUMIFS($D$11:IR11,$D$6:IR6,(KPI!IR8-'Info Sheet'!$D$22)+1)</f>
        <v>0</v>
      </c>
      <c r="IS12" s="3">
        <f>SUMIFS($D$11:IS11,$D$6:IS6,(KPI!IS8-'Info Sheet'!$D$22)+1)</f>
        <v>0</v>
      </c>
      <c r="IT12" s="3">
        <f>SUMIFS($D$11:IT11,$D$6:IT6,(KPI!IT8-'Info Sheet'!$D$22)+1)</f>
        <v>0</v>
      </c>
      <c r="IU12" s="3">
        <f>SUMIFS($D$11:IU11,$D$6:IU6,(KPI!IU8-'Info Sheet'!$D$22)+1)</f>
        <v>0</v>
      </c>
      <c r="IV12" s="3">
        <f>SUMIFS($D$11:IV11,$D$6:IV6,(KPI!IV8-'Info Sheet'!$D$22)+1)</f>
        <v>0</v>
      </c>
      <c r="IW12" s="3">
        <f>SUMIFS($D$11:IW11,$D$6:IW6,(KPI!IW8-'Info Sheet'!$D$22)+1)</f>
        <v>0</v>
      </c>
      <c r="IX12" s="3">
        <f>SUMIFS($D$11:IX11,$D$6:IX6,(KPI!IX8-'Info Sheet'!$D$22)+1)</f>
        <v>0</v>
      </c>
      <c r="IY12" s="3">
        <f>SUMIFS($D$11:IY11,$D$6:IY6,(KPI!IY8-'Info Sheet'!$D$22)+1)</f>
        <v>0</v>
      </c>
      <c r="IZ12" s="3">
        <f>SUMIFS($D$11:IZ11,$D$6:IZ6,(KPI!IZ8-'Info Sheet'!$D$22)+1)</f>
        <v>0</v>
      </c>
      <c r="JA12" s="3">
        <f>SUMIFS($D$11:JA11,$D$6:JA6,(KPI!JA8-'Info Sheet'!$D$22)+1)</f>
        <v>0</v>
      </c>
      <c r="JB12" s="3">
        <f>SUMIFS($D$11:JB11,$D$6:JB6,(KPI!JB8-'Info Sheet'!$D$22)+1)</f>
        <v>0</v>
      </c>
      <c r="JC12" s="3">
        <f>SUMIFS($D$11:JC11,$D$6:JC6,(KPI!JC8-'Info Sheet'!$D$22)+1)</f>
        <v>0</v>
      </c>
      <c r="JD12" s="3">
        <f>SUMIFS($D$11:JD11,$D$6:JD6,(KPI!JD8-'Info Sheet'!$D$22)+1)</f>
        <v>0</v>
      </c>
      <c r="JE12" s="3">
        <f>SUMIFS($D$11:JE11,$D$6:JE6,(KPI!JE8-'Info Sheet'!$D$22)+1)</f>
        <v>0</v>
      </c>
      <c r="JF12" s="3">
        <f>SUMIFS($D$11:JF11,$D$6:JF6,(KPI!JF8-'Info Sheet'!$D$22)+1)</f>
        <v>0</v>
      </c>
      <c r="JG12" s="3">
        <f>SUMIFS($D$11:JG11,$D$6:JG6,(KPI!JG8-'Info Sheet'!$D$22)+1)</f>
        <v>0</v>
      </c>
      <c r="JH12" s="3">
        <f>SUMIFS($D$11:JH11,$D$6:JH6,(KPI!JH8-'Info Sheet'!$D$22)+1)</f>
        <v>0</v>
      </c>
      <c r="JI12" s="3">
        <f>SUMIFS($D$11:JI11,$D$6:JI6,(KPI!JI8-'Info Sheet'!$D$22)+1)</f>
        <v>0</v>
      </c>
      <c r="JJ12" s="3">
        <f>SUMIFS($D$11:JJ11,$D$6:JJ6,(KPI!JJ8-'Info Sheet'!$D$22)+1)</f>
        <v>0</v>
      </c>
      <c r="JK12" s="3">
        <f>SUMIFS($D$11:JK11,$D$6:JK6,(KPI!JK8-'Info Sheet'!$D$22)+1)</f>
        <v>0</v>
      </c>
      <c r="JL12" s="3">
        <f>SUMIFS($D$11:JL11,$D$6:JL6,(KPI!JL8-'Info Sheet'!$D$22)+1)</f>
        <v>0</v>
      </c>
      <c r="JM12" s="3">
        <f>SUMIFS($D$11:JM11,$D$6:JM6,(KPI!JM8-'Info Sheet'!$D$22)+1)</f>
        <v>0</v>
      </c>
      <c r="JN12" s="3">
        <f>SUMIFS($D$11:JN11,$D$6:JN6,(KPI!JN8-'Info Sheet'!$D$22)+1)</f>
        <v>0</v>
      </c>
      <c r="JO12" s="3">
        <f>SUMIFS($D$11:JO11,$D$6:JO6,(KPI!JO8-'Info Sheet'!$D$22)+1)</f>
        <v>0</v>
      </c>
      <c r="JP12" s="3">
        <f>SUMIFS($D$11:JP11,$D$6:JP6,(KPI!JP8-'Info Sheet'!$D$22)+1)</f>
        <v>0</v>
      </c>
      <c r="JQ12" s="3">
        <f>SUMIFS($D$11:JQ11,$D$6:JQ6,(KPI!JQ8-'Info Sheet'!$D$22)+1)</f>
        <v>0</v>
      </c>
      <c r="JR12" s="3">
        <f>SUMIFS($D$11:JR11,$D$6:JR6,(KPI!JR8-'Info Sheet'!$D$22)+1)</f>
        <v>0</v>
      </c>
      <c r="JS12" s="3">
        <f>SUMIFS($D$11:JS11,$D$6:JS6,(KPI!JS8-'Info Sheet'!$D$22)+1)</f>
        <v>0</v>
      </c>
      <c r="JT12" s="3">
        <f>SUMIFS($D$11:JT11,$D$6:JT6,(KPI!JT8-'Info Sheet'!$D$22)+1)</f>
        <v>0</v>
      </c>
      <c r="JU12" s="3">
        <f>SUMIFS($D$11:JU11,$D$6:JU6,(KPI!JU8-'Info Sheet'!$D$22)+1)</f>
        <v>0</v>
      </c>
      <c r="JV12" s="3">
        <f>SUMIFS($D$11:JV11,$D$6:JV6,(KPI!JV8-'Info Sheet'!$D$22)+1)</f>
        <v>0</v>
      </c>
      <c r="JW12" s="3">
        <f>SUMIFS($D$11:JW11,$D$6:JW6,(KPI!JW8-'Info Sheet'!$D$22)+1)</f>
        <v>0</v>
      </c>
      <c r="JX12" s="3">
        <f>SUMIFS($D$11:JX11,$D$6:JX6,(KPI!JX8-'Info Sheet'!$D$22)+1)</f>
        <v>0</v>
      </c>
      <c r="JY12" s="3">
        <f>SUMIFS($D$11:JY11,$D$6:JY6,(KPI!JY8-'Info Sheet'!$D$22)+1)</f>
        <v>0</v>
      </c>
      <c r="JZ12" s="3">
        <f>SUMIFS($D$11:JZ11,$D$6:JZ6,(KPI!JZ8-'Info Sheet'!$D$22)+1)</f>
        <v>0</v>
      </c>
      <c r="KA12" s="3">
        <f>SUMIFS($D$11:KA11,$D$6:KA6,(KPI!KA8-'Info Sheet'!$D$22)+1)</f>
        <v>0</v>
      </c>
      <c r="KB12" s="3">
        <f>SUMIFS($D$11:KB11,$D$6:KB6,(KPI!KB8-'Info Sheet'!$D$22)+1)</f>
        <v>0</v>
      </c>
      <c r="KC12" s="3">
        <f>SUMIFS($D$11:KC11,$D$6:KC6,(KPI!KC8-'Info Sheet'!$D$22)+1)</f>
        <v>0</v>
      </c>
      <c r="KD12" s="3">
        <f>SUMIFS($D$11:KD11,$D$6:KD6,(KPI!KD8-'Info Sheet'!$D$22)+1)</f>
        <v>0</v>
      </c>
      <c r="KE12" s="3">
        <f>SUMIFS($D$11:KE11,$D$6:KE6,(KPI!KE8-'Info Sheet'!$D$22)+1)</f>
        <v>0</v>
      </c>
      <c r="KF12" s="3">
        <f>SUMIFS($D$11:KF11,$D$6:KF6,(KPI!KF8-'Info Sheet'!$D$22)+1)</f>
        <v>0</v>
      </c>
      <c r="KG12" s="3">
        <f>SUMIFS($D$11:KG11,$D$6:KG6,(KPI!KG8-'Info Sheet'!$D$22)+1)</f>
        <v>0</v>
      </c>
      <c r="KH12" s="3">
        <f>SUMIFS($D$11:KH11,$D$6:KH6,(KPI!KH8-'Info Sheet'!$D$22)+1)</f>
        <v>0</v>
      </c>
      <c r="KI12" s="3">
        <f>SUMIFS($D$11:KI11,$D$6:KI6,(KPI!KI8-'Info Sheet'!$D$22)+1)</f>
        <v>0</v>
      </c>
      <c r="KJ12" s="3">
        <f>SUMIFS($D$11:KJ11,$D$6:KJ6,(KPI!KJ8-'Info Sheet'!$D$22)+1)</f>
        <v>0</v>
      </c>
      <c r="KK12" s="3">
        <f>SUMIFS($D$11:KK11,$D$6:KK6,(KPI!KK8-'Info Sheet'!$D$22)+1)</f>
        <v>0</v>
      </c>
      <c r="KL12" s="3">
        <f>SUMIFS($D$11:KL11,$D$6:KL6,(KPI!KL8-'Info Sheet'!$D$22)+1)</f>
        <v>0</v>
      </c>
      <c r="KM12" s="3">
        <f>SUMIFS($D$11:KM11,$D$6:KM6,(KPI!KM8-'Info Sheet'!$D$22)+1)</f>
        <v>0</v>
      </c>
      <c r="KN12" s="3">
        <f>SUMIFS($D$11:KN11,$D$6:KN6,(KPI!KN8-'Info Sheet'!$D$22)+1)</f>
        <v>0</v>
      </c>
      <c r="KO12" s="3">
        <f>SUMIFS($D$11:KO11,$D$6:KO6,(KPI!KO8-'Info Sheet'!$D$22)+1)</f>
        <v>0</v>
      </c>
      <c r="KP12" s="3">
        <f>SUMIFS($D$11:KP11,$D$6:KP6,(KPI!KP8-'Info Sheet'!$D$22)+1)</f>
        <v>0</v>
      </c>
      <c r="KQ12" s="3">
        <f>SUMIFS($D$11:KQ11,$D$6:KQ6,(KPI!KQ8-'Info Sheet'!$D$22)+1)</f>
        <v>0</v>
      </c>
      <c r="KR12" s="3">
        <f>SUMIFS($D$11:KR11,$D$6:KR6,(KPI!KR8-'Info Sheet'!$D$22)+1)</f>
        <v>0</v>
      </c>
      <c r="KS12" s="3">
        <f>SUMIFS($D$11:KS11,$D$6:KS6,(KPI!KS8-'Info Sheet'!$D$22)+1)</f>
        <v>0</v>
      </c>
      <c r="KT12" s="3">
        <f>SUMIFS($D$11:KT11,$D$6:KT6,(KPI!KT8-'Info Sheet'!$D$22)+1)</f>
        <v>0</v>
      </c>
      <c r="KU12" s="3">
        <f>SUMIFS($D$11:KU11,$D$6:KU6,(KPI!KU8-'Info Sheet'!$D$22)+1)</f>
        <v>0</v>
      </c>
      <c r="KV12" s="3">
        <f>SUMIFS($D$11:KV11,$D$6:KV6,(KPI!KV8-'Info Sheet'!$D$22)+1)</f>
        <v>0</v>
      </c>
      <c r="KW12" s="3">
        <f>SUMIFS($D$11:KW11,$D$6:KW6,(KPI!KW8-'Info Sheet'!$D$22)+1)</f>
        <v>0</v>
      </c>
      <c r="KX12" s="3">
        <f>SUMIFS($D$11:KX11,$D$6:KX6,(KPI!KX8-'Info Sheet'!$D$22)+1)</f>
        <v>0</v>
      </c>
      <c r="KY12" s="3">
        <f>SUMIFS($D$11:KY11,$D$6:KY6,(KPI!KY8-'Info Sheet'!$D$22)+1)</f>
        <v>0</v>
      </c>
      <c r="KZ12" s="3">
        <f>SUMIFS($D$11:KZ11,$D$6:KZ6,(KPI!KZ8-'Info Sheet'!$D$22)+1)</f>
        <v>0</v>
      </c>
      <c r="LA12" s="3">
        <f>SUMIFS($D$11:LA11,$D$6:LA6,(KPI!LA8-'Info Sheet'!$D$22)+1)</f>
        <v>0</v>
      </c>
      <c r="LB12" s="3">
        <f>SUMIFS($D$11:LB11,$D$6:LB6,(KPI!LB8-'Info Sheet'!$D$22)+1)</f>
        <v>0</v>
      </c>
      <c r="LC12" s="3">
        <f>SUMIFS($D$11:LC11,$D$6:LC6,(KPI!LC8-'Info Sheet'!$D$22)+1)</f>
        <v>0</v>
      </c>
      <c r="LD12" s="3">
        <f>SUMIFS($D$11:LD11,$D$6:LD6,(KPI!LD8-'Info Sheet'!$D$22)+1)</f>
        <v>0</v>
      </c>
      <c r="LE12" s="3">
        <f>SUMIFS($D$11:LE11,$D$6:LE6,(KPI!LE8-'Info Sheet'!$D$22)+1)</f>
        <v>0</v>
      </c>
      <c r="LF12" s="3">
        <f>SUMIFS($D$11:LF11,$D$6:LF6,(KPI!LF8-'Info Sheet'!$D$22)+1)</f>
        <v>0</v>
      </c>
      <c r="LG12" s="3">
        <f>SUMIFS($D$11:LG11,$D$6:LG6,(KPI!LG8-'Info Sheet'!$D$22)+1)</f>
        <v>0</v>
      </c>
      <c r="LH12" s="3">
        <f>SUMIFS($D$11:LH11,$D$6:LH6,(KPI!LH8-'Info Sheet'!$D$22)+1)</f>
        <v>0</v>
      </c>
      <c r="LI12" s="3">
        <f>SUMIFS($D$11:LI11,$D$6:LI6,(KPI!LI8-'Info Sheet'!$D$22)+1)</f>
        <v>0</v>
      </c>
      <c r="LJ12" s="3">
        <f>SUMIFS($D$11:LJ11,$D$6:LJ6,(KPI!LJ8-'Info Sheet'!$D$22)+1)</f>
        <v>0</v>
      </c>
      <c r="LK12" s="3">
        <f>SUMIFS($D$11:LK11,$D$6:LK6,(KPI!LK8-'Info Sheet'!$D$22)+1)</f>
        <v>0</v>
      </c>
      <c r="LL12" s="3">
        <f>SUMIFS($D$11:LL11,$D$6:LL6,(KPI!LL8-'Info Sheet'!$D$22)+1)</f>
        <v>0</v>
      </c>
      <c r="LM12" s="3">
        <f>SUMIFS($D$11:LM11,$D$6:LM6,(KPI!LM8-'Info Sheet'!$D$22)+1)</f>
        <v>0</v>
      </c>
      <c r="LN12" s="3">
        <f>SUMIFS($D$11:LN11,$D$6:LN6,(KPI!LN8-'Info Sheet'!$D$22)+1)</f>
        <v>0</v>
      </c>
      <c r="LO12" s="3">
        <f>SUMIFS($D$11:LO11,$D$6:LO6,(KPI!LO8-'Info Sheet'!$D$22)+1)</f>
        <v>0</v>
      </c>
      <c r="LP12" s="3">
        <f>SUMIFS($D$11:LP11,$D$6:LP6,(KPI!LP8-'Info Sheet'!$D$22)+1)</f>
        <v>0</v>
      </c>
      <c r="LQ12" s="3">
        <f>SUMIFS($D$11:LQ11,$D$6:LQ6,(KPI!LQ8-'Info Sheet'!$D$22)+1)</f>
        <v>0</v>
      </c>
      <c r="LR12" s="3">
        <f>SUMIFS($D$11:LR11,$D$6:LR6,(KPI!LR8-'Info Sheet'!$D$22)+1)</f>
        <v>0</v>
      </c>
      <c r="LS12" s="3">
        <f>SUMIFS($D$11:LS11,$D$6:LS6,(KPI!LS8-'Info Sheet'!$D$22)+1)</f>
        <v>0</v>
      </c>
      <c r="LT12" s="3">
        <f>SUMIFS($D$11:LT11,$D$6:LT6,(KPI!LT8-'Info Sheet'!$D$22)+1)</f>
        <v>0</v>
      </c>
      <c r="LU12" s="3">
        <f>SUMIFS($D$11:LU11,$D$6:LU6,(KPI!LU8-'Info Sheet'!$D$22)+1)</f>
        <v>0</v>
      </c>
      <c r="LV12" s="3">
        <f>SUMIFS($D$11:LV11,$D$6:LV6,(KPI!LV8-'Info Sheet'!$D$22)+1)</f>
        <v>0</v>
      </c>
      <c r="LW12" s="3">
        <f>SUMIFS($D$11:LW11,$D$6:LW6,(KPI!LW8-'Info Sheet'!$D$22)+1)</f>
        <v>0</v>
      </c>
      <c r="LX12" s="3">
        <f>SUMIFS($D$11:LX11,$D$6:LX6,(KPI!LX8-'Info Sheet'!$D$22)+1)</f>
        <v>0</v>
      </c>
      <c r="LY12" s="3">
        <f>SUMIFS($D$11:LY11,$D$6:LY6,(KPI!LY8-'Info Sheet'!$D$22)+1)</f>
        <v>0</v>
      </c>
    </row>
    <row r="13" spans="1:339">
      <c r="B13" s="143" t="s">
        <v>48</v>
      </c>
      <c r="C13" s="143"/>
      <c r="E13" s="43">
        <f>SUMIF($E$7:E7,"&gt;="&amp; DATE(YEAR(E7),MONTH(E7)-11,DAY(E7)),$E$11:E11)</f>
        <v>0</v>
      </c>
      <c r="F13" s="43">
        <f>SUMIF($E$7:F7,"&gt;="&amp; DATE(YEAR(F7),MONTH(F7)-11,DAY(F7)),$E$11:F11)</f>
        <v>0</v>
      </c>
      <c r="G13" s="43">
        <f>SUMIF($E$7:G7,"&gt;="&amp; DATE(YEAR(G7),MONTH(G7)-11,DAY(G7)),$E$11:G11)</f>
        <v>0</v>
      </c>
      <c r="H13" s="43">
        <f>SUMIF($E$7:H7,"&gt;="&amp; DATE(YEAR(H7),MONTH(H7)-11,DAY(H7)),$E$11:H11)</f>
        <v>0</v>
      </c>
      <c r="I13" s="43">
        <f>SUMIF($E$7:I7,"&gt;="&amp; DATE(YEAR(I7),MONTH(I7)-11,DAY(I7)),$E$11:I11)</f>
        <v>0</v>
      </c>
      <c r="J13" s="43">
        <f>SUMIF($E$7:J7,"&gt;="&amp; DATE(YEAR(J7),MONTH(J7)-11,DAY(J7)),$E$11:J11)</f>
        <v>0</v>
      </c>
      <c r="K13" s="43">
        <f>SUMIF($E$7:K7,"&gt;="&amp; DATE(YEAR(K7),MONTH(K7)-11,DAY(K7)),$E$11:K11)</f>
        <v>0</v>
      </c>
      <c r="L13" s="43">
        <f>SUMIF($E$7:L7,"&gt;="&amp; DATE(YEAR(L7),MONTH(L7)-11,DAY(L7)),$E$11:L11)</f>
        <v>0</v>
      </c>
      <c r="M13" s="43">
        <f>SUMIF($E$7:M7,"&gt;="&amp; DATE(YEAR(M7),MONTH(M7)-11,DAY(M7)),$E$11:M11)</f>
        <v>0</v>
      </c>
      <c r="N13" s="43">
        <f>SUMIF($E$7:N7,"&gt;="&amp; DATE(YEAR(N7),MONTH(N7)-11,DAY(N7)),$E$11:N11)</f>
        <v>0</v>
      </c>
      <c r="O13" s="43">
        <f>SUMIF($E$7:O7,"&gt;="&amp; DATE(YEAR(O7),MONTH(O7)-11,DAY(O7)),$E$11:O11)</f>
        <v>0</v>
      </c>
      <c r="P13" s="43">
        <f>SUMIF($E$7:P7,"&gt;="&amp; DATE(YEAR(P7),MONTH(P7)-11,DAY(P7)),$E$11:P11)</f>
        <v>0</v>
      </c>
      <c r="Q13" s="43">
        <f>SUMIF($E$7:Q7,"&gt;="&amp; DATE(YEAR(Q7),MONTH(Q7)-11,DAY(Q7)),$E$11:Q11)</f>
        <v>0</v>
      </c>
      <c r="R13" s="43">
        <f>SUMIF($E$7:R7,"&gt;="&amp; DATE(YEAR(R7),MONTH(R7)-11,DAY(R7)),$E$11:R11)</f>
        <v>0</v>
      </c>
      <c r="S13" s="43">
        <f>SUMIF($E$7:S7,"&gt;="&amp; DATE(YEAR(S7),MONTH(S7)-11,DAY(S7)),$E$11:S11)</f>
        <v>0</v>
      </c>
      <c r="T13" s="43">
        <f>SUMIF($E$7:T7,"&gt;="&amp; DATE(YEAR(T7),MONTH(T7)-11,DAY(T7)),$E$11:T11)</f>
        <v>0</v>
      </c>
      <c r="U13" s="43">
        <f>SUMIF($E$7:U7,"&gt;="&amp; DATE(YEAR(U7),MONTH(U7)-11,DAY(U7)),$E$11:U11)</f>
        <v>0</v>
      </c>
      <c r="V13" s="43">
        <f>SUMIF($E$7:V7,"&gt;="&amp; DATE(YEAR(V7),MONTH(V7)-11,DAY(V7)),$E$11:V11)</f>
        <v>0</v>
      </c>
      <c r="W13" s="43">
        <f>SUMIF($E$7:W7,"&gt;="&amp; DATE(YEAR(W7),MONTH(W7)-11,DAY(W7)),$E$11:W11)</f>
        <v>0</v>
      </c>
      <c r="X13" s="43">
        <f>SUMIF($E$7:X7,"&gt;="&amp; DATE(YEAR(X7),MONTH(X7)-11,DAY(X7)),$E$11:X11)</f>
        <v>0</v>
      </c>
      <c r="Y13" s="43">
        <f>SUMIF($E$7:Y7,"&gt;="&amp; DATE(YEAR(Y7),MONTH(Y7)-11,DAY(Y7)),$E$11:Y11)</f>
        <v>0</v>
      </c>
      <c r="Z13" s="43">
        <f>SUMIF($E$7:Z7,"&gt;="&amp; DATE(YEAR(Z7),MONTH(Z7)-11,DAY(Z7)),$E$11:Z11)</f>
        <v>0</v>
      </c>
      <c r="AA13" s="43">
        <f>SUMIF($E$7:AA7,"&gt;="&amp; DATE(YEAR(AA7),MONTH(AA7)-11,DAY(AA7)),$E$11:AA11)</f>
        <v>0</v>
      </c>
      <c r="AB13" s="43">
        <f>SUMIF($E$7:AB7,"&gt;="&amp; DATE(YEAR(AB7),MONTH(AB7)-11,DAY(AB7)),$E$11:AB11)</f>
        <v>0</v>
      </c>
      <c r="AC13" s="43">
        <f>SUMIF($E$7:AC7,"&gt;="&amp; DATE(YEAR(AC7),MONTH(AC7)-11,DAY(AC7)),$E$11:AC11)</f>
        <v>0</v>
      </c>
      <c r="AD13" s="43">
        <f>SUMIF($E$7:AD7,"&gt;="&amp; DATE(YEAR(AD7),MONTH(AD7)-11,DAY(AD7)),$E$11:AD11)</f>
        <v>0</v>
      </c>
      <c r="AE13" s="43">
        <f>SUMIF($E$7:AE7,"&gt;="&amp; DATE(YEAR(AE7),MONTH(AE7)-11,DAY(AE7)),$E$11:AE11)</f>
        <v>0</v>
      </c>
      <c r="AF13" s="43">
        <f>SUMIF($E$7:AF7,"&gt;="&amp; DATE(YEAR(AF7),MONTH(AF7)-11,DAY(AF7)),$E$11:AF11)</f>
        <v>0</v>
      </c>
      <c r="AG13" s="43">
        <f>SUMIF($E$7:AG7,"&gt;="&amp; DATE(YEAR(AG7),MONTH(AG7)-11,DAY(AG7)),$E$11:AG11)</f>
        <v>0</v>
      </c>
      <c r="AH13" s="43">
        <f>SUMIF($E$7:AH7,"&gt;="&amp; DATE(YEAR(AH7),MONTH(AH7)-11,DAY(AH7)),$E$11:AH11)</f>
        <v>0</v>
      </c>
      <c r="AI13" s="43">
        <f>SUMIF($E$7:AI7,"&gt;="&amp; DATE(YEAR(AI7),MONTH(AI7)-11,DAY(AI7)),$E$11:AI11)</f>
        <v>0</v>
      </c>
      <c r="AJ13" s="43">
        <f>SUMIF($E$7:AJ7,"&gt;="&amp; DATE(YEAR(AJ7),MONTH(AJ7)-11,DAY(AJ7)),$E$11:AJ11)</f>
        <v>0</v>
      </c>
      <c r="AK13" s="43">
        <f>SUMIF($E$7:AK7,"&gt;="&amp; DATE(YEAR(AK7),MONTH(AK7)-11,DAY(AK7)),$E$11:AK11)</f>
        <v>0</v>
      </c>
      <c r="AL13" s="43">
        <f>SUMIF($E$7:AL7,"&gt;="&amp; DATE(YEAR(AL7),MONTH(AL7)-11,DAY(AL7)),$E$11:AL11)</f>
        <v>0</v>
      </c>
      <c r="AM13" s="43">
        <f>SUMIF($E$7:AM7,"&gt;="&amp; DATE(YEAR(AM7),MONTH(AM7)-11,DAY(AM7)),$E$11:AM11)</f>
        <v>0</v>
      </c>
      <c r="AN13" s="43">
        <f>SUMIF($E$7:AN7,"&gt;="&amp; DATE(YEAR(AN7),MONTH(AN7)-11,DAY(AN7)),$E$11:AN11)</f>
        <v>0</v>
      </c>
      <c r="AO13" s="43">
        <f>SUMIF($E$7:AO7,"&gt;="&amp; DATE(YEAR(AO7),MONTH(AO7)-11,DAY(AO7)),$E$11:AO11)</f>
        <v>0</v>
      </c>
      <c r="AP13" s="43">
        <f>SUMIF($E$7:AP7,"&gt;="&amp; DATE(YEAR(AP7),MONTH(AP7)-11,DAY(AP7)),$E$11:AP11)</f>
        <v>0</v>
      </c>
      <c r="AQ13" s="43">
        <f>SUMIF($E$7:AQ7,"&gt;="&amp; DATE(YEAR(AQ7),MONTH(AQ7)-11,DAY(AQ7)),$E$11:AQ11)</f>
        <v>0</v>
      </c>
      <c r="AR13" s="43">
        <f>SUMIF($E$7:AR7,"&gt;="&amp; DATE(YEAR(AR7),MONTH(AR7)-11,DAY(AR7)),$E$11:AR11)</f>
        <v>0</v>
      </c>
      <c r="AS13" s="43">
        <f>SUMIF($E$7:AS7,"&gt;="&amp; DATE(YEAR(AS7),MONTH(AS7)-11,DAY(AS7)),$E$11:AS11)</f>
        <v>0</v>
      </c>
      <c r="AT13" s="43">
        <f>SUMIF($E$7:AT7,"&gt;="&amp; DATE(YEAR(AT7),MONTH(AT7)-11,DAY(AT7)),$E$11:AT11)</f>
        <v>0</v>
      </c>
      <c r="AU13" s="43">
        <f>SUMIF($E$7:AU7,"&gt;="&amp; DATE(YEAR(AU7),MONTH(AU7)-11,DAY(AU7)),$E$11:AU11)</f>
        <v>0</v>
      </c>
      <c r="AV13" s="43">
        <f>SUMIF($E$7:AV7,"&gt;="&amp; DATE(YEAR(AV7),MONTH(AV7)-11,DAY(AV7)),$E$11:AV11)</f>
        <v>0</v>
      </c>
      <c r="AW13" s="43">
        <f>SUMIF($E$7:AW7,"&gt;="&amp; DATE(YEAR(AW7),MONTH(AW7)-11,DAY(AW7)),$E$11:AW11)</f>
        <v>0</v>
      </c>
      <c r="AX13" s="43">
        <f>SUMIF($E$7:AX7,"&gt;="&amp; DATE(YEAR(AX7),MONTH(AX7)-11,DAY(AX7)),$E$11:AX11)</f>
        <v>0</v>
      </c>
      <c r="AY13" s="43">
        <f>SUMIF($E$7:AY7,"&gt;="&amp; DATE(YEAR(AY7),MONTH(AY7)-11,DAY(AY7)),$E$11:AY11)</f>
        <v>0</v>
      </c>
      <c r="AZ13" s="43">
        <f>SUMIF($E$7:AZ7,"&gt;="&amp; DATE(YEAR(AZ7),MONTH(AZ7)-11,DAY(AZ7)),$E$11:AZ11)</f>
        <v>0</v>
      </c>
      <c r="BA13" s="43">
        <f>SUMIF($E$7:BA7,"&gt;="&amp; DATE(YEAR(BA7),MONTH(BA7)-11,DAY(BA7)),$E$11:BA11)</f>
        <v>0</v>
      </c>
      <c r="BB13" s="43">
        <f>SUMIF($E$7:BB7,"&gt;="&amp; DATE(YEAR(BB7),MONTH(BB7)-11,DAY(BB7)),$E$11:BB11)</f>
        <v>0</v>
      </c>
      <c r="BC13" s="43">
        <f>SUMIF($E$7:BC7,"&gt;="&amp; DATE(YEAR(BC7),MONTH(BC7)-11,DAY(BC7)),$E$11:BC11)</f>
        <v>0</v>
      </c>
      <c r="BD13" s="43">
        <f>SUMIF($E$7:BD7,"&gt;="&amp; DATE(YEAR(BD7),MONTH(BD7)-11,DAY(BD7)),$E$11:BD11)</f>
        <v>0</v>
      </c>
      <c r="BE13" s="43">
        <f>SUMIF($E$7:BE7,"&gt;="&amp; DATE(YEAR(BE7),MONTH(BE7)-11,DAY(BE7)),$E$11:BE11)</f>
        <v>0</v>
      </c>
      <c r="BF13" s="43">
        <f>SUMIF($E$7:BF7,"&gt;="&amp; DATE(YEAR(BF7),MONTH(BF7)-11,DAY(BF7)),$E$11:BF11)</f>
        <v>0</v>
      </c>
      <c r="BG13" s="43">
        <f>SUMIF($E$7:BG7,"&gt;="&amp; DATE(YEAR(BG7),MONTH(BG7)-11,DAY(BG7)),$E$11:BG11)</f>
        <v>0</v>
      </c>
      <c r="BH13" s="43">
        <f>SUMIF($E$7:BH7,"&gt;="&amp; DATE(YEAR(BH7),MONTH(BH7)-11,DAY(BH7)),$E$11:BH11)</f>
        <v>0</v>
      </c>
      <c r="BI13" s="43">
        <f>SUMIF($E$7:BI7,"&gt;="&amp; DATE(YEAR(BI7),MONTH(BI7)-11,DAY(BI7)),$E$11:BI11)</f>
        <v>0</v>
      </c>
      <c r="BJ13" s="43">
        <f>SUMIF($E$7:BJ7,"&gt;="&amp; DATE(YEAR(BJ7),MONTH(BJ7)-11,DAY(BJ7)),$E$11:BJ11)</f>
        <v>0</v>
      </c>
      <c r="BK13" s="43">
        <f>SUMIF($E$7:BK7,"&gt;="&amp; DATE(YEAR(BK7),MONTH(BK7)-11,DAY(BK7)),$E$11:BK11)</f>
        <v>0</v>
      </c>
      <c r="BL13" s="43">
        <f>SUMIF($E$7:BL7,"&gt;="&amp; DATE(YEAR(BL7),MONTH(BL7)-11,DAY(BL7)),$E$11:BL11)</f>
        <v>0</v>
      </c>
      <c r="BM13" s="43">
        <f>SUMIF($E$7:BM7,"&gt;="&amp; DATE(YEAR(BM7),MONTH(BM7)-11,DAY(BM7)),$E$11:BM11)</f>
        <v>0</v>
      </c>
      <c r="BN13" s="43">
        <f>SUMIF($E$7:BN7,"&gt;="&amp; DATE(YEAR(BN7),MONTH(BN7)-11,DAY(BN7)),$E$11:BN11)</f>
        <v>0</v>
      </c>
      <c r="BO13" s="43">
        <f>SUMIF($E$7:BO7,"&gt;="&amp; DATE(YEAR(BO7),MONTH(BO7)-11,DAY(BO7)),$E$11:BO11)</f>
        <v>0</v>
      </c>
      <c r="BP13" s="43">
        <f>SUMIF($E$7:BP7,"&gt;="&amp; DATE(YEAR(BP7),MONTH(BP7)-11,DAY(BP7)),$E$11:BP11)</f>
        <v>0</v>
      </c>
      <c r="BQ13" s="43">
        <f>SUMIF($E$7:BQ7,"&gt;="&amp; DATE(YEAR(BQ7),MONTH(BQ7)-11,DAY(BQ7)),$E$11:BQ11)</f>
        <v>0</v>
      </c>
      <c r="BR13" s="43">
        <f>SUMIF($E$7:BR7,"&gt;="&amp; DATE(YEAR(BR7),MONTH(BR7)-11,DAY(BR7)),$E$11:BR11)</f>
        <v>0</v>
      </c>
      <c r="BS13" s="43">
        <f>SUMIF($E$7:BS7,"&gt;="&amp; DATE(YEAR(BS7),MONTH(BS7)-11,DAY(BS7)),$E$11:BS11)</f>
        <v>0</v>
      </c>
      <c r="BT13" s="43">
        <f>SUMIF($E$7:BT7,"&gt;="&amp; DATE(YEAR(BT7),MONTH(BT7)-11,DAY(BT7)),$E$11:BT11)</f>
        <v>0</v>
      </c>
      <c r="BU13" s="43">
        <f>SUMIF($E$7:BU7,"&gt;="&amp; DATE(YEAR(BU7),MONTH(BU7)-11,DAY(BU7)),$E$11:BU11)</f>
        <v>0</v>
      </c>
      <c r="BV13" s="43">
        <f>SUMIF($E$7:BV7,"&gt;="&amp; DATE(YEAR(BV7),MONTH(BV7)-11,DAY(BV7)),$E$11:BV11)</f>
        <v>0</v>
      </c>
      <c r="BW13" s="43">
        <f>SUMIF($E$7:BW7,"&gt;="&amp; DATE(YEAR(BW7),MONTH(BW7)-11,DAY(BW7)),$E$11:BW11)</f>
        <v>0</v>
      </c>
      <c r="BX13" s="43">
        <f>SUMIF($E$7:BX7,"&gt;="&amp; DATE(YEAR(BX7),MONTH(BX7)-11,DAY(BX7)),$E$11:BX11)</f>
        <v>0</v>
      </c>
      <c r="BY13" s="43">
        <f>SUMIF($E$7:BY7,"&gt;="&amp; DATE(YEAR(BY7),MONTH(BY7)-11,DAY(BY7)),$E$11:BY11)</f>
        <v>0</v>
      </c>
      <c r="BZ13" s="43">
        <f>SUMIF($E$7:BZ7,"&gt;="&amp; DATE(YEAR(BZ7),MONTH(BZ7)-11,DAY(BZ7)),$E$11:BZ11)</f>
        <v>0</v>
      </c>
      <c r="CA13" s="43">
        <f>SUMIF($E$7:CA7,"&gt;="&amp; DATE(YEAR(CA7),MONTH(CA7)-11,DAY(CA7)),$E$11:CA11)</f>
        <v>0</v>
      </c>
      <c r="CB13" s="43">
        <f>SUMIF($E$7:CB7,"&gt;="&amp; DATE(YEAR(CB7),MONTH(CB7)-11,DAY(CB7)),$E$11:CB11)</f>
        <v>0</v>
      </c>
      <c r="CC13" s="43">
        <f>SUMIF($E$7:CC7,"&gt;="&amp; DATE(YEAR(CC7),MONTH(CC7)-11,DAY(CC7)),$E$11:CC11)</f>
        <v>0</v>
      </c>
      <c r="CD13" s="43">
        <f>SUMIF($E$7:CD7,"&gt;="&amp; DATE(YEAR(CD7),MONTH(CD7)-11,DAY(CD7)),$E$11:CD11)</f>
        <v>0</v>
      </c>
      <c r="CE13" s="43">
        <f>SUMIF($E$7:CE7,"&gt;="&amp; DATE(YEAR(CE7),MONTH(CE7)-11,DAY(CE7)),$E$11:CE11)</f>
        <v>0</v>
      </c>
      <c r="CF13" s="43">
        <f>SUMIF($E$7:CF7,"&gt;="&amp; DATE(YEAR(CF7),MONTH(CF7)-11,DAY(CF7)),$E$11:CF11)</f>
        <v>0</v>
      </c>
      <c r="CG13" s="43">
        <f>SUMIF($E$7:CG7,"&gt;="&amp; DATE(YEAR(CG7),MONTH(CG7)-11,DAY(CG7)),$E$11:CG11)</f>
        <v>0</v>
      </c>
      <c r="CH13" s="43">
        <f>SUMIF($E$7:CH7,"&gt;="&amp; DATE(YEAR(CH7),MONTH(CH7)-11,DAY(CH7)),$E$11:CH11)</f>
        <v>0</v>
      </c>
      <c r="CI13" s="43">
        <f>SUMIF($E$7:CI7,"&gt;="&amp; DATE(YEAR(CI7),MONTH(CI7)-11,DAY(CI7)),$E$11:CI11)</f>
        <v>0</v>
      </c>
      <c r="CJ13" s="43">
        <f>SUMIF($E$7:CJ7,"&gt;="&amp; DATE(YEAR(CJ7),MONTH(CJ7)-11,DAY(CJ7)),$E$11:CJ11)</f>
        <v>0</v>
      </c>
      <c r="CK13" s="43">
        <f>SUMIF($E$7:CK7,"&gt;="&amp; DATE(YEAR(CK7),MONTH(CK7)-11,DAY(CK7)),$E$11:CK11)</f>
        <v>0</v>
      </c>
      <c r="CL13" s="43">
        <f>SUMIF($E$7:CL7,"&gt;="&amp; DATE(YEAR(CL7),MONTH(CL7)-11,DAY(CL7)),$E$11:CL11)</f>
        <v>0</v>
      </c>
      <c r="CM13" s="43">
        <f>SUMIF($E$7:CM7,"&gt;="&amp; DATE(YEAR(CM7),MONTH(CM7)-11,DAY(CM7)),$E$11:CM11)</f>
        <v>0</v>
      </c>
      <c r="CN13" s="43">
        <f>SUMIF($E$7:CN7,"&gt;="&amp; DATE(YEAR(CN7),MONTH(CN7)-11,DAY(CN7)),$E$11:CN11)</f>
        <v>0</v>
      </c>
      <c r="CO13" s="43">
        <f>SUMIF($E$7:CO7,"&gt;="&amp; DATE(YEAR(CO7),MONTH(CO7)-11,DAY(CO7)),$E$11:CO11)</f>
        <v>0</v>
      </c>
      <c r="CP13" s="43">
        <f>SUMIF($E$7:CP7,"&gt;="&amp; DATE(YEAR(CP7),MONTH(CP7)-11,DAY(CP7)),$E$11:CP11)</f>
        <v>0</v>
      </c>
      <c r="CQ13" s="43">
        <f>SUMIF($E$7:CQ7,"&gt;="&amp; DATE(YEAR(CQ7),MONTH(CQ7)-11,DAY(CQ7)),$E$11:CQ11)</f>
        <v>0</v>
      </c>
      <c r="CR13" s="43">
        <f>SUMIF($E$7:CR7,"&gt;="&amp; DATE(YEAR(CR7),MONTH(CR7)-11,DAY(CR7)),$E$11:CR11)</f>
        <v>0</v>
      </c>
      <c r="CS13" s="43">
        <f>SUMIF($E$7:CS7,"&gt;="&amp; DATE(YEAR(CS7),MONTH(CS7)-11,DAY(CS7)),$E$11:CS11)</f>
        <v>0</v>
      </c>
      <c r="CT13" s="43">
        <f>SUMIF($E$7:CT7,"&gt;="&amp; DATE(YEAR(CT7),MONTH(CT7)-11,DAY(CT7)),$E$11:CT11)</f>
        <v>0</v>
      </c>
      <c r="CU13" s="43">
        <f>SUMIF($E$7:CU7,"&gt;="&amp; DATE(YEAR(CU7),MONTH(CU7)-11,DAY(CU7)),$E$11:CU11)</f>
        <v>0</v>
      </c>
      <c r="CV13" s="43">
        <f>SUMIF($E$7:CV7,"&gt;="&amp; DATE(YEAR(CV7),MONTH(CV7)-11,DAY(CV7)),$E$11:CV11)</f>
        <v>0</v>
      </c>
      <c r="CW13" s="43">
        <f>SUMIF($E$7:CW7,"&gt;="&amp; DATE(YEAR(CW7),MONTH(CW7)-11,DAY(CW7)),$E$11:CW11)</f>
        <v>0</v>
      </c>
      <c r="CX13" s="43">
        <f>SUMIF($E$7:CX7,"&gt;="&amp; DATE(YEAR(CX7),MONTH(CX7)-11,DAY(CX7)),$E$11:CX11)</f>
        <v>0</v>
      </c>
      <c r="CY13" s="43">
        <f>SUMIF($E$7:CY7,"&gt;="&amp; DATE(YEAR(CY7),MONTH(CY7)-11,DAY(CY7)),$E$11:CY11)</f>
        <v>0</v>
      </c>
      <c r="CZ13" s="43">
        <f>SUMIF($E$7:CZ7,"&gt;="&amp; DATE(YEAR(CZ7),MONTH(CZ7)-11,DAY(CZ7)),$E$11:CZ11)</f>
        <v>0</v>
      </c>
      <c r="DA13" s="43">
        <f>SUMIF($E$7:DA7,"&gt;="&amp; DATE(YEAR(DA7),MONTH(DA7)-11,DAY(DA7)),$E$11:DA11)</f>
        <v>0</v>
      </c>
      <c r="DB13" s="43">
        <f>SUMIF($E$7:DB7,"&gt;="&amp; DATE(YEAR(DB7),MONTH(DB7)-11,DAY(DB7)),$E$11:DB11)</f>
        <v>0</v>
      </c>
      <c r="DC13" s="43">
        <f>SUMIF($E$7:DC7,"&gt;="&amp; DATE(YEAR(DC7),MONTH(DC7)-11,DAY(DC7)),$E$11:DC11)</f>
        <v>0</v>
      </c>
      <c r="DD13" s="43">
        <f>SUMIF($E$7:DD7,"&gt;="&amp; DATE(YEAR(DD7),MONTH(DD7)-11,DAY(DD7)),$E$11:DD11)</f>
        <v>0</v>
      </c>
      <c r="DE13" s="43">
        <f>SUMIF($E$7:DE7,"&gt;="&amp; DATE(YEAR(DE7),MONTH(DE7)-11,DAY(DE7)),$E$11:DE11)</f>
        <v>0</v>
      </c>
      <c r="DF13" s="43">
        <f>SUMIF($E$7:DF7,"&gt;="&amp; DATE(YEAR(DF7),MONTH(DF7)-11,DAY(DF7)),$E$11:DF11)</f>
        <v>0</v>
      </c>
      <c r="DG13" s="43">
        <f>SUMIF($E$7:DG7,"&gt;="&amp; DATE(YEAR(DG7),MONTH(DG7)-11,DAY(DG7)),$E$11:DG11)</f>
        <v>0</v>
      </c>
      <c r="DH13" s="43">
        <f>SUMIF($E$7:DH7,"&gt;="&amp; DATE(YEAR(DH7),MONTH(DH7)-11,DAY(DH7)),$E$11:DH11)</f>
        <v>0</v>
      </c>
      <c r="DI13" s="43">
        <f>SUMIF($E$7:DI7,"&gt;="&amp; DATE(YEAR(DI7),MONTH(DI7)-11,DAY(DI7)),$E$11:DI11)</f>
        <v>0</v>
      </c>
      <c r="DJ13" s="43">
        <f>SUMIF($E$7:DJ7,"&gt;="&amp; DATE(YEAR(DJ7),MONTH(DJ7)-11,DAY(DJ7)),$E$11:DJ11)</f>
        <v>0</v>
      </c>
      <c r="DK13" s="43">
        <f>SUMIF($E$7:DK7,"&gt;="&amp; DATE(YEAR(DK7),MONTH(DK7)-11,DAY(DK7)),$E$11:DK11)</f>
        <v>0</v>
      </c>
      <c r="DL13" s="43">
        <f>SUMIF($E$7:DL7,"&gt;="&amp; DATE(YEAR(DL7),MONTH(DL7)-11,DAY(DL7)),$E$11:DL11)</f>
        <v>0</v>
      </c>
      <c r="DM13" s="43">
        <f>SUMIF($E$7:DM7,"&gt;="&amp; DATE(YEAR(DM7),MONTH(DM7)-11,DAY(DM7)),$E$11:DM11)</f>
        <v>0</v>
      </c>
      <c r="DN13" s="43">
        <f>SUMIF($E$7:DN7,"&gt;="&amp; DATE(YEAR(DN7),MONTH(DN7)-11,DAY(DN7)),$E$11:DN11)</f>
        <v>0</v>
      </c>
      <c r="DO13" s="43">
        <f>SUMIF($E$7:DO7,"&gt;="&amp; DATE(YEAR(DO7),MONTH(DO7)-11,DAY(DO7)),$E$11:DO11)</f>
        <v>0</v>
      </c>
      <c r="DP13" s="43">
        <f>SUMIF($E$7:DP7,"&gt;="&amp; DATE(YEAR(DP7),MONTH(DP7)-11,DAY(DP7)),$E$11:DP11)</f>
        <v>0</v>
      </c>
      <c r="DQ13" s="43">
        <f>SUMIF($E$7:DQ7,"&gt;="&amp; DATE(YEAR(DQ7),MONTH(DQ7)-11,DAY(DQ7)),$E$11:DQ11)</f>
        <v>0</v>
      </c>
      <c r="DR13" s="43">
        <f>SUMIF($E$7:DR7,"&gt;="&amp; DATE(YEAR(DR7),MONTH(DR7)-11,DAY(DR7)),$E$11:DR11)</f>
        <v>0</v>
      </c>
      <c r="DS13" s="43">
        <f>SUMIF($E$7:DS7,"&gt;="&amp; DATE(YEAR(DS7),MONTH(DS7)-11,DAY(DS7)),$E$11:DS11)</f>
        <v>0</v>
      </c>
      <c r="DT13" s="43">
        <f>SUMIF($E$7:DT7,"&gt;="&amp; DATE(YEAR(DT7),MONTH(DT7)-11,DAY(DT7)),$E$11:DT11)</f>
        <v>0</v>
      </c>
      <c r="DU13" s="43">
        <f>SUMIF($E$7:DU7,"&gt;="&amp; DATE(YEAR(DU7),MONTH(DU7)-11,DAY(DU7)),$E$11:DU11)</f>
        <v>0</v>
      </c>
      <c r="DV13" s="43">
        <f>SUMIF($E$7:DV7,"&gt;="&amp; DATE(YEAR(DV7),MONTH(DV7)-11,DAY(DV7)),$E$11:DV11)</f>
        <v>0</v>
      </c>
      <c r="DW13" s="43">
        <f>SUMIF($E$7:DW7,"&gt;="&amp; DATE(YEAR(DW7),MONTH(DW7)-11,DAY(DW7)),$E$11:DW11)</f>
        <v>0</v>
      </c>
      <c r="DX13" s="43">
        <f>SUMIF($E$7:DX7,"&gt;="&amp; DATE(YEAR(DX7),MONTH(DX7)-11,DAY(DX7)),$E$11:DX11)</f>
        <v>0</v>
      </c>
      <c r="DY13" s="43">
        <f>SUMIF($E$7:DY7,"&gt;="&amp; DATE(YEAR(DY7),MONTH(DY7)-11,DAY(DY7)),$E$11:DY11)</f>
        <v>0</v>
      </c>
      <c r="DZ13" s="43">
        <f>SUMIF($E$7:DZ7,"&gt;="&amp; DATE(YEAR(DZ7),MONTH(DZ7)-11,DAY(DZ7)),$E$11:DZ11)</f>
        <v>0</v>
      </c>
      <c r="EA13" s="43">
        <f>SUMIF($E$7:EA7,"&gt;="&amp; DATE(YEAR(EA7),MONTH(EA7)-11,DAY(EA7)),$E$11:EA11)</f>
        <v>0</v>
      </c>
      <c r="EB13" s="43">
        <f>SUMIF($E$7:EB7,"&gt;="&amp; DATE(YEAR(EB7),MONTH(EB7)-11,DAY(EB7)),$E$11:EB11)</f>
        <v>0</v>
      </c>
      <c r="EC13" s="43">
        <f>SUMIF($E$7:EC7,"&gt;="&amp; DATE(YEAR(EC7),MONTH(EC7)-11,DAY(EC7)),$E$11:EC11)</f>
        <v>0</v>
      </c>
      <c r="ED13" s="43">
        <f>SUMIF($E$7:ED7,"&gt;="&amp; DATE(YEAR(ED7),MONTH(ED7)-11,DAY(ED7)),$E$11:ED11)</f>
        <v>0</v>
      </c>
      <c r="EE13" s="43">
        <f>SUMIF($E$7:EE7,"&gt;="&amp; DATE(YEAR(EE7),MONTH(EE7)-11,DAY(EE7)),$E$11:EE11)</f>
        <v>0</v>
      </c>
      <c r="EF13" s="43">
        <f>SUMIF($E$7:EF7,"&gt;="&amp; DATE(YEAR(EF7),MONTH(EF7)-11,DAY(EF7)),$E$11:EF11)</f>
        <v>0</v>
      </c>
      <c r="EG13" s="43">
        <f>SUMIF($E$7:EG7,"&gt;="&amp; DATE(YEAR(EG7),MONTH(EG7)-11,DAY(EG7)),$E$11:EG11)</f>
        <v>0</v>
      </c>
      <c r="EH13" s="43">
        <f>SUMIF($E$7:EH7,"&gt;="&amp; DATE(YEAR(EH7),MONTH(EH7)-11,DAY(EH7)),$E$11:EH11)</f>
        <v>0</v>
      </c>
      <c r="EI13" s="43">
        <f>SUMIF($E$7:EI7,"&gt;="&amp; DATE(YEAR(EI7),MONTH(EI7)-11,DAY(EI7)),$E$11:EI11)</f>
        <v>0</v>
      </c>
      <c r="EJ13" s="43">
        <f>SUMIF($E$7:EJ7,"&gt;="&amp; DATE(YEAR(EJ7),MONTH(EJ7)-11,DAY(EJ7)),$E$11:EJ11)</f>
        <v>0</v>
      </c>
      <c r="EK13" s="43">
        <f>SUMIF($E$7:EK7,"&gt;="&amp; DATE(YEAR(EK7),MONTH(EK7)-11,DAY(EK7)),$E$11:EK11)</f>
        <v>0</v>
      </c>
      <c r="EL13" s="43">
        <f>SUMIF($E$7:EL7,"&gt;="&amp; DATE(YEAR(EL7),MONTH(EL7)-11,DAY(EL7)),$E$11:EL11)</f>
        <v>0</v>
      </c>
      <c r="EM13" s="43">
        <f>SUMIF($E$7:EM7,"&gt;="&amp; DATE(YEAR(EM7),MONTH(EM7)-11,DAY(EM7)),$E$11:EM11)</f>
        <v>0</v>
      </c>
      <c r="EN13" s="43">
        <f>SUMIF($E$7:EN7,"&gt;="&amp; DATE(YEAR(EN7),MONTH(EN7)-11,DAY(EN7)),$E$11:EN11)</f>
        <v>0</v>
      </c>
      <c r="EO13" s="43">
        <f>SUMIF($E$7:EO7,"&gt;="&amp; DATE(YEAR(EO7),MONTH(EO7)-11,DAY(EO7)),$E$11:EO11)</f>
        <v>0</v>
      </c>
      <c r="EP13" s="43">
        <f>SUMIF($E$7:EP7,"&gt;="&amp; DATE(YEAR(EP7),MONTH(EP7)-11,DAY(EP7)),$E$11:EP11)</f>
        <v>0</v>
      </c>
      <c r="EQ13" s="43">
        <f>SUMIF($E$7:EQ7,"&gt;="&amp; DATE(YEAR(EQ7),MONTH(EQ7)-11,DAY(EQ7)),$E$11:EQ11)</f>
        <v>0</v>
      </c>
      <c r="ER13" s="43">
        <f>SUMIF($E$7:ER7,"&gt;="&amp; DATE(YEAR(ER7),MONTH(ER7)-11,DAY(ER7)),$E$11:ER11)</f>
        <v>0</v>
      </c>
      <c r="ES13" s="43">
        <f>SUMIF($E$7:ES7,"&gt;="&amp; DATE(YEAR(ES7),MONTH(ES7)-11,DAY(ES7)),$E$11:ES11)</f>
        <v>0</v>
      </c>
      <c r="ET13" s="43">
        <f>SUMIF($E$7:ET7,"&gt;="&amp; DATE(YEAR(ET7),MONTH(ET7)-11,DAY(ET7)),$E$11:ET11)</f>
        <v>0</v>
      </c>
      <c r="EU13" s="43">
        <f>SUMIF($E$7:EU7,"&gt;="&amp; DATE(YEAR(EU7),MONTH(EU7)-11,DAY(EU7)),$E$11:EU11)</f>
        <v>0</v>
      </c>
      <c r="EV13" s="43">
        <f>SUMIF($E$7:EV7,"&gt;="&amp; DATE(YEAR(EV7),MONTH(EV7)-11,DAY(EV7)),$E$11:EV11)</f>
        <v>0</v>
      </c>
      <c r="EW13" s="43">
        <f>SUMIF($E$7:EW7,"&gt;="&amp; DATE(YEAR(EW7),MONTH(EW7)-11,DAY(EW7)),$E$11:EW11)</f>
        <v>0</v>
      </c>
      <c r="EX13" s="43">
        <f>SUMIF($E$7:EX7,"&gt;="&amp; DATE(YEAR(EX7),MONTH(EX7)-11,DAY(EX7)),$E$11:EX11)</f>
        <v>0</v>
      </c>
      <c r="EY13" s="43">
        <f>SUMIF($E$7:EY7,"&gt;="&amp; DATE(YEAR(EY7),MONTH(EY7)-11,DAY(EY7)),$E$11:EY11)</f>
        <v>0</v>
      </c>
      <c r="EZ13" s="43">
        <f>SUMIF($E$7:EZ7,"&gt;="&amp; DATE(YEAR(EZ7),MONTH(EZ7)-11,DAY(EZ7)),$E$11:EZ11)</f>
        <v>0</v>
      </c>
      <c r="FA13" s="43">
        <f>SUMIF($E$7:FA7,"&gt;="&amp; DATE(YEAR(FA7),MONTH(FA7)-11,DAY(FA7)),$E$11:FA11)</f>
        <v>0</v>
      </c>
      <c r="FB13" s="43">
        <f>SUMIF($E$7:FB7,"&gt;="&amp; DATE(YEAR(FB7),MONTH(FB7)-11,DAY(FB7)),$E$11:FB11)</f>
        <v>0</v>
      </c>
      <c r="FC13" s="43">
        <f>SUMIF($E$7:FC7,"&gt;="&amp; DATE(YEAR(FC7),MONTH(FC7)-11,DAY(FC7)),$E$11:FC11)</f>
        <v>0</v>
      </c>
      <c r="FD13" s="43">
        <f>SUMIF($E$7:FD7,"&gt;="&amp; DATE(YEAR(FD7),MONTH(FD7)-11,DAY(FD7)),$E$11:FD11)</f>
        <v>0</v>
      </c>
      <c r="FE13" s="43">
        <f>SUMIF($E$7:FE7,"&gt;="&amp; DATE(YEAR(FE7),MONTH(FE7)-11,DAY(FE7)),$E$11:FE11)</f>
        <v>0</v>
      </c>
      <c r="FF13" s="43">
        <f>SUMIF($E$7:FF7,"&gt;="&amp; DATE(YEAR(FF7),MONTH(FF7)-11,DAY(FF7)),$E$11:FF11)</f>
        <v>0</v>
      </c>
      <c r="FG13" s="43">
        <f>SUMIF($E$7:FG7,"&gt;="&amp; DATE(YEAR(FG7),MONTH(FG7)-11,DAY(FG7)),$E$11:FG11)</f>
        <v>0</v>
      </c>
      <c r="FH13" s="43">
        <f>SUMIF($E$7:FH7,"&gt;="&amp; DATE(YEAR(FH7),MONTH(FH7)-11,DAY(FH7)),$E$11:FH11)</f>
        <v>0</v>
      </c>
      <c r="FI13" s="43">
        <f>SUMIF($E$7:FI7,"&gt;="&amp; DATE(YEAR(FI7),MONTH(FI7)-11,DAY(FI7)),$E$11:FI11)</f>
        <v>0</v>
      </c>
      <c r="FJ13" s="43">
        <f>SUMIF($E$7:FJ7,"&gt;="&amp; DATE(YEAR(FJ7),MONTH(FJ7)-11,DAY(FJ7)),$E$11:FJ11)</f>
        <v>0</v>
      </c>
      <c r="FK13" s="43">
        <f>SUMIF($E$7:FK7,"&gt;="&amp; DATE(YEAR(FK7),MONTH(FK7)-11,DAY(FK7)),$E$11:FK11)</f>
        <v>0</v>
      </c>
      <c r="FL13" s="43">
        <f>SUMIF($E$7:FL7,"&gt;="&amp; DATE(YEAR(FL7),MONTH(FL7)-11,DAY(FL7)),$E$11:FL11)</f>
        <v>0</v>
      </c>
      <c r="FM13" s="43">
        <f>SUMIF($E$7:FM7,"&gt;="&amp; DATE(YEAR(FM7),MONTH(FM7)-11,DAY(FM7)),$E$11:FM11)</f>
        <v>0</v>
      </c>
      <c r="FN13" s="43">
        <f>SUMIF($E$7:FN7,"&gt;="&amp; DATE(YEAR(FN7),MONTH(FN7)-11,DAY(FN7)),$E$11:FN11)</f>
        <v>0</v>
      </c>
      <c r="FO13" s="43">
        <f>SUMIF($E$7:FO7,"&gt;="&amp; DATE(YEAR(FO7),MONTH(FO7)-11,DAY(FO7)),$E$11:FO11)</f>
        <v>0</v>
      </c>
      <c r="FP13" s="43">
        <f>SUMIF($E$7:FP7,"&gt;="&amp; DATE(YEAR(FP7),MONTH(FP7)-11,DAY(FP7)),$E$11:FP11)</f>
        <v>0</v>
      </c>
      <c r="FQ13" s="43">
        <f>SUMIF($E$7:FQ7,"&gt;="&amp; DATE(YEAR(FQ7),MONTH(FQ7)-11,DAY(FQ7)),$E$11:FQ11)</f>
        <v>0</v>
      </c>
      <c r="FR13" s="43">
        <f>SUMIF($E$7:FR7,"&gt;="&amp; DATE(YEAR(FR7),MONTH(FR7)-11,DAY(FR7)),$E$11:FR11)</f>
        <v>0</v>
      </c>
      <c r="FS13" s="43">
        <f>SUMIF($E$7:FS7,"&gt;="&amp; DATE(YEAR(FS7),MONTH(FS7)-11,DAY(FS7)),$E$11:FS11)</f>
        <v>0</v>
      </c>
      <c r="FT13" s="43">
        <f>SUMIF($E$7:FT7,"&gt;="&amp; DATE(YEAR(FT7),MONTH(FT7)-11,DAY(FT7)),$E$11:FT11)</f>
        <v>0</v>
      </c>
      <c r="FU13" s="43">
        <f>SUMIF($E$7:FU7,"&gt;="&amp; DATE(YEAR(FU7),MONTH(FU7)-11,DAY(FU7)),$E$11:FU11)</f>
        <v>0</v>
      </c>
      <c r="FV13" s="43">
        <f>SUMIF($E$7:FV7,"&gt;="&amp; DATE(YEAR(FV7),MONTH(FV7)-11,DAY(FV7)),$E$11:FV11)</f>
        <v>0</v>
      </c>
      <c r="FW13" s="43">
        <f>SUMIF($E$7:FW7,"&gt;="&amp; DATE(YEAR(FW7),MONTH(FW7)-11,DAY(FW7)),$E$11:FW11)</f>
        <v>0</v>
      </c>
      <c r="FX13" s="43">
        <f>SUMIF($E$7:FX7,"&gt;="&amp; DATE(YEAR(FX7),MONTH(FX7)-11,DAY(FX7)),$E$11:FX11)</f>
        <v>0</v>
      </c>
      <c r="FY13" s="43">
        <f>SUMIF($E$7:FY7,"&gt;="&amp; DATE(YEAR(FY7),MONTH(FY7)-11,DAY(FY7)),$E$11:FY11)</f>
        <v>0</v>
      </c>
      <c r="FZ13" s="43">
        <f>SUMIF($E$7:FZ7,"&gt;="&amp; DATE(YEAR(FZ7),MONTH(FZ7)-11,DAY(FZ7)),$E$11:FZ11)</f>
        <v>0</v>
      </c>
      <c r="GA13" s="43">
        <f>SUMIF($E$7:GA7,"&gt;="&amp; DATE(YEAR(GA7),MONTH(GA7)-11,DAY(GA7)),$E$11:GA11)</f>
        <v>0</v>
      </c>
      <c r="GB13" s="43">
        <f>SUMIF($E$7:GB7,"&gt;="&amp; DATE(YEAR(GB7),MONTH(GB7)-11,DAY(GB7)),$E$11:GB11)</f>
        <v>0</v>
      </c>
      <c r="GC13" s="43">
        <f>SUMIF($E$7:GC7,"&gt;="&amp; DATE(YEAR(GC7),MONTH(GC7)-11,DAY(GC7)),$E$11:GC11)</f>
        <v>0</v>
      </c>
      <c r="GD13" s="43">
        <f>SUMIF($E$7:GD7,"&gt;="&amp; DATE(YEAR(GD7),MONTH(GD7)-11,DAY(GD7)),$E$11:GD11)</f>
        <v>0</v>
      </c>
      <c r="GE13" s="43">
        <f>SUMIF($E$7:GE7,"&gt;="&amp; DATE(YEAR(GE7),MONTH(GE7)-11,DAY(GE7)),$E$11:GE11)</f>
        <v>0</v>
      </c>
      <c r="GF13" s="43">
        <f>SUMIF($E$7:GF7,"&gt;="&amp; DATE(YEAR(GF7),MONTH(GF7)-11,DAY(GF7)),$E$11:GF11)</f>
        <v>0</v>
      </c>
      <c r="GG13" s="43">
        <f>SUMIF($E$7:GG7,"&gt;="&amp; DATE(YEAR(GG7),MONTH(GG7)-11,DAY(GG7)),$E$11:GG11)</f>
        <v>0</v>
      </c>
      <c r="GH13" s="43">
        <f>SUMIF($E$7:GH7,"&gt;="&amp; DATE(YEAR(GH7),MONTH(GH7)-11,DAY(GH7)),$E$11:GH11)</f>
        <v>0</v>
      </c>
      <c r="GI13" s="43">
        <f>SUMIF($E$7:GI7,"&gt;="&amp; DATE(YEAR(GI7),MONTH(GI7)-11,DAY(GI7)),$E$11:GI11)</f>
        <v>0</v>
      </c>
      <c r="GJ13" s="43">
        <f>SUMIF($E$7:GJ7,"&gt;="&amp; DATE(YEAR(GJ7),MONTH(GJ7)-11,DAY(GJ7)),$E$11:GJ11)</f>
        <v>0</v>
      </c>
      <c r="GK13" s="43">
        <f>SUMIF($E$7:GK7,"&gt;="&amp; DATE(YEAR(GK7),MONTH(GK7)-11,DAY(GK7)),$E$11:GK11)</f>
        <v>0</v>
      </c>
      <c r="GL13" s="43">
        <f>SUMIF($E$7:GL7,"&gt;="&amp; DATE(YEAR(GL7),MONTH(GL7)-11,DAY(GL7)),$E$11:GL11)</f>
        <v>0</v>
      </c>
      <c r="GM13" s="43">
        <f>SUMIF($E$7:GM7,"&gt;="&amp; DATE(YEAR(GM7),MONTH(GM7)-11,DAY(GM7)),$E$11:GM11)</f>
        <v>0</v>
      </c>
      <c r="GN13" s="43">
        <f>SUMIF($E$7:GN7,"&gt;="&amp; DATE(YEAR(GN7),MONTH(GN7)-11,DAY(GN7)),$E$11:GN11)</f>
        <v>0</v>
      </c>
      <c r="GO13" s="43">
        <f>SUMIF($E$7:GO7,"&gt;="&amp; DATE(YEAR(GO7),MONTH(GO7)-11,DAY(GO7)),$E$11:GO11)</f>
        <v>0</v>
      </c>
      <c r="GP13" s="43">
        <f>SUMIF($E$7:GP7,"&gt;="&amp; DATE(YEAR(GP7),MONTH(GP7)-11,DAY(GP7)),$E$11:GP11)</f>
        <v>0</v>
      </c>
      <c r="GQ13" s="43">
        <f>SUMIF($E$7:GQ7,"&gt;="&amp; DATE(YEAR(GQ7),MONTH(GQ7)-11,DAY(GQ7)),$E$11:GQ11)</f>
        <v>0</v>
      </c>
      <c r="GR13" s="43">
        <f>SUMIF($E$7:GR7,"&gt;="&amp; DATE(YEAR(GR7),MONTH(GR7)-11,DAY(GR7)),$E$11:GR11)</f>
        <v>0</v>
      </c>
      <c r="GS13" s="43">
        <f>SUMIF($E$7:GS7,"&gt;="&amp; DATE(YEAR(GS7),MONTH(GS7)-11,DAY(GS7)),$E$11:GS11)</f>
        <v>0</v>
      </c>
      <c r="GT13" s="43">
        <f>SUMIF($E$7:GT7,"&gt;="&amp; DATE(YEAR(GT7),MONTH(GT7)-11,DAY(GT7)),$E$11:GT11)</f>
        <v>0</v>
      </c>
      <c r="GU13" s="43">
        <f>SUMIF($E$7:GU7,"&gt;="&amp; DATE(YEAR(GU7),MONTH(GU7)-11,DAY(GU7)),$E$11:GU11)</f>
        <v>0</v>
      </c>
      <c r="GV13" s="43">
        <f>SUMIF($E$7:GV7,"&gt;="&amp; DATE(YEAR(GV7),MONTH(GV7)-11,DAY(GV7)),$E$11:GV11)</f>
        <v>0</v>
      </c>
      <c r="GW13" s="43">
        <f>SUMIF($E$7:GW7,"&gt;="&amp; DATE(YEAR(GW7),MONTH(GW7)-11,DAY(GW7)),$E$11:GW11)</f>
        <v>0</v>
      </c>
      <c r="GX13" s="43">
        <f>SUMIF($E$7:GX7,"&gt;="&amp; DATE(YEAR(GX7),MONTH(GX7)-11,DAY(GX7)),$E$11:GX11)</f>
        <v>0</v>
      </c>
      <c r="GY13" s="43">
        <f>SUMIF($E$7:GY7,"&gt;="&amp; DATE(YEAR(GY7),MONTH(GY7)-11,DAY(GY7)),$E$11:GY11)</f>
        <v>0</v>
      </c>
      <c r="GZ13" s="43">
        <f>SUMIF($E$7:GZ7,"&gt;="&amp; DATE(YEAR(GZ7),MONTH(GZ7)-11,DAY(GZ7)),$E$11:GZ11)</f>
        <v>0</v>
      </c>
      <c r="HA13" s="43">
        <f>SUMIF($E$7:HA7,"&gt;="&amp; DATE(YEAR(HA7),MONTH(HA7)-11,DAY(HA7)),$E$11:HA11)</f>
        <v>0</v>
      </c>
      <c r="HB13" s="43">
        <f>SUMIF($E$7:HB7,"&gt;="&amp; DATE(YEAR(HB7),MONTH(HB7)-11,DAY(HB7)),$E$11:HB11)</f>
        <v>0</v>
      </c>
      <c r="HC13" s="43">
        <f>SUMIF($E$7:HC7,"&gt;="&amp; DATE(YEAR(HC7),MONTH(HC7)-11,DAY(HC7)),$E$11:HC11)</f>
        <v>0</v>
      </c>
      <c r="HD13" s="43">
        <f>SUMIF($E$7:HD7,"&gt;="&amp; DATE(YEAR(HD7),MONTH(HD7)-11,DAY(HD7)),$E$11:HD11)</f>
        <v>0</v>
      </c>
      <c r="HE13" s="43">
        <f>SUMIF($E$7:HE7,"&gt;="&amp; DATE(YEAR(HE7),MONTH(HE7)-11,DAY(HE7)),$E$11:HE11)</f>
        <v>0</v>
      </c>
      <c r="HF13" s="43">
        <f>SUMIF($E$7:HF7,"&gt;="&amp; DATE(YEAR(HF7),MONTH(HF7)-11,DAY(HF7)),$E$11:HF11)</f>
        <v>0</v>
      </c>
      <c r="HG13" s="43">
        <f>SUMIF($E$7:HG7,"&gt;="&amp; DATE(YEAR(HG7),MONTH(HG7)-11,DAY(HG7)),$E$11:HG11)</f>
        <v>0</v>
      </c>
      <c r="HH13" s="43">
        <f>SUMIF($E$7:HH7,"&gt;="&amp; DATE(YEAR(HH7),MONTH(HH7)-11,DAY(HH7)),$E$11:HH11)</f>
        <v>0</v>
      </c>
      <c r="HI13" s="43">
        <f>SUMIF($E$7:HI7,"&gt;="&amp; DATE(YEAR(HI7),MONTH(HI7)-11,DAY(HI7)),$E$11:HI11)</f>
        <v>0</v>
      </c>
      <c r="HJ13" s="43">
        <f>SUMIF($E$7:HJ7,"&gt;="&amp; DATE(YEAR(HJ7),MONTH(HJ7)-11,DAY(HJ7)),$E$11:HJ11)</f>
        <v>0</v>
      </c>
      <c r="HK13" s="43">
        <f>SUMIF($E$7:HK7,"&gt;="&amp; DATE(YEAR(HK7),MONTH(HK7)-11,DAY(HK7)),$E$11:HK11)</f>
        <v>0</v>
      </c>
      <c r="HL13" s="43">
        <f>SUMIF($E$7:HL7,"&gt;="&amp; DATE(YEAR(HL7),MONTH(HL7)-11,DAY(HL7)),$E$11:HL11)</f>
        <v>0</v>
      </c>
      <c r="HM13" s="43">
        <f>SUMIF($E$7:HM7,"&gt;="&amp; DATE(YEAR(HM7),MONTH(HM7)-11,DAY(HM7)),$E$11:HM11)</f>
        <v>0</v>
      </c>
      <c r="HN13" s="43">
        <f>SUMIF($E$7:HN7,"&gt;="&amp; DATE(YEAR(HN7),MONTH(HN7)-11,DAY(HN7)),$E$11:HN11)</f>
        <v>0</v>
      </c>
      <c r="HO13" s="43">
        <f>SUMIF($E$7:HO7,"&gt;="&amp; DATE(YEAR(HO7),MONTH(HO7)-11,DAY(HO7)),$E$11:HO11)</f>
        <v>0</v>
      </c>
      <c r="HP13" s="43">
        <f>SUMIF($E$7:HP7,"&gt;="&amp; DATE(YEAR(HP7),MONTH(HP7)-11,DAY(HP7)),$E$11:HP11)</f>
        <v>0</v>
      </c>
      <c r="HQ13" s="43">
        <f>SUMIF($E$7:HQ7,"&gt;="&amp; DATE(YEAR(HQ7),MONTH(HQ7)-11,DAY(HQ7)),$E$11:HQ11)</f>
        <v>0</v>
      </c>
      <c r="HR13" s="43">
        <f>SUMIF($E$7:HR7,"&gt;="&amp; DATE(YEAR(HR7),MONTH(HR7)-11,DAY(HR7)),$E$11:HR11)</f>
        <v>0</v>
      </c>
      <c r="HS13" s="43">
        <f>SUMIF($E$7:HS7,"&gt;="&amp; DATE(YEAR(HS7),MONTH(HS7)-11,DAY(HS7)),$E$11:HS11)</f>
        <v>0</v>
      </c>
      <c r="HT13" s="43">
        <f>SUMIF($E$7:HT7,"&gt;="&amp; DATE(YEAR(HT7),MONTH(HT7)-11,DAY(HT7)),$E$11:HT11)</f>
        <v>0</v>
      </c>
      <c r="HU13" s="43">
        <f>SUMIF($E$7:HU7,"&gt;="&amp; DATE(YEAR(HU7),MONTH(HU7)-11,DAY(HU7)),$E$11:HU11)</f>
        <v>0</v>
      </c>
      <c r="HV13" s="43">
        <f>SUMIF($E$7:HV7,"&gt;="&amp; DATE(YEAR(HV7),MONTH(HV7)-11,DAY(HV7)),$E$11:HV11)</f>
        <v>0</v>
      </c>
      <c r="HW13" s="43">
        <f>SUMIF($E$7:HW7,"&gt;="&amp; DATE(YEAR(HW7),MONTH(HW7)-11,DAY(HW7)),$E$11:HW11)</f>
        <v>0</v>
      </c>
      <c r="HX13" s="43">
        <f>SUMIF($E$7:HX7,"&gt;="&amp; DATE(YEAR(HX7),MONTH(HX7)-11,DAY(HX7)),$E$11:HX11)</f>
        <v>0</v>
      </c>
      <c r="HY13" s="43">
        <f>SUMIF($E$7:HY7,"&gt;="&amp; DATE(YEAR(HY7),MONTH(HY7)-11,DAY(HY7)),$E$11:HY11)</f>
        <v>0</v>
      </c>
      <c r="HZ13" s="43">
        <f>SUMIF($E$7:HZ7,"&gt;="&amp; DATE(YEAR(HZ7),MONTH(HZ7)-11,DAY(HZ7)),$E$11:HZ11)</f>
        <v>0</v>
      </c>
      <c r="IA13" s="43">
        <f>SUMIF($E$7:IA7,"&gt;="&amp; DATE(YEAR(IA7),MONTH(IA7)-11,DAY(IA7)),$E$11:IA11)</f>
        <v>0</v>
      </c>
      <c r="IB13" s="43">
        <f>SUMIF($E$7:IB7,"&gt;="&amp; DATE(YEAR(IB7),MONTH(IB7)-11,DAY(IB7)),$E$11:IB11)</f>
        <v>0</v>
      </c>
      <c r="IC13" s="43">
        <f>SUMIF($E$7:IC7,"&gt;="&amp; DATE(YEAR(IC7),MONTH(IC7)-11,DAY(IC7)),$E$11:IC11)</f>
        <v>0</v>
      </c>
      <c r="ID13" s="43">
        <f>SUMIF($E$7:ID7,"&gt;="&amp; DATE(YEAR(ID7),MONTH(ID7)-11,DAY(ID7)),$E$11:ID11)</f>
        <v>0</v>
      </c>
      <c r="IE13" s="43">
        <f>SUMIF($E$7:IE7,"&gt;="&amp; DATE(YEAR(IE7),MONTH(IE7)-11,DAY(IE7)),$E$11:IE11)</f>
        <v>0</v>
      </c>
      <c r="IF13" s="43">
        <f>SUMIF($E$7:IF7,"&gt;="&amp; DATE(YEAR(IF7),MONTH(IF7)-11,DAY(IF7)),$E$11:IF11)</f>
        <v>0</v>
      </c>
      <c r="IG13" s="43">
        <f>SUMIF($E$7:IG7,"&gt;="&amp; DATE(YEAR(IG7),MONTH(IG7)-11,DAY(IG7)),$E$11:IG11)</f>
        <v>0</v>
      </c>
      <c r="IH13" s="43">
        <f>SUMIF($E$7:IH7,"&gt;="&amp; DATE(YEAR(IH7),MONTH(IH7)-11,DAY(IH7)),$E$11:IH11)</f>
        <v>0</v>
      </c>
      <c r="II13" s="43">
        <f>SUMIF($E$7:II7,"&gt;="&amp; DATE(YEAR(II7),MONTH(II7)-11,DAY(II7)),$E$11:II11)</f>
        <v>0</v>
      </c>
      <c r="IJ13" s="43">
        <f>SUMIF($E$7:IJ7,"&gt;="&amp; DATE(YEAR(IJ7),MONTH(IJ7)-11,DAY(IJ7)),$E$11:IJ11)</f>
        <v>0</v>
      </c>
      <c r="IK13" s="43">
        <f>SUMIF($E$7:IK7,"&gt;="&amp; DATE(YEAR(IK7),MONTH(IK7)-11,DAY(IK7)),$E$11:IK11)</f>
        <v>0</v>
      </c>
      <c r="IL13" s="43">
        <f>SUMIF($E$7:IL7,"&gt;="&amp; DATE(YEAR(IL7),MONTH(IL7)-11,DAY(IL7)),$E$11:IL11)</f>
        <v>0</v>
      </c>
      <c r="IM13" s="43">
        <f>SUMIF($E$7:IM7,"&gt;="&amp; DATE(YEAR(IM7),MONTH(IM7)-11,DAY(IM7)),$E$11:IM11)</f>
        <v>0</v>
      </c>
      <c r="IN13" s="43">
        <f>SUMIF($E$7:IN7,"&gt;="&amp; DATE(YEAR(IN7),MONTH(IN7)-11,DAY(IN7)),$E$11:IN11)</f>
        <v>0</v>
      </c>
      <c r="IO13" s="43">
        <f>SUMIF($E$7:IO7,"&gt;="&amp; DATE(YEAR(IO7),MONTH(IO7)-11,DAY(IO7)),$E$11:IO11)</f>
        <v>0</v>
      </c>
      <c r="IP13" s="43">
        <f>SUMIF($E$7:IP7,"&gt;="&amp; DATE(YEAR(IP7),MONTH(IP7)-11,DAY(IP7)),$E$11:IP11)</f>
        <v>0</v>
      </c>
      <c r="IQ13" s="43">
        <f>SUMIF($E$7:IQ7,"&gt;="&amp; DATE(YEAR(IQ7),MONTH(IQ7)-11,DAY(IQ7)),$E$11:IQ11)</f>
        <v>0</v>
      </c>
      <c r="IR13" s="43">
        <f>SUMIF($E$7:IR7,"&gt;="&amp; DATE(YEAR(IR7),MONTH(IR7)-11,DAY(IR7)),$E$11:IR11)</f>
        <v>0</v>
      </c>
      <c r="IS13" s="43">
        <f>SUMIF($E$7:IS7,"&gt;="&amp; DATE(YEAR(IS7),MONTH(IS7)-11,DAY(IS7)),$E$11:IS11)</f>
        <v>0</v>
      </c>
      <c r="IT13" s="43">
        <f>SUMIF($E$7:IT7,"&gt;="&amp; DATE(YEAR(IT7),MONTH(IT7)-11,DAY(IT7)),$E$11:IT11)</f>
        <v>0</v>
      </c>
      <c r="IU13" s="43">
        <f>SUMIF($E$7:IU7,"&gt;="&amp; DATE(YEAR(IU7),MONTH(IU7)-11,DAY(IU7)),$E$11:IU11)</f>
        <v>0</v>
      </c>
      <c r="IV13" s="43">
        <f>SUMIF($E$7:IV7,"&gt;="&amp; DATE(YEAR(IV7),MONTH(IV7)-11,DAY(IV7)),$E$11:IV11)</f>
        <v>0</v>
      </c>
      <c r="IW13" s="43">
        <f>SUMIF($E$7:IW7,"&gt;="&amp; DATE(YEAR(IW7),MONTH(IW7)-11,DAY(IW7)),$E$11:IW11)</f>
        <v>0</v>
      </c>
      <c r="IX13" s="43">
        <f>SUMIF($E$7:IX7,"&gt;="&amp; DATE(YEAR(IX7),MONTH(IX7)-11,DAY(IX7)),$E$11:IX11)</f>
        <v>0</v>
      </c>
      <c r="IY13" s="43">
        <f>SUMIF($E$7:IY7,"&gt;="&amp; DATE(YEAR(IY7),MONTH(IY7)-11,DAY(IY7)),$E$11:IY11)</f>
        <v>0</v>
      </c>
      <c r="IZ13" s="43">
        <f>SUMIF($E$7:IZ7,"&gt;="&amp; DATE(YEAR(IZ7),MONTH(IZ7)-11,DAY(IZ7)),$E$11:IZ11)</f>
        <v>0</v>
      </c>
      <c r="JA13" s="43">
        <f>SUMIF($E$7:JA7,"&gt;="&amp; DATE(YEAR(JA7),MONTH(JA7)-11,DAY(JA7)),$E$11:JA11)</f>
        <v>0</v>
      </c>
      <c r="JB13" s="43">
        <f>SUMIF($E$7:JB7,"&gt;="&amp; DATE(YEAR(JB7),MONTH(JB7)-11,DAY(JB7)),$E$11:JB11)</f>
        <v>0</v>
      </c>
      <c r="JC13" s="43">
        <f>SUMIF($E$7:JC7,"&gt;="&amp; DATE(YEAR(JC7),MONTH(JC7)-11,DAY(JC7)),$E$11:JC11)</f>
        <v>0</v>
      </c>
      <c r="JD13" s="43">
        <f>SUMIF($E$7:JD7,"&gt;="&amp; DATE(YEAR(JD7),MONTH(JD7)-11,DAY(JD7)),$E$11:JD11)</f>
        <v>0</v>
      </c>
      <c r="JE13" s="43">
        <f>SUMIF($E$7:JE7,"&gt;="&amp; DATE(YEAR(JE7),MONTH(JE7)-11,DAY(JE7)),$E$11:JE11)</f>
        <v>0</v>
      </c>
      <c r="JF13" s="43">
        <f>SUMIF($E$7:JF7,"&gt;="&amp; DATE(YEAR(JF7),MONTH(JF7)-11,DAY(JF7)),$E$11:JF11)</f>
        <v>0</v>
      </c>
      <c r="JG13" s="43">
        <f>SUMIF($E$7:JG7,"&gt;="&amp; DATE(YEAR(JG7),MONTH(JG7)-11,DAY(JG7)),$E$11:JG11)</f>
        <v>0</v>
      </c>
      <c r="JH13" s="43">
        <f>SUMIF($E$7:JH7,"&gt;="&amp; DATE(YEAR(JH7),MONTH(JH7)-11,DAY(JH7)),$E$11:JH11)</f>
        <v>0</v>
      </c>
      <c r="JI13" s="43">
        <f>SUMIF($E$7:JI7,"&gt;="&amp; DATE(YEAR(JI7),MONTH(JI7)-11,DAY(JI7)),$E$11:JI11)</f>
        <v>0</v>
      </c>
      <c r="JJ13" s="43">
        <f>SUMIF($E$7:JJ7,"&gt;="&amp; DATE(YEAR(JJ7),MONTH(JJ7)-11,DAY(JJ7)),$E$11:JJ11)</f>
        <v>0</v>
      </c>
      <c r="JK13" s="43">
        <f>SUMIF($E$7:JK7,"&gt;="&amp; DATE(YEAR(JK7),MONTH(JK7)-11,DAY(JK7)),$E$11:JK11)</f>
        <v>0</v>
      </c>
      <c r="JL13" s="43">
        <f>SUMIF($E$7:JL7,"&gt;="&amp; DATE(YEAR(JL7),MONTH(JL7)-11,DAY(JL7)),$E$11:JL11)</f>
        <v>0</v>
      </c>
      <c r="JM13" s="43">
        <f>SUMIF($E$7:JM7,"&gt;="&amp; DATE(YEAR(JM7),MONTH(JM7)-11,DAY(JM7)),$E$11:JM11)</f>
        <v>0</v>
      </c>
      <c r="JN13" s="43">
        <f>SUMIF($E$7:JN7,"&gt;="&amp; DATE(YEAR(JN7),MONTH(JN7)-11,DAY(JN7)),$E$11:JN11)</f>
        <v>0</v>
      </c>
      <c r="JO13" s="43">
        <f>SUMIF($E$7:JO7,"&gt;="&amp; DATE(YEAR(JO7),MONTH(JO7)-11,DAY(JO7)),$E$11:JO11)</f>
        <v>0</v>
      </c>
      <c r="JP13" s="43">
        <f>SUMIF($E$7:JP7,"&gt;="&amp; DATE(YEAR(JP7),MONTH(JP7)-11,DAY(JP7)),$E$11:JP11)</f>
        <v>0</v>
      </c>
      <c r="JQ13" s="43">
        <f>SUMIF($E$7:JQ7,"&gt;="&amp; DATE(YEAR(JQ7),MONTH(JQ7)-11,DAY(JQ7)),$E$11:JQ11)</f>
        <v>0</v>
      </c>
      <c r="JR13" s="43">
        <f>SUMIF($E$7:JR7,"&gt;="&amp; DATE(YEAR(JR7),MONTH(JR7)-11,DAY(JR7)),$E$11:JR11)</f>
        <v>0</v>
      </c>
      <c r="JS13" s="43">
        <f>SUMIF($E$7:JS7,"&gt;="&amp; DATE(YEAR(JS7),MONTH(JS7)-11,DAY(JS7)),$E$11:JS11)</f>
        <v>0</v>
      </c>
      <c r="JT13" s="43">
        <f>SUMIF($E$7:JT7,"&gt;="&amp; DATE(YEAR(JT7),MONTH(JT7)-11,DAY(JT7)),$E$11:JT11)</f>
        <v>0</v>
      </c>
      <c r="JU13" s="43">
        <f>SUMIF($E$7:JU7,"&gt;="&amp; DATE(YEAR(JU7),MONTH(JU7)-11,DAY(JU7)),$E$11:JU11)</f>
        <v>0</v>
      </c>
      <c r="JV13" s="43">
        <f>SUMIF($E$7:JV7,"&gt;="&amp; DATE(YEAR(JV7),MONTH(JV7)-11,DAY(JV7)),$E$11:JV11)</f>
        <v>0</v>
      </c>
      <c r="JW13" s="43">
        <f>SUMIF($E$7:JW7,"&gt;="&amp; DATE(YEAR(JW7),MONTH(JW7)-11,DAY(JW7)),$E$11:JW11)</f>
        <v>0</v>
      </c>
      <c r="JX13" s="43">
        <f>SUMIF($E$7:JX7,"&gt;="&amp; DATE(YEAR(JX7),MONTH(JX7)-11,DAY(JX7)),$E$11:JX11)</f>
        <v>0</v>
      </c>
      <c r="JY13" s="43">
        <f>SUMIF($E$7:JY7,"&gt;="&amp; DATE(YEAR(JY7),MONTH(JY7)-11,DAY(JY7)),$E$11:JY11)</f>
        <v>0</v>
      </c>
      <c r="JZ13" s="43">
        <f>SUMIF($E$7:JZ7,"&gt;="&amp; DATE(YEAR(JZ7),MONTH(JZ7)-11,DAY(JZ7)),$E$11:JZ11)</f>
        <v>0</v>
      </c>
      <c r="KA13" s="43">
        <f>SUMIF($E$7:KA7,"&gt;="&amp; DATE(YEAR(KA7),MONTH(KA7)-11,DAY(KA7)),$E$11:KA11)</f>
        <v>0</v>
      </c>
      <c r="KB13" s="43">
        <f>SUMIF($E$7:KB7,"&gt;="&amp; DATE(YEAR(KB7),MONTH(KB7)-11,DAY(KB7)),$E$11:KB11)</f>
        <v>0</v>
      </c>
      <c r="KC13" s="43">
        <f>SUMIF($E$7:KC7,"&gt;="&amp; DATE(YEAR(KC7),MONTH(KC7)-11,DAY(KC7)),$E$11:KC11)</f>
        <v>0</v>
      </c>
      <c r="KD13" s="43">
        <f>SUMIF($E$7:KD7,"&gt;="&amp; DATE(YEAR(KD7),MONTH(KD7)-11,DAY(KD7)),$E$11:KD11)</f>
        <v>0</v>
      </c>
      <c r="KE13" s="43">
        <f>SUMIF($E$7:KE7,"&gt;="&amp; DATE(YEAR(KE7),MONTH(KE7)-11,DAY(KE7)),$E$11:KE11)</f>
        <v>0</v>
      </c>
      <c r="KF13" s="43">
        <f>SUMIF($E$7:KF7,"&gt;="&amp; DATE(YEAR(KF7),MONTH(KF7)-11,DAY(KF7)),$E$11:KF11)</f>
        <v>0</v>
      </c>
      <c r="KG13" s="43">
        <f>SUMIF($E$7:KG7,"&gt;="&amp; DATE(YEAR(KG7),MONTH(KG7)-11,DAY(KG7)),$E$11:KG11)</f>
        <v>0</v>
      </c>
      <c r="KH13" s="43">
        <f>SUMIF($E$7:KH7,"&gt;="&amp; DATE(YEAR(KH7),MONTH(KH7)-11,DAY(KH7)),$E$11:KH11)</f>
        <v>0</v>
      </c>
      <c r="KI13" s="43">
        <f>SUMIF($E$7:KI7,"&gt;="&amp; DATE(YEAR(KI7),MONTH(KI7)-11,DAY(KI7)),$E$11:KI11)</f>
        <v>0</v>
      </c>
      <c r="KJ13" s="43">
        <f>SUMIF($E$7:KJ7,"&gt;="&amp; DATE(YEAR(KJ7),MONTH(KJ7)-11,DAY(KJ7)),$E$11:KJ11)</f>
        <v>0</v>
      </c>
      <c r="KK13" s="43">
        <f>SUMIF($E$7:KK7,"&gt;="&amp; DATE(YEAR(KK7),MONTH(KK7)-11,DAY(KK7)),$E$11:KK11)</f>
        <v>0</v>
      </c>
      <c r="KL13" s="43">
        <f>SUMIF($E$7:KL7,"&gt;="&amp; DATE(YEAR(KL7),MONTH(KL7)-11,DAY(KL7)),$E$11:KL11)</f>
        <v>0</v>
      </c>
      <c r="KM13" s="43">
        <f>SUMIF($E$7:KM7,"&gt;="&amp; DATE(YEAR(KM7),MONTH(KM7)-11,DAY(KM7)),$E$11:KM11)</f>
        <v>0</v>
      </c>
      <c r="KN13" s="43">
        <f>SUMIF($E$7:KN7,"&gt;="&amp; DATE(YEAR(KN7),MONTH(KN7)-11,DAY(KN7)),$E$11:KN11)</f>
        <v>0</v>
      </c>
      <c r="KO13" s="43">
        <f>SUMIF($E$7:KO7,"&gt;="&amp; DATE(YEAR(KO7),MONTH(KO7)-11,DAY(KO7)),$E$11:KO11)</f>
        <v>0</v>
      </c>
      <c r="KP13" s="43">
        <f>SUMIF($E$7:KP7,"&gt;="&amp; DATE(YEAR(KP7),MONTH(KP7)-11,DAY(KP7)),$E$11:KP11)</f>
        <v>0</v>
      </c>
      <c r="KQ13" s="43">
        <f>SUMIF($E$7:KQ7,"&gt;="&amp; DATE(YEAR(KQ7),MONTH(KQ7)-11,DAY(KQ7)),$E$11:KQ11)</f>
        <v>0</v>
      </c>
      <c r="KR13" s="43">
        <f>SUMIF($E$7:KR7,"&gt;="&amp; DATE(YEAR(KR7),MONTH(KR7)-11,DAY(KR7)),$E$11:KR11)</f>
        <v>0</v>
      </c>
      <c r="KS13" s="43">
        <f>SUMIF($E$7:KS7,"&gt;="&amp; DATE(YEAR(KS7),MONTH(KS7)-11,DAY(KS7)),$E$11:KS11)</f>
        <v>0</v>
      </c>
      <c r="KT13" s="43">
        <f>SUMIF($E$7:KT7,"&gt;="&amp; DATE(YEAR(KT7),MONTH(KT7)-11,DAY(KT7)),$E$11:KT11)</f>
        <v>0</v>
      </c>
      <c r="KU13" s="43">
        <f>SUMIF($E$7:KU7,"&gt;="&amp; DATE(YEAR(KU7),MONTH(KU7)-11,DAY(KU7)),$E$11:KU11)</f>
        <v>0</v>
      </c>
      <c r="KV13" s="43">
        <f>SUMIF($E$7:KV7,"&gt;="&amp; DATE(YEAR(KV7),MONTH(KV7)-11,DAY(KV7)),$E$11:KV11)</f>
        <v>0</v>
      </c>
      <c r="KW13" s="43">
        <f>SUMIF($E$7:KW7,"&gt;="&amp; DATE(YEAR(KW7),MONTH(KW7)-11,DAY(KW7)),$E$11:KW11)</f>
        <v>0</v>
      </c>
      <c r="KX13" s="43">
        <f>SUMIF($E$7:KX7,"&gt;="&amp; DATE(YEAR(KX7),MONTH(KX7)-11,DAY(KX7)),$E$11:KX11)</f>
        <v>0</v>
      </c>
      <c r="KY13" s="43">
        <f>SUMIF($E$7:KY7,"&gt;="&amp; DATE(YEAR(KY7),MONTH(KY7)-11,DAY(KY7)),$E$11:KY11)</f>
        <v>0</v>
      </c>
      <c r="KZ13" s="43">
        <f>SUMIF($E$7:KZ7,"&gt;="&amp; DATE(YEAR(KZ7),MONTH(KZ7)-11,DAY(KZ7)),$E$11:KZ11)</f>
        <v>0</v>
      </c>
      <c r="LA13" s="43">
        <f>SUMIF($E$7:LA7,"&gt;="&amp; DATE(YEAR(LA7),MONTH(LA7)-11,DAY(LA7)),$E$11:LA11)</f>
        <v>0</v>
      </c>
      <c r="LB13" s="43">
        <f>SUMIF($E$7:LB7,"&gt;="&amp; DATE(YEAR(LB7),MONTH(LB7)-11,DAY(LB7)),$E$11:LB11)</f>
        <v>0</v>
      </c>
      <c r="LC13" s="43">
        <f>SUMIF($E$7:LC7,"&gt;="&amp; DATE(YEAR(LC7),MONTH(LC7)-11,DAY(LC7)),$E$11:LC11)</f>
        <v>0</v>
      </c>
      <c r="LD13" s="43">
        <f>SUMIF($E$7:LD7,"&gt;="&amp; DATE(YEAR(LD7),MONTH(LD7)-11,DAY(LD7)),$E$11:LD11)</f>
        <v>0</v>
      </c>
      <c r="LE13" s="43">
        <f>SUMIF($E$7:LE7,"&gt;="&amp; DATE(YEAR(LE7),MONTH(LE7)-11,DAY(LE7)),$E$11:LE11)</f>
        <v>0</v>
      </c>
      <c r="LF13" s="43">
        <f>SUMIF($E$7:LF7,"&gt;="&amp; DATE(YEAR(LF7),MONTH(LF7)-11,DAY(LF7)),$E$11:LF11)</f>
        <v>0</v>
      </c>
      <c r="LG13" s="43">
        <f>SUMIF($E$7:LG7,"&gt;="&amp; DATE(YEAR(LG7),MONTH(LG7)-11,DAY(LG7)),$E$11:LG11)</f>
        <v>0</v>
      </c>
      <c r="LH13" s="43">
        <f>SUMIF($E$7:LH7,"&gt;="&amp; DATE(YEAR(LH7),MONTH(LH7)-11,DAY(LH7)),$E$11:LH11)</f>
        <v>0</v>
      </c>
      <c r="LI13" s="43">
        <f>SUMIF($E$7:LI7,"&gt;="&amp; DATE(YEAR(LI7),MONTH(LI7)-11,DAY(LI7)),$E$11:LI11)</f>
        <v>0</v>
      </c>
      <c r="LJ13" s="43">
        <f>SUMIF($E$7:LJ7,"&gt;="&amp; DATE(YEAR(LJ7),MONTH(LJ7)-11,DAY(LJ7)),$E$11:LJ11)</f>
        <v>0</v>
      </c>
      <c r="LK13" s="43">
        <f>SUMIF($E$7:LK7,"&gt;="&amp; DATE(YEAR(LK7),MONTH(LK7)-11,DAY(LK7)),$E$11:LK11)</f>
        <v>0</v>
      </c>
      <c r="LL13" s="43">
        <f>SUMIF($E$7:LL7,"&gt;="&amp; DATE(YEAR(LL7),MONTH(LL7)-11,DAY(LL7)),$E$11:LL11)</f>
        <v>0</v>
      </c>
      <c r="LM13" s="43">
        <f>SUMIF($E$7:LM7,"&gt;="&amp; DATE(YEAR(LM7),MONTH(LM7)-11,DAY(LM7)),$E$11:LM11)</f>
        <v>0</v>
      </c>
      <c r="LN13" s="43">
        <f>SUMIF($E$7:LN7,"&gt;="&amp; DATE(YEAR(LN7),MONTH(LN7)-11,DAY(LN7)),$E$11:LN11)</f>
        <v>0</v>
      </c>
      <c r="LO13" s="43">
        <f>SUMIF($E$7:LO7,"&gt;="&amp; DATE(YEAR(LO7),MONTH(LO7)-11,DAY(LO7)),$E$11:LO11)</f>
        <v>0</v>
      </c>
      <c r="LP13" s="43">
        <f>SUMIF($E$7:LP7,"&gt;="&amp; DATE(YEAR(LP7),MONTH(LP7)-11,DAY(LP7)),$E$11:LP11)</f>
        <v>0</v>
      </c>
      <c r="LQ13" s="43">
        <f>SUMIF($E$7:LQ7,"&gt;="&amp; DATE(YEAR(LQ7),MONTH(LQ7)-11,DAY(LQ7)),$E$11:LQ11)</f>
        <v>0</v>
      </c>
      <c r="LR13" s="43">
        <f>SUMIF($E$7:LR7,"&gt;="&amp; DATE(YEAR(LR7),MONTH(LR7)-11,DAY(LR7)),$E$11:LR11)</f>
        <v>0</v>
      </c>
      <c r="LS13" s="43">
        <f>SUMIF($E$7:LS7,"&gt;="&amp; DATE(YEAR(LS7),MONTH(LS7)-11,DAY(LS7)),$E$11:LS11)</f>
        <v>0</v>
      </c>
      <c r="LT13" s="43">
        <f>SUMIF($E$7:LT7,"&gt;="&amp; DATE(YEAR(LT7),MONTH(LT7)-11,DAY(LT7)),$E$11:LT11)</f>
        <v>0</v>
      </c>
      <c r="LU13" s="43">
        <f>SUMIF($E$7:LU7,"&gt;="&amp; DATE(YEAR(LU7),MONTH(LU7)-11,DAY(LU7)),$E$11:LU11)</f>
        <v>0</v>
      </c>
      <c r="LV13" s="43">
        <f>SUMIF($E$7:LV7,"&gt;="&amp; DATE(YEAR(LV7),MONTH(LV7)-11,DAY(LV7)),$E$11:LV11)</f>
        <v>0</v>
      </c>
      <c r="LW13" s="43">
        <f>SUMIF($E$7:LW7,"&gt;="&amp; DATE(YEAR(LW7),MONTH(LW7)-11,DAY(LW7)),$E$11:LW11)</f>
        <v>0</v>
      </c>
      <c r="LX13" s="43">
        <f>SUMIF($E$7:LX7,"&gt;="&amp; DATE(YEAR(LX7),MONTH(LX7)-11,DAY(LX7)),$E$11:LX11)</f>
        <v>0</v>
      </c>
      <c r="LY13" s="43">
        <f>SUMIF($E$7:LY7,"&gt;="&amp; DATE(YEAR(LY7),MONTH(LY7)-11,DAY(LY7)),$E$11:LY11)</f>
        <v>0</v>
      </c>
    </row>
    <row r="14" spans="1:339">
      <c r="B14" s="139" t="s">
        <v>2</v>
      </c>
      <c r="C14" s="140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MA14" s="5"/>
    </row>
    <row r="15" spans="1:339">
      <c r="B15" s="146" t="s">
        <v>3</v>
      </c>
      <c r="C15" s="40" t="s">
        <v>30</v>
      </c>
      <c r="E15" s="43">
        <f>SUM(E38:E40)</f>
        <v>0</v>
      </c>
      <c r="F15" s="43">
        <f t="shared" ref="F15:Q15" si="335">SUM(F38:F40)</f>
        <v>0</v>
      </c>
      <c r="G15" s="43">
        <f t="shared" si="335"/>
        <v>0</v>
      </c>
      <c r="H15" s="43">
        <f t="shared" si="335"/>
        <v>0</v>
      </c>
      <c r="I15" s="43">
        <f>SUM(I38:I40)</f>
        <v>0</v>
      </c>
      <c r="J15" s="43">
        <f t="shared" si="335"/>
        <v>0</v>
      </c>
      <c r="K15" s="43">
        <f t="shared" si="335"/>
        <v>0</v>
      </c>
      <c r="L15" s="43">
        <f t="shared" si="335"/>
        <v>0</v>
      </c>
      <c r="M15" s="43">
        <f t="shared" si="335"/>
        <v>0</v>
      </c>
      <c r="N15" s="43">
        <f t="shared" si="335"/>
        <v>0</v>
      </c>
      <c r="O15" s="43">
        <f t="shared" si="335"/>
        <v>0</v>
      </c>
      <c r="P15" s="43">
        <f t="shared" si="335"/>
        <v>0</v>
      </c>
      <c r="Q15" s="43">
        <f t="shared" si="335"/>
        <v>0</v>
      </c>
      <c r="R15" s="43">
        <f t="shared" ref="R15:AG15" si="336">SUM(R38:R40)</f>
        <v>0</v>
      </c>
      <c r="S15" s="43">
        <f t="shared" si="336"/>
        <v>0</v>
      </c>
      <c r="T15" s="43">
        <f t="shared" si="336"/>
        <v>0</v>
      </c>
      <c r="U15" s="43">
        <f t="shared" si="336"/>
        <v>0</v>
      </c>
      <c r="V15" s="43">
        <f t="shared" si="336"/>
        <v>0</v>
      </c>
      <c r="W15" s="43">
        <f t="shared" si="336"/>
        <v>0</v>
      </c>
      <c r="X15" s="43">
        <f t="shared" si="336"/>
        <v>0</v>
      </c>
      <c r="Y15" s="43">
        <f t="shared" si="336"/>
        <v>0</v>
      </c>
      <c r="Z15" s="43">
        <f t="shared" si="336"/>
        <v>0</v>
      </c>
      <c r="AA15" s="43">
        <f t="shared" si="336"/>
        <v>0</v>
      </c>
      <c r="AB15" s="43">
        <f t="shared" si="336"/>
        <v>0</v>
      </c>
      <c r="AC15" s="43">
        <f t="shared" si="336"/>
        <v>0</v>
      </c>
      <c r="AD15" s="43">
        <f t="shared" si="336"/>
        <v>0</v>
      </c>
      <c r="AE15" s="43">
        <f t="shared" si="336"/>
        <v>0</v>
      </c>
      <c r="AF15" s="43">
        <f t="shared" si="336"/>
        <v>0</v>
      </c>
      <c r="AG15" s="43">
        <f t="shared" si="336"/>
        <v>0</v>
      </c>
      <c r="AH15" s="43">
        <f t="shared" ref="AH15:CE15" si="337">SUM(AH38:AH40)</f>
        <v>0</v>
      </c>
      <c r="AI15" s="43">
        <f t="shared" si="337"/>
        <v>0</v>
      </c>
      <c r="AJ15" s="43">
        <f t="shared" si="337"/>
        <v>0</v>
      </c>
      <c r="AK15" s="43">
        <f t="shared" si="337"/>
        <v>0</v>
      </c>
      <c r="AL15" s="43">
        <f t="shared" si="337"/>
        <v>0</v>
      </c>
      <c r="AM15" s="43">
        <f t="shared" si="337"/>
        <v>0</v>
      </c>
      <c r="AN15" s="43">
        <f t="shared" si="337"/>
        <v>0</v>
      </c>
      <c r="AO15" s="43">
        <f t="shared" si="337"/>
        <v>0</v>
      </c>
      <c r="AP15" s="43">
        <f t="shared" si="337"/>
        <v>0</v>
      </c>
      <c r="AQ15" s="43">
        <f t="shared" si="337"/>
        <v>0</v>
      </c>
      <c r="AR15" s="43">
        <f t="shared" si="337"/>
        <v>0</v>
      </c>
      <c r="AS15" s="43">
        <f t="shared" si="337"/>
        <v>0</v>
      </c>
      <c r="AT15" s="43">
        <f t="shared" si="337"/>
        <v>0</v>
      </c>
      <c r="AU15" s="43">
        <f t="shared" si="337"/>
        <v>0</v>
      </c>
      <c r="AV15" s="43">
        <f t="shared" si="337"/>
        <v>0</v>
      </c>
      <c r="AW15" s="43">
        <f t="shared" si="337"/>
        <v>0</v>
      </c>
      <c r="AX15" s="43">
        <f t="shared" si="337"/>
        <v>0</v>
      </c>
      <c r="AY15" s="43">
        <f t="shared" si="337"/>
        <v>0</v>
      </c>
      <c r="AZ15" s="43">
        <f t="shared" si="337"/>
        <v>0</v>
      </c>
      <c r="BA15" s="43">
        <f t="shared" si="337"/>
        <v>0</v>
      </c>
      <c r="BB15" s="43">
        <f t="shared" si="337"/>
        <v>0</v>
      </c>
      <c r="BC15" s="43">
        <f t="shared" si="337"/>
        <v>0</v>
      </c>
      <c r="BD15" s="43">
        <f t="shared" si="337"/>
        <v>0</v>
      </c>
      <c r="BE15" s="43">
        <f t="shared" si="337"/>
        <v>0</v>
      </c>
      <c r="BF15" s="43">
        <f t="shared" si="337"/>
        <v>0</v>
      </c>
      <c r="BG15" s="43">
        <f t="shared" si="337"/>
        <v>0</v>
      </c>
      <c r="BH15" s="43">
        <f t="shared" si="337"/>
        <v>0</v>
      </c>
      <c r="BI15" s="43">
        <f t="shared" si="337"/>
        <v>0</v>
      </c>
      <c r="BJ15" s="43">
        <f t="shared" si="337"/>
        <v>0</v>
      </c>
      <c r="BK15" s="43">
        <f t="shared" si="337"/>
        <v>0</v>
      </c>
      <c r="BL15" s="43">
        <f t="shared" si="337"/>
        <v>0</v>
      </c>
      <c r="BM15" s="43">
        <f t="shared" si="337"/>
        <v>0</v>
      </c>
      <c r="BN15" s="43">
        <f t="shared" si="337"/>
        <v>0</v>
      </c>
      <c r="BO15" s="43">
        <f t="shared" si="337"/>
        <v>0</v>
      </c>
      <c r="BP15" s="43">
        <f t="shared" si="337"/>
        <v>0</v>
      </c>
      <c r="BQ15" s="43">
        <f t="shared" si="337"/>
        <v>0</v>
      </c>
      <c r="BR15" s="43">
        <f t="shared" si="337"/>
        <v>0</v>
      </c>
      <c r="BS15" s="43">
        <f t="shared" si="337"/>
        <v>0</v>
      </c>
      <c r="BT15" s="43">
        <f t="shared" si="337"/>
        <v>0</v>
      </c>
      <c r="BU15" s="43">
        <f t="shared" si="337"/>
        <v>0</v>
      </c>
      <c r="BV15" s="43">
        <f t="shared" si="337"/>
        <v>0</v>
      </c>
      <c r="BW15" s="43">
        <f t="shared" si="337"/>
        <v>0</v>
      </c>
      <c r="BX15" s="43">
        <f t="shared" si="337"/>
        <v>0</v>
      </c>
      <c r="BY15" s="43">
        <f t="shared" si="337"/>
        <v>0</v>
      </c>
      <c r="BZ15" s="43">
        <f t="shared" si="337"/>
        <v>0</v>
      </c>
      <c r="CA15" s="43">
        <f t="shared" si="337"/>
        <v>0</v>
      </c>
      <c r="CB15" s="43">
        <f t="shared" si="337"/>
        <v>0</v>
      </c>
      <c r="CC15" s="43">
        <f t="shared" si="337"/>
        <v>0</v>
      </c>
      <c r="CD15" s="43">
        <f t="shared" si="337"/>
        <v>0</v>
      </c>
      <c r="CE15" s="43">
        <f t="shared" si="337"/>
        <v>0</v>
      </c>
      <c r="CF15" s="43">
        <f t="shared" ref="CF15:EQ15" si="338">SUM(CF38:CF40)</f>
        <v>0</v>
      </c>
      <c r="CG15" s="43">
        <f t="shared" si="338"/>
        <v>0</v>
      </c>
      <c r="CH15" s="43">
        <f t="shared" si="338"/>
        <v>0</v>
      </c>
      <c r="CI15" s="43">
        <f t="shared" si="338"/>
        <v>0</v>
      </c>
      <c r="CJ15" s="43">
        <f t="shared" si="338"/>
        <v>0</v>
      </c>
      <c r="CK15" s="43">
        <f t="shared" si="338"/>
        <v>0</v>
      </c>
      <c r="CL15" s="43">
        <f t="shared" si="338"/>
        <v>0</v>
      </c>
      <c r="CM15" s="43">
        <f t="shared" si="338"/>
        <v>0</v>
      </c>
      <c r="CN15" s="43">
        <f t="shared" si="338"/>
        <v>0</v>
      </c>
      <c r="CO15" s="43">
        <f t="shared" si="338"/>
        <v>0</v>
      </c>
      <c r="CP15" s="43">
        <f t="shared" si="338"/>
        <v>0</v>
      </c>
      <c r="CQ15" s="43">
        <f t="shared" si="338"/>
        <v>0</v>
      </c>
      <c r="CR15" s="43">
        <f t="shared" si="338"/>
        <v>0</v>
      </c>
      <c r="CS15" s="43">
        <f t="shared" si="338"/>
        <v>0</v>
      </c>
      <c r="CT15" s="43">
        <f t="shared" si="338"/>
        <v>0</v>
      </c>
      <c r="CU15" s="43">
        <f t="shared" si="338"/>
        <v>0</v>
      </c>
      <c r="CV15" s="43">
        <f t="shared" si="338"/>
        <v>0</v>
      </c>
      <c r="CW15" s="43">
        <f t="shared" si="338"/>
        <v>0</v>
      </c>
      <c r="CX15" s="43">
        <f t="shared" si="338"/>
        <v>0</v>
      </c>
      <c r="CY15" s="43">
        <f t="shared" si="338"/>
        <v>0</v>
      </c>
      <c r="CZ15" s="43">
        <f t="shared" si="338"/>
        <v>0</v>
      </c>
      <c r="DA15" s="43">
        <f t="shared" si="338"/>
        <v>0</v>
      </c>
      <c r="DB15" s="43">
        <f t="shared" si="338"/>
        <v>0</v>
      </c>
      <c r="DC15" s="43">
        <f t="shared" si="338"/>
        <v>0</v>
      </c>
      <c r="DD15" s="43">
        <f t="shared" si="338"/>
        <v>0</v>
      </c>
      <c r="DE15" s="43">
        <f t="shared" si="338"/>
        <v>0</v>
      </c>
      <c r="DF15" s="43">
        <f t="shared" si="338"/>
        <v>0</v>
      </c>
      <c r="DG15" s="43">
        <f t="shared" si="338"/>
        <v>0</v>
      </c>
      <c r="DH15" s="43">
        <f t="shared" si="338"/>
        <v>0</v>
      </c>
      <c r="DI15" s="43">
        <f t="shared" si="338"/>
        <v>0</v>
      </c>
      <c r="DJ15" s="43">
        <f t="shared" si="338"/>
        <v>0</v>
      </c>
      <c r="DK15" s="43">
        <f t="shared" si="338"/>
        <v>0</v>
      </c>
      <c r="DL15" s="43">
        <f t="shared" si="338"/>
        <v>0</v>
      </c>
      <c r="DM15" s="43">
        <f t="shared" si="338"/>
        <v>0</v>
      </c>
      <c r="DN15" s="43">
        <f t="shared" si="338"/>
        <v>0</v>
      </c>
      <c r="DO15" s="43">
        <f t="shared" si="338"/>
        <v>0</v>
      </c>
      <c r="DP15" s="43">
        <f t="shared" si="338"/>
        <v>0</v>
      </c>
      <c r="DQ15" s="43">
        <f t="shared" si="338"/>
        <v>0</v>
      </c>
      <c r="DR15" s="43">
        <f t="shared" si="338"/>
        <v>0</v>
      </c>
      <c r="DS15" s="43">
        <f t="shared" si="338"/>
        <v>0</v>
      </c>
      <c r="DT15" s="43">
        <f t="shared" si="338"/>
        <v>0</v>
      </c>
      <c r="DU15" s="43">
        <f t="shared" si="338"/>
        <v>0</v>
      </c>
      <c r="DV15" s="43">
        <f t="shared" si="338"/>
        <v>0</v>
      </c>
      <c r="DW15" s="43">
        <f t="shared" si="338"/>
        <v>0</v>
      </c>
      <c r="DX15" s="43">
        <f t="shared" si="338"/>
        <v>0</v>
      </c>
      <c r="DY15" s="43">
        <f t="shared" si="338"/>
        <v>0</v>
      </c>
      <c r="DZ15" s="43">
        <f t="shared" si="338"/>
        <v>0</v>
      </c>
      <c r="EA15" s="43">
        <f t="shared" si="338"/>
        <v>0</v>
      </c>
      <c r="EB15" s="43">
        <f t="shared" si="338"/>
        <v>0</v>
      </c>
      <c r="EC15" s="43">
        <f t="shared" si="338"/>
        <v>0</v>
      </c>
      <c r="ED15" s="43">
        <f t="shared" si="338"/>
        <v>0</v>
      </c>
      <c r="EE15" s="43">
        <f t="shared" si="338"/>
        <v>0</v>
      </c>
      <c r="EF15" s="43">
        <f t="shared" si="338"/>
        <v>0</v>
      </c>
      <c r="EG15" s="43">
        <f t="shared" si="338"/>
        <v>0</v>
      </c>
      <c r="EH15" s="43">
        <f t="shared" si="338"/>
        <v>0</v>
      </c>
      <c r="EI15" s="43">
        <f t="shared" si="338"/>
        <v>0</v>
      </c>
      <c r="EJ15" s="43">
        <f t="shared" si="338"/>
        <v>0</v>
      </c>
      <c r="EK15" s="43">
        <f t="shared" si="338"/>
        <v>0</v>
      </c>
      <c r="EL15" s="43">
        <f t="shared" si="338"/>
        <v>0</v>
      </c>
      <c r="EM15" s="43">
        <f t="shared" si="338"/>
        <v>0</v>
      </c>
      <c r="EN15" s="43">
        <f t="shared" si="338"/>
        <v>0</v>
      </c>
      <c r="EO15" s="43">
        <f t="shared" si="338"/>
        <v>0</v>
      </c>
      <c r="EP15" s="43">
        <f t="shared" si="338"/>
        <v>0</v>
      </c>
      <c r="EQ15" s="43">
        <f t="shared" si="338"/>
        <v>0</v>
      </c>
      <c r="ER15" s="43">
        <f t="shared" ref="ER15:LY15" si="339">SUM(ER38:ER40)</f>
        <v>0</v>
      </c>
      <c r="ES15" s="43">
        <f t="shared" si="339"/>
        <v>0</v>
      </c>
      <c r="ET15" s="43">
        <f t="shared" si="339"/>
        <v>0</v>
      </c>
      <c r="EU15" s="43">
        <f t="shared" si="339"/>
        <v>0</v>
      </c>
      <c r="EV15" s="43">
        <f t="shared" si="339"/>
        <v>0</v>
      </c>
      <c r="EW15" s="43">
        <f t="shared" ref="EW15:HH15" si="340">SUM(EW38:EW40)</f>
        <v>0</v>
      </c>
      <c r="EX15" s="43">
        <f t="shared" si="340"/>
        <v>0</v>
      </c>
      <c r="EY15" s="43">
        <f t="shared" si="340"/>
        <v>0</v>
      </c>
      <c r="EZ15" s="43">
        <f t="shared" si="340"/>
        <v>0</v>
      </c>
      <c r="FA15" s="43">
        <f t="shared" si="340"/>
        <v>0</v>
      </c>
      <c r="FB15" s="43">
        <f t="shared" si="340"/>
        <v>0</v>
      </c>
      <c r="FC15" s="43">
        <f t="shared" si="340"/>
        <v>0</v>
      </c>
      <c r="FD15" s="43">
        <f t="shared" si="340"/>
        <v>0</v>
      </c>
      <c r="FE15" s="43">
        <f t="shared" si="340"/>
        <v>0</v>
      </c>
      <c r="FF15" s="43">
        <f t="shared" si="340"/>
        <v>0</v>
      </c>
      <c r="FG15" s="43">
        <f t="shared" si="340"/>
        <v>0</v>
      </c>
      <c r="FH15" s="43">
        <f t="shared" si="340"/>
        <v>0</v>
      </c>
      <c r="FI15" s="43">
        <f t="shared" si="340"/>
        <v>0</v>
      </c>
      <c r="FJ15" s="43">
        <f t="shared" si="340"/>
        <v>0</v>
      </c>
      <c r="FK15" s="43">
        <f t="shared" si="340"/>
        <v>0</v>
      </c>
      <c r="FL15" s="43">
        <f t="shared" si="340"/>
        <v>0</v>
      </c>
      <c r="FM15" s="43">
        <f t="shared" si="340"/>
        <v>0</v>
      </c>
      <c r="FN15" s="43">
        <f t="shared" si="340"/>
        <v>0</v>
      </c>
      <c r="FO15" s="43">
        <f t="shared" si="340"/>
        <v>0</v>
      </c>
      <c r="FP15" s="43">
        <f t="shared" si="340"/>
        <v>0</v>
      </c>
      <c r="FQ15" s="43">
        <f t="shared" si="340"/>
        <v>0</v>
      </c>
      <c r="FR15" s="43">
        <f t="shared" si="340"/>
        <v>0</v>
      </c>
      <c r="FS15" s="43">
        <f t="shared" si="340"/>
        <v>0</v>
      </c>
      <c r="FT15" s="43">
        <f t="shared" si="340"/>
        <v>0</v>
      </c>
      <c r="FU15" s="43">
        <f t="shared" si="340"/>
        <v>0</v>
      </c>
      <c r="FV15" s="43">
        <f t="shared" si="340"/>
        <v>0</v>
      </c>
      <c r="FW15" s="43">
        <f t="shared" si="340"/>
        <v>0</v>
      </c>
      <c r="FX15" s="43">
        <f t="shared" si="340"/>
        <v>0</v>
      </c>
      <c r="FY15" s="43">
        <f t="shared" si="340"/>
        <v>0</v>
      </c>
      <c r="FZ15" s="43">
        <f t="shared" si="340"/>
        <v>0</v>
      </c>
      <c r="GA15" s="43">
        <f t="shared" si="340"/>
        <v>0</v>
      </c>
      <c r="GB15" s="43">
        <f t="shared" si="340"/>
        <v>0</v>
      </c>
      <c r="GC15" s="43">
        <f t="shared" si="340"/>
        <v>0</v>
      </c>
      <c r="GD15" s="43">
        <f t="shared" si="340"/>
        <v>0</v>
      </c>
      <c r="GE15" s="43">
        <f t="shared" si="340"/>
        <v>0</v>
      </c>
      <c r="GF15" s="43">
        <f t="shared" si="340"/>
        <v>0</v>
      </c>
      <c r="GG15" s="43">
        <f t="shared" si="340"/>
        <v>0</v>
      </c>
      <c r="GH15" s="43">
        <f t="shared" si="340"/>
        <v>0</v>
      </c>
      <c r="GI15" s="43">
        <f t="shared" si="340"/>
        <v>0</v>
      </c>
      <c r="GJ15" s="43">
        <f t="shared" si="340"/>
        <v>0</v>
      </c>
      <c r="GK15" s="43">
        <f t="shared" si="340"/>
        <v>0</v>
      </c>
      <c r="GL15" s="43">
        <f t="shared" si="340"/>
        <v>0</v>
      </c>
      <c r="GM15" s="43">
        <f t="shared" si="340"/>
        <v>0</v>
      </c>
      <c r="GN15" s="43">
        <f t="shared" si="340"/>
        <v>0</v>
      </c>
      <c r="GO15" s="43">
        <f t="shared" si="340"/>
        <v>0</v>
      </c>
      <c r="GP15" s="43">
        <f t="shared" si="340"/>
        <v>0</v>
      </c>
      <c r="GQ15" s="43">
        <f t="shared" si="340"/>
        <v>0</v>
      </c>
      <c r="GR15" s="43">
        <f t="shared" si="340"/>
        <v>0</v>
      </c>
      <c r="GS15" s="43">
        <f t="shared" si="340"/>
        <v>0</v>
      </c>
      <c r="GT15" s="43">
        <f t="shared" si="340"/>
        <v>0</v>
      </c>
      <c r="GU15" s="43">
        <f t="shared" si="340"/>
        <v>0</v>
      </c>
      <c r="GV15" s="43">
        <f t="shared" si="340"/>
        <v>0</v>
      </c>
      <c r="GW15" s="43">
        <f t="shared" si="340"/>
        <v>0</v>
      </c>
      <c r="GX15" s="43">
        <f t="shared" si="340"/>
        <v>0</v>
      </c>
      <c r="GY15" s="43">
        <f t="shared" si="340"/>
        <v>0</v>
      </c>
      <c r="GZ15" s="43">
        <f t="shared" si="340"/>
        <v>0</v>
      </c>
      <c r="HA15" s="43">
        <f t="shared" si="340"/>
        <v>0</v>
      </c>
      <c r="HB15" s="43">
        <f t="shared" si="340"/>
        <v>0</v>
      </c>
      <c r="HC15" s="43">
        <f t="shared" si="340"/>
        <v>0</v>
      </c>
      <c r="HD15" s="43">
        <f t="shared" si="340"/>
        <v>0</v>
      </c>
      <c r="HE15" s="43">
        <f t="shared" si="340"/>
        <v>0</v>
      </c>
      <c r="HF15" s="43">
        <f t="shared" si="340"/>
        <v>0</v>
      </c>
      <c r="HG15" s="43">
        <f t="shared" si="340"/>
        <v>0</v>
      </c>
      <c r="HH15" s="43">
        <f t="shared" si="340"/>
        <v>0</v>
      </c>
      <c r="HI15" s="43">
        <f t="shared" ref="HI15:JT15" si="341">SUM(HI38:HI40)</f>
        <v>0</v>
      </c>
      <c r="HJ15" s="43">
        <f t="shared" si="341"/>
        <v>0</v>
      </c>
      <c r="HK15" s="43">
        <f t="shared" si="341"/>
        <v>0</v>
      </c>
      <c r="HL15" s="43">
        <f t="shared" si="341"/>
        <v>0</v>
      </c>
      <c r="HM15" s="43">
        <f t="shared" si="341"/>
        <v>0</v>
      </c>
      <c r="HN15" s="43">
        <f t="shared" si="341"/>
        <v>0</v>
      </c>
      <c r="HO15" s="43">
        <f t="shared" si="341"/>
        <v>0</v>
      </c>
      <c r="HP15" s="43">
        <f t="shared" si="341"/>
        <v>0</v>
      </c>
      <c r="HQ15" s="43">
        <f t="shared" si="341"/>
        <v>0</v>
      </c>
      <c r="HR15" s="43">
        <f t="shared" si="341"/>
        <v>0</v>
      </c>
      <c r="HS15" s="43">
        <f t="shared" si="341"/>
        <v>0</v>
      </c>
      <c r="HT15" s="43">
        <f t="shared" si="341"/>
        <v>0</v>
      </c>
      <c r="HU15" s="43">
        <f t="shared" si="341"/>
        <v>0</v>
      </c>
      <c r="HV15" s="43">
        <f t="shared" si="341"/>
        <v>0</v>
      </c>
      <c r="HW15" s="43">
        <f t="shared" si="341"/>
        <v>0</v>
      </c>
      <c r="HX15" s="43">
        <f t="shared" si="341"/>
        <v>0</v>
      </c>
      <c r="HY15" s="43">
        <f t="shared" si="341"/>
        <v>0</v>
      </c>
      <c r="HZ15" s="43">
        <f t="shared" si="341"/>
        <v>0</v>
      </c>
      <c r="IA15" s="43">
        <f t="shared" si="341"/>
        <v>0</v>
      </c>
      <c r="IB15" s="43">
        <f t="shared" si="341"/>
        <v>0</v>
      </c>
      <c r="IC15" s="43">
        <f t="shared" si="341"/>
        <v>0</v>
      </c>
      <c r="ID15" s="43">
        <f t="shared" si="341"/>
        <v>0</v>
      </c>
      <c r="IE15" s="43">
        <f t="shared" si="341"/>
        <v>0</v>
      </c>
      <c r="IF15" s="43">
        <f t="shared" si="341"/>
        <v>0</v>
      </c>
      <c r="IG15" s="43">
        <f t="shared" si="341"/>
        <v>0</v>
      </c>
      <c r="IH15" s="43">
        <f t="shared" si="341"/>
        <v>0</v>
      </c>
      <c r="II15" s="43">
        <f t="shared" si="341"/>
        <v>0</v>
      </c>
      <c r="IJ15" s="43">
        <f t="shared" si="341"/>
        <v>0</v>
      </c>
      <c r="IK15" s="43">
        <f t="shared" si="341"/>
        <v>0</v>
      </c>
      <c r="IL15" s="43">
        <f t="shared" si="341"/>
        <v>0</v>
      </c>
      <c r="IM15" s="43">
        <f t="shared" si="341"/>
        <v>0</v>
      </c>
      <c r="IN15" s="43">
        <f t="shared" si="341"/>
        <v>0</v>
      </c>
      <c r="IO15" s="43">
        <f t="shared" si="341"/>
        <v>0</v>
      </c>
      <c r="IP15" s="43">
        <f t="shared" si="341"/>
        <v>0</v>
      </c>
      <c r="IQ15" s="43">
        <f t="shared" si="341"/>
        <v>0</v>
      </c>
      <c r="IR15" s="43">
        <f t="shared" si="341"/>
        <v>0</v>
      </c>
      <c r="IS15" s="43">
        <f t="shared" si="341"/>
        <v>0</v>
      </c>
      <c r="IT15" s="43">
        <f t="shared" si="341"/>
        <v>0</v>
      </c>
      <c r="IU15" s="43">
        <f t="shared" si="341"/>
        <v>0</v>
      </c>
      <c r="IV15" s="43">
        <f t="shared" si="341"/>
        <v>0</v>
      </c>
      <c r="IW15" s="43">
        <f t="shared" si="341"/>
        <v>0</v>
      </c>
      <c r="IX15" s="43">
        <f t="shared" si="341"/>
        <v>0</v>
      </c>
      <c r="IY15" s="43">
        <f t="shared" si="341"/>
        <v>0</v>
      </c>
      <c r="IZ15" s="43">
        <f t="shared" si="341"/>
        <v>0</v>
      </c>
      <c r="JA15" s="43">
        <f t="shared" si="341"/>
        <v>0</v>
      </c>
      <c r="JB15" s="43">
        <f t="shared" si="341"/>
        <v>0</v>
      </c>
      <c r="JC15" s="43">
        <f t="shared" si="341"/>
        <v>0</v>
      </c>
      <c r="JD15" s="43">
        <f t="shared" si="341"/>
        <v>0</v>
      </c>
      <c r="JE15" s="43">
        <f t="shared" si="341"/>
        <v>0</v>
      </c>
      <c r="JF15" s="43">
        <f t="shared" si="341"/>
        <v>0</v>
      </c>
      <c r="JG15" s="43">
        <f t="shared" si="341"/>
        <v>0</v>
      </c>
      <c r="JH15" s="43">
        <f t="shared" si="341"/>
        <v>0</v>
      </c>
      <c r="JI15" s="43">
        <f t="shared" si="341"/>
        <v>0</v>
      </c>
      <c r="JJ15" s="43">
        <f t="shared" si="341"/>
        <v>0</v>
      </c>
      <c r="JK15" s="43">
        <f t="shared" si="341"/>
        <v>0</v>
      </c>
      <c r="JL15" s="43">
        <f t="shared" si="341"/>
        <v>0</v>
      </c>
      <c r="JM15" s="43">
        <f t="shared" si="341"/>
        <v>0</v>
      </c>
      <c r="JN15" s="43">
        <f t="shared" si="341"/>
        <v>0</v>
      </c>
      <c r="JO15" s="43">
        <f t="shared" si="341"/>
        <v>0</v>
      </c>
      <c r="JP15" s="43">
        <f t="shared" si="341"/>
        <v>0</v>
      </c>
      <c r="JQ15" s="43">
        <f t="shared" si="341"/>
        <v>0</v>
      </c>
      <c r="JR15" s="43">
        <f t="shared" si="341"/>
        <v>0</v>
      </c>
      <c r="JS15" s="43">
        <f t="shared" si="341"/>
        <v>0</v>
      </c>
      <c r="JT15" s="43">
        <f t="shared" si="341"/>
        <v>0</v>
      </c>
      <c r="JU15" s="43">
        <f t="shared" ref="JU15:LX15" si="342">SUM(JU38:JU40)</f>
        <v>0</v>
      </c>
      <c r="JV15" s="43">
        <f t="shared" si="342"/>
        <v>0</v>
      </c>
      <c r="JW15" s="43">
        <f t="shared" si="342"/>
        <v>0</v>
      </c>
      <c r="JX15" s="43">
        <f t="shared" si="342"/>
        <v>0</v>
      </c>
      <c r="JY15" s="43">
        <f t="shared" si="342"/>
        <v>0</v>
      </c>
      <c r="JZ15" s="43">
        <f t="shared" si="342"/>
        <v>0</v>
      </c>
      <c r="KA15" s="43">
        <f t="shared" si="342"/>
        <v>0</v>
      </c>
      <c r="KB15" s="43">
        <f t="shared" si="342"/>
        <v>0</v>
      </c>
      <c r="KC15" s="43">
        <f t="shared" si="342"/>
        <v>0</v>
      </c>
      <c r="KD15" s="43">
        <f t="shared" si="342"/>
        <v>0</v>
      </c>
      <c r="KE15" s="43">
        <f t="shared" si="342"/>
        <v>0</v>
      </c>
      <c r="KF15" s="43">
        <f t="shared" si="342"/>
        <v>0</v>
      </c>
      <c r="KG15" s="43">
        <f t="shared" si="342"/>
        <v>0</v>
      </c>
      <c r="KH15" s="43">
        <f t="shared" si="342"/>
        <v>0</v>
      </c>
      <c r="KI15" s="43">
        <f t="shared" si="342"/>
        <v>0</v>
      </c>
      <c r="KJ15" s="43">
        <f t="shared" si="342"/>
        <v>0</v>
      </c>
      <c r="KK15" s="43">
        <f t="shared" si="342"/>
        <v>0</v>
      </c>
      <c r="KL15" s="43">
        <f t="shared" si="342"/>
        <v>0</v>
      </c>
      <c r="KM15" s="43">
        <f t="shared" si="342"/>
        <v>0</v>
      </c>
      <c r="KN15" s="43">
        <f t="shared" si="342"/>
        <v>0</v>
      </c>
      <c r="KO15" s="43">
        <f t="shared" si="342"/>
        <v>0</v>
      </c>
      <c r="KP15" s="43">
        <f t="shared" si="342"/>
        <v>0</v>
      </c>
      <c r="KQ15" s="43">
        <f t="shared" si="342"/>
        <v>0</v>
      </c>
      <c r="KR15" s="43">
        <f t="shared" si="342"/>
        <v>0</v>
      </c>
      <c r="KS15" s="43">
        <f t="shared" si="342"/>
        <v>0</v>
      </c>
      <c r="KT15" s="43">
        <f t="shared" si="342"/>
        <v>0</v>
      </c>
      <c r="KU15" s="43">
        <f t="shared" si="342"/>
        <v>0</v>
      </c>
      <c r="KV15" s="43">
        <f t="shared" si="342"/>
        <v>0</v>
      </c>
      <c r="KW15" s="43">
        <f t="shared" si="342"/>
        <v>0</v>
      </c>
      <c r="KX15" s="43">
        <f t="shared" si="342"/>
        <v>0</v>
      </c>
      <c r="KY15" s="43">
        <f t="shared" si="342"/>
        <v>0</v>
      </c>
      <c r="KZ15" s="43">
        <f t="shared" si="342"/>
        <v>0</v>
      </c>
      <c r="LA15" s="43">
        <f t="shared" si="342"/>
        <v>0</v>
      </c>
      <c r="LB15" s="43">
        <f t="shared" si="342"/>
        <v>0</v>
      </c>
      <c r="LC15" s="43">
        <f t="shared" si="342"/>
        <v>0</v>
      </c>
      <c r="LD15" s="43">
        <f t="shared" si="342"/>
        <v>0</v>
      </c>
      <c r="LE15" s="43">
        <f t="shared" si="342"/>
        <v>0</v>
      </c>
      <c r="LF15" s="43">
        <f t="shared" si="342"/>
        <v>0</v>
      </c>
      <c r="LG15" s="43">
        <f t="shared" si="342"/>
        <v>0</v>
      </c>
      <c r="LH15" s="43">
        <f t="shared" si="342"/>
        <v>0</v>
      </c>
      <c r="LI15" s="43">
        <f t="shared" si="342"/>
        <v>0</v>
      </c>
      <c r="LJ15" s="43">
        <f t="shared" si="342"/>
        <v>0</v>
      </c>
      <c r="LK15" s="43">
        <f t="shared" si="342"/>
        <v>0</v>
      </c>
      <c r="LL15" s="43">
        <f t="shared" si="342"/>
        <v>0</v>
      </c>
      <c r="LM15" s="43">
        <f t="shared" si="342"/>
        <v>0</v>
      </c>
      <c r="LN15" s="43">
        <f t="shared" si="342"/>
        <v>0</v>
      </c>
      <c r="LO15" s="43">
        <f t="shared" si="342"/>
        <v>0</v>
      </c>
      <c r="LP15" s="43">
        <f t="shared" si="342"/>
        <v>0</v>
      </c>
      <c r="LQ15" s="43">
        <f t="shared" si="342"/>
        <v>0</v>
      </c>
      <c r="LR15" s="43">
        <f t="shared" si="342"/>
        <v>0</v>
      </c>
      <c r="LS15" s="43">
        <f t="shared" si="342"/>
        <v>0</v>
      </c>
      <c r="LT15" s="43">
        <f t="shared" si="342"/>
        <v>0</v>
      </c>
      <c r="LU15" s="43">
        <f t="shared" si="342"/>
        <v>0</v>
      </c>
      <c r="LV15" s="43">
        <f t="shared" si="342"/>
        <v>0</v>
      </c>
      <c r="LW15" s="43">
        <f t="shared" si="342"/>
        <v>0</v>
      </c>
      <c r="LX15" s="43">
        <f t="shared" si="342"/>
        <v>0</v>
      </c>
      <c r="LY15" s="43">
        <f t="shared" si="339"/>
        <v>0</v>
      </c>
      <c r="MA15" s="2">
        <f>SUM(E15:LY15)</f>
        <v>0</v>
      </c>
    </row>
    <row r="16" spans="1:339">
      <c r="B16" s="147"/>
      <c r="C16" s="51" t="s">
        <v>29</v>
      </c>
      <c r="E16" s="1" t="str">
        <f>IFERROR((((E15*1000000)/E12)*E4),"-")</f>
        <v>-</v>
      </c>
      <c r="F16" s="1" t="str">
        <f t="shared" ref="F16:BQ16" si="343">IFERROR((((F15*1000000)/F12)*F4),"-")</f>
        <v>-</v>
      </c>
      <c r="G16" s="1" t="str">
        <f t="shared" si="343"/>
        <v>-</v>
      </c>
      <c r="H16" s="1" t="str">
        <f t="shared" si="343"/>
        <v>-</v>
      </c>
      <c r="I16" s="1" t="str">
        <f t="shared" si="343"/>
        <v>-</v>
      </c>
      <c r="J16" s="1" t="str">
        <f t="shared" si="343"/>
        <v>-</v>
      </c>
      <c r="K16" s="1" t="str">
        <f t="shared" si="343"/>
        <v>-</v>
      </c>
      <c r="L16" s="1" t="str">
        <f t="shared" si="343"/>
        <v>-</v>
      </c>
      <c r="M16" s="1" t="str">
        <f t="shared" si="343"/>
        <v>-</v>
      </c>
      <c r="N16" s="1" t="str">
        <f t="shared" si="343"/>
        <v>-</v>
      </c>
      <c r="O16" s="1" t="str">
        <f t="shared" si="343"/>
        <v>-</v>
      </c>
      <c r="P16" s="1" t="str">
        <f t="shared" si="343"/>
        <v>-</v>
      </c>
      <c r="Q16" s="1" t="str">
        <f t="shared" si="343"/>
        <v>-</v>
      </c>
      <c r="R16" s="1" t="str">
        <f t="shared" si="343"/>
        <v>-</v>
      </c>
      <c r="S16" s="1" t="str">
        <f t="shared" si="343"/>
        <v>-</v>
      </c>
      <c r="T16" s="1" t="str">
        <f t="shared" si="343"/>
        <v>-</v>
      </c>
      <c r="U16" s="1" t="str">
        <f t="shared" si="343"/>
        <v>-</v>
      </c>
      <c r="V16" s="1" t="str">
        <f t="shared" si="343"/>
        <v>-</v>
      </c>
      <c r="W16" s="1" t="str">
        <f t="shared" si="343"/>
        <v>-</v>
      </c>
      <c r="X16" s="1" t="str">
        <f t="shared" si="343"/>
        <v>-</v>
      </c>
      <c r="Y16" s="1" t="str">
        <f t="shared" si="343"/>
        <v>-</v>
      </c>
      <c r="Z16" s="1" t="str">
        <f t="shared" si="343"/>
        <v>-</v>
      </c>
      <c r="AA16" s="1" t="str">
        <f t="shared" si="343"/>
        <v>-</v>
      </c>
      <c r="AB16" s="1" t="str">
        <f t="shared" si="343"/>
        <v>-</v>
      </c>
      <c r="AC16" s="1" t="str">
        <f t="shared" si="343"/>
        <v>-</v>
      </c>
      <c r="AD16" s="1" t="str">
        <f t="shared" si="343"/>
        <v>-</v>
      </c>
      <c r="AE16" s="1" t="str">
        <f t="shared" si="343"/>
        <v>-</v>
      </c>
      <c r="AF16" s="1" t="str">
        <f t="shared" si="343"/>
        <v>-</v>
      </c>
      <c r="AG16" s="1" t="str">
        <f t="shared" si="343"/>
        <v>-</v>
      </c>
      <c r="AH16" s="1" t="str">
        <f t="shared" si="343"/>
        <v>-</v>
      </c>
      <c r="AI16" s="1" t="str">
        <f t="shared" si="343"/>
        <v>-</v>
      </c>
      <c r="AJ16" s="1" t="str">
        <f t="shared" si="343"/>
        <v>-</v>
      </c>
      <c r="AK16" s="1" t="str">
        <f t="shared" si="343"/>
        <v>-</v>
      </c>
      <c r="AL16" s="1" t="str">
        <f t="shared" si="343"/>
        <v>-</v>
      </c>
      <c r="AM16" s="1" t="str">
        <f t="shared" si="343"/>
        <v>-</v>
      </c>
      <c r="AN16" s="1" t="str">
        <f t="shared" si="343"/>
        <v>-</v>
      </c>
      <c r="AO16" s="1" t="str">
        <f t="shared" si="343"/>
        <v>-</v>
      </c>
      <c r="AP16" s="1" t="str">
        <f t="shared" si="343"/>
        <v>-</v>
      </c>
      <c r="AQ16" s="1" t="str">
        <f t="shared" si="343"/>
        <v>-</v>
      </c>
      <c r="AR16" s="1" t="str">
        <f t="shared" si="343"/>
        <v>-</v>
      </c>
      <c r="AS16" s="1" t="str">
        <f t="shared" si="343"/>
        <v>-</v>
      </c>
      <c r="AT16" s="1" t="str">
        <f t="shared" si="343"/>
        <v>-</v>
      </c>
      <c r="AU16" s="1" t="str">
        <f t="shared" si="343"/>
        <v>-</v>
      </c>
      <c r="AV16" s="1" t="str">
        <f t="shared" si="343"/>
        <v>-</v>
      </c>
      <c r="AW16" s="1" t="str">
        <f t="shared" si="343"/>
        <v>-</v>
      </c>
      <c r="AX16" s="1" t="str">
        <f t="shared" si="343"/>
        <v>-</v>
      </c>
      <c r="AY16" s="1" t="str">
        <f t="shared" si="343"/>
        <v>-</v>
      </c>
      <c r="AZ16" s="1" t="str">
        <f t="shared" si="343"/>
        <v>-</v>
      </c>
      <c r="BA16" s="1" t="str">
        <f t="shared" si="343"/>
        <v>-</v>
      </c>
      <c r="BB16" s="1" t="str">
        <f t="shared" si="343"/>
        <v>-</v>
      </c>
      <c r="BC16" s="1" t="str">
        <f t="shared" si="343"/>
        <v>-</v>
      </c>
      <c r="BD16" s="1" t="str">
        <f t="shared" si="343"/>
        <v>-</v>
      </c>
      <c r="BE16" s="1" t="str">
        <f t="shared" si="343"/>
        <v>-</v>
      </c>
      <c r="BF16" s="1" t="str">
        <f t="shared" si="343"/>
        <v>-</v>
      </c>
      <c r="BG16" s="1" t="str">
        <f t="shared" si="343"/>
        <v>-</v>
      </c>
      <c r="BH16" s="1" t="str">
        <f t="shared" si="343"/>
        <v>-</v>
      </c>
      <c r="BI16" s="1" t="str">
        <f t="shared" si="343"/>
        <v>-</v>
      </c>
      <c r="BJ16" s="1" t="str">
        <f t="shared" si="343"/>
        <v>-</v>
      </c>
      <c r="BK16" s="1" t="str">
        <f t="shared" si="343"/>
        <v>-</v>
      </c>
      <c r="BL16" s="1" t="str">
        <f t="shared" si="343"/>
        <v>-</v>
      </c>
      <c r="BM16" s="1" t="str">
        <f t="shared" si="343"/>
        <v>-</v>
      </c>
      <c r="BN16" s="1" t="str">
        <f t="shared" si="343"/>
        <v>-</v>
      </c>
      <c r="BO16" s="1" t="str">
        <f t="shared" si="343"/>
        <v>-</v>
      </c>
      <c r="BP16" s="1" t="str">
        <f t="shared" si="343"/>
        <v>-</v>
      </c>
      <c r="BQ16" s="1" t="str">
        <f t="shared" si="343"/>
        <v>-</v>
      </c>
      <c r="BR16" s="1" t="str">
        <f t="shared" ref="BR16:EC16" si="344">IFERROR((((BR15*1000000)/BR12)*BR4),"-")</f>
        <v>-</v>
      </c>
      <c r="BS16" s="1" t="str">
        <f t="shared" si="344"/>
        <v>-</v>
      </c>
      <c r="BT16" s="1" t="str">
        <f t="shared" si="344"/>
        <v>-</v>
      </c>
      <c r="BU16" s="1" t="str">
        <f t="shared" si="344"/>
        <v>-</v>
      </c>
      <c r="BV16" s="1" t="str">
        <f t="shared" si="344"/>
        <v>-</v>
      </c>
      <c r="BW16" s="1" t="str">
        <f t="shared" si="344"/>
        <v>-</v>
      </c>
      <c r="BX16" s="1" t="str">
        <f t="shared" si="344"/>
        <v>-</v>
      </c>
      <c r="BY16" s="1" t="str">
        <f t="shared" si="344"/>
        <v>-</v>
      </c>
      <c r="BZ16" s="1" t="str">
        <f t="shared" si="344"/>
        <v>-</v>
      </c>
      <c r="CA16" s="1" t="str">
        <f t="shared" si="344"/>
        <v>-</v>
      </c>
      <c r="CB16" s="1" t="str">
        <f t="shared" si="344"/>
        <v>-</v>
      </c>
      <c r="CC16" s="1" t="str">
        <f t="shared" si="344"/>
        <v>-</v>
      </c>
      <c r="CD16" s="1" t="str">
        <f t="shared" si="344"/>
        <v>-</v>
      </c>
      <c r="CE16" s="1" t="str">
        <f t="shared" si="344"/>
        <v>-</v>
      </c>
      <c r="CF16" s="1" t="str">
        <f t="shared" si="344"/>
        <v>-</v>
      </c>
      <c r="CG16" s="1" t="str">
        <f t="shared" si="344"/>
        <v>-</v>
      </c>
      <c r="CH16" s="1" t="str">
        <f t="shared" si="344"/>
        <v>-</v>
      </c>
      <c r="CI16" s="1" t="str">
        <f t="shared" si="344"/>
        <v>-</v>
      </c>
      <c r="CJ16" s="1" t="str">
        <f t="shared" si="344"/>
        <v>-</v>
      </c>
      <c r="CK16" s="1" t="str">
        <f t="shared" si="344"/>
        <v>-</v>
      </c>
      <c r="CL16" s="1" t="str">
        <f t="shared" si="344"/>
        <v>-</v>
      </c>
      <c r="CM16" s="1" t="str">
        <f t="shared" si="344"/>
        <v>-</v>
      </c>
      <c r="CN16" s="1" t="str">
        <f t="shared" si="344"/>
        <v>-</v>
      </c>
      <c r="CO16" s="1" t="str">
        <f t="shared" si="344"/>
        <v>-</v>
      </c>
      <c r="CP16" s="1" t="str">
        <f t="shared" si="344"/>
        <v>-</v>
      </c>
      <c r="CQ16" s="1" t="str">
        <f t="shared" si="344"/>
        <v>-</v>
      </c>
      <c r="CR16" s="1" t="str">
        <f t="shared" si="344"/>
        <v>-</v>
      </c>
      <c r="CS16" s="1" t="str">
        <f t="shared" si="344"/>
        <v>-</v>
      </c>
      <c r="CT16" s="1" t="str">
        <f t="shared" si="344"/>
        <v>-</v>
      </c>
      <c r="CU16" s="1" t="str">
        <f t="shared" si="344"/>
        <v>-</v>
      </c>
      <c r="CV16" s="1" t="str">
        <f t="shared" si="344"/>
        <v>-</v>
      </c>
      <c r="CW16" s="1" t="str">
        <f t="shared" si="344"/>
        <v>-</v>
      </c>
      <c r="CX16" s="1" t="str">
        <f t="shared" si="344"/>
        <v>-</v>
      </c>
      <c r="CY16" s="1" t="str">
        <f t="shared" si="344"/>
        <v>-</v>
      </c>
      <c r="CZ16" s="1" t="str">
        <f t="shared" si="344"/>
        <v>-</v>
      </c>
      <c r="DA16" s="1" t="str">
        <f t="shared" si="344"/>
        <v>-</v>
      </c>
      <c r="DB16" s="1" t="str">
        <f t="shared" si="344"/>
        <v>-</v>
      </c>
      <c r="DC16" s="1" t="str">
        <f t="shared" si="344"/>
        <v>-</v>
      </c>
      <c r="DD16" s="1" t="str">
        <f t="shared" si="344"/>
        <v>-</v>
      </c>
      <c r="DE16" s="1" t="str">
        <f t="shared" si="344"/>
        <v>-</v>
      </c>
      <c r="DF16" s="1" t="str">
        <f t="shared" si="344"/>
        <v>-</v>
      </c>
      <c r="DG16" s="1" t="str">
        <f t="shared" si="344"/>
        <v>-</v>
      </c>
      <c r="DH16" s="1" t="str">
        <f t="shared" si="344"/>
        <v>-</v>
      </c>
      <c r="DI16" s="1" t="str">
        <f t="shared" si="344"/>
        <v>-</v>
      </c>
      <c r="DJ16" s="1" t="str">
        <f t="shared" si="344"/>
        <v>-</v>
      </c>
      <c r="DK16" s="1" t="str">
        <f t="shared" si="344"/>
        <v>-</v>
      </c>
      <c r="DL16" s="1" t="str">
        <f t="shared" si="344"/>
        <v>-</v>
      </c>
      <c r="DM16" s="1" t="str">
        <f t="shared" si="344"/>
        <v>-</v>
      </c>
      <c r="DN16" s="1" t="str">
        <f t="shared" si="344"/>
        <v>-</v>
      </c>
      <c r="DO16" s="1" t="str">
        <f t="shared" si="344"/>
        <v>-</v>
      </c>
      <c r="DP16" s="1" t="str">
        <f t="shared" si="344"/>
        <v>-</v>
      </c>
      <c r="DQ16" s="1" t="str">
        <f t="shared" si="344"/>
        <v>-</v>
      </c>
      <c r="DR16" s="1" t="str">
        <f t="shared" si="344"/>
        <v>-</v>
      </c>
      <c r="DS16" s="1" t="str">
        <f t="shared" si="344"/>
        <v>-</v>
      </c>
      <c r="DT16" s="1" t="str">
        <f t="shared" si="344"/>
        <v>-</v>
      </c>
      <c r="DU16" s="1" t="str">
        <f t="shared" si="344"/>
        <v>-</v>
      </c>
      <c r="DV16" s="1" t="str">
        <f t="shared" si="344"/>
        <v>-</v>
      </c>
      <c r="DW16" s="1" t="str">
        <f t="shared" si="344"/>
        <v>-</v>
      </c>
      <c r="DX16" s="1" t="str">
        <f t="shared" si="344"/>
        <v>-</v>
      </c>
      <c r="DY16" s="1" t="str">
        <f t="shared" si="344"/>
        <v>-</v>
      </c>
      <c r="DZ16" s="1" t="str">
        <f t="shared" si="344"/>
        <v>-</v>
      </c>
      <c r="EA16" s="1" t="str">
        <f t="shared" si="344"/>
        <v>-</v>
      </c>
      <c r="EB16" s="1" t="str">
        <f t="shared" si="344"/>
        <v>-</v>
      </c>
      <c r="EC16" s="1" t="str">
        <f t="shared" si="344"/>
        <v>-</v>
      </c>
      <c r="ED16" s="1" t="str">
        <f t="shared" ref="ED16:GO16" si="345">IFERROR((((ED15*1000000)/ED12)*ED4),"-")</f>
        <v>-</v>
      </c>
      <c r="EE16" s="1" t="str">
        <f t="shared" si="345"/>
        <v>-</v>
      </c>
      <c r="EF16" s="1" t="str">
        <f t="shared" si="345"/>
        <v>-</v>
      </c>
      <c r="EG16" s="1" t="str">
        <f t="shared" si="345"/>
        <v>-</v>
      </c>
      <c r="EH16" s="1" t="str">
        <f t="shared" si="345"/>
        <v>-</v>
      </c>
      <c r="EI16" s="1" t="str">
        <f t="shared" si="345"/>
        <v>-</v>
      </c>
      <c r="EJ16" s="1" t="str">
        <f t="shared" si="345"/>
        <v>-</v>
      </c>
      <c r="EK16" s="1" t="str">
        <f t="shared" si="345"/>
        <v>-</v>
      </c>
      <c r="EL16" s="1" t="str">
        <f t="shared" si="345"/>
        <v>-</v>
      </c>
      <c r="EM16" s="1" t="str">
        <f t="shared" si="345"/>
        <v>-</v>
      </c>
      <c r="EN16" s="1" t="str">
        <f t="shared" si="345"/>
        <v>-</v>
      </c>
      <c r="EO16" s="1" t="str">
        <f t="shared" si="345"/>
        <v>-</v>
      </c>
      <c r="EP16" s="1" t="str">
        <f t="shared" si="345"/>
        <v>-</v>
      </c>
      <c r="EQ16" s="1" t="str">
        <f t="shared" si="345"/>
        <v>-</v>
      </c>
      <c r="ER16" s="1" t="str">
        <f t="shared" si="345"/>
        <v>-</v>
      </c>
      <c r="ES16" s="1" t="str">
        <f t="shared" si="345"/>
        <v>-</v>
      </c>
      <c r="ET16" s="1" t="str">
        <f t="shared" si="345"/>
        <v>-</v>
      </c>
      <c r="EU16" s="1" t="str">
        <f t="shared" si="345"/>
        <v>-</v>
      </c>
      <c r="EV16" s="1" t="str">
        <f t="shared" si="345"/>
        <v>-</v>
      </c>
      <c r="EW16" s="1" t="str">
        <f t="shared" si="345"/>
        <v>-</v>
      </c>
      <c r="EX16" s="1" t="str">
        <f t="shared" si="345"/>
        <v>-</v>
      </c>
      <c r="EY16" s="1" t="str">
        <f t="shared" si="345"/>
        <v>-</v>
      </c>
      <c r="EZ16" s="1" t="str">
        <f t="shared" si="345"/>
        <v>-</v>
      </c>
      <c r="FA16" s="1" t="str">
        <f t="shared" si="345"/>
        <v>-</v>
      </c>
      <c r="FB16" s="1" t="str">
        <f t="shared" si="345"/>
        <v>-</v>
      </c>
      <c r="FC16" s="1" t="str">
        <f t="shared" si="345"/>
        <v>-</v>
      </c>
      <c r="FD16" s="1" t="str">
        <f t="shared" si="345"/>
        <v>-</v>
      </c>
      <c r="FE16" s="1" t="str">
        <f t="shared" si="345"/>
        <v>-</v>
      </c>
      <c r="FF16" s="1" t="str">
        <f t="shared" si="345"/>
        <v>-</v>
      </c>
      <c r="FG16" s="1" t="str">
        <f t="shared" si="345"/>
        <v>-</v>
      </c>
      <c r="FH16" s="1" t="str">
        <f t="shared" si="345"/>
        <v>-</v>
      </c>
      <c r="FI16" s="1" t="str">
        <f t="shared" si="345"/>
        <v>-</v>
      </c>
      <c r="FJ16" s="1" t="str">
        <f t="shared" si="345"/>
        <v>-</v>
      </c>
      <c r="FK16" s="1" t="str">
        <f t="shared" si="345"/>
        <v>-</v>
      </c>
      <c r="FL16" s="1" t="str">
        <f t="shared" si="345"/>
        <v>-</v>
      </c>
      <c r="FM16" s="1" t="str">
        <f t="shared" si="345"/>
        <v>-</v>
      </c>
      <c r="FN16" s="1" t="str">
        <f t="shared" si="345"/>
        <v>-</v>
      </c>
      <c r="FO16" s="1" t="str">
        <f t="shared" si="345"/>
        <v>-</v>
      </c>
      <c r="FP16" s="1" t="str">
        <f t="shared" si="345"/>
        <v>-</v>
      </c>
      <c r="FQ16" s="1" t="str">
        <f t="shared" si="345"/>
        <v>-</v>
      </c>
      <c r="FR16" s="1" t="str">
        <f t="shared" si="345"/>
        <v>-</v>
      </c>
      <c r="FS16" s="1" t="str">
        <f t="shared" si="345"/>
        <v>-</v>
      </c>
      <c r="FT16" s="1" t="str">
        <f t="shared" si="345"/>
        <v>-</v>
      </c>
      <c r="FU16" s="1" t="str">
        <f t="shared" si="345"/>
        <v>-</v>
      </c>
      <c r="FV16" s="1" t="str">
        <f t="shared" si="345"/>
        <v>-</v>
      </c>
      <c r="FW16" s="1" t="str">
        <f t="shared" si="345"/>
        <v>-</v>
      </c>
      <c r="FX16" s="1" t="str">
        <f t="shared" si="345"/>
        <v>-</v>
      </c>
      <c r="FY16" s="1" t="str">
        <f t="shared" si="345"/>
        <v>-</v>
      </c>
      <c r="FZ16" s="1" t="str">
        <f t="shared" si="345"/>
        <v>-</v>
      </c>
      <c r="GA16" s="1" t="str">
        <f t="shared" si="345"/>
        <v>-</v>
      </c>
      <c r="GB16" s="1" t="str">
        <f t="shared" si="345"/>
        <v>-</v>
      </c>
      <c r="GC16" s="1" t="str">
        <f t="shared" si="345"/>
        <v>-</v>
      </c>
      <c r="GD16" s="1" t="str">
        <f t="shared" si="345"/>
        <v>-</v>
      </c>
      <c r="GE16" s="1" t="str">
        <f t="shared" si="345"/>
        <v>-</v>
      </c>
      <c r="GF16" s="1" t="str">
        <f t="shared" si="345"/>
        <v>-</v>
      </c>
      <c r="GG16" s="1" t="str">
        <f t="shared" si="345"/>
        <v>-</v>
      </c>
      <c r="GH16" s="1" t="str">
        <f t="shared" si="345"/>
        <v>-</v>
      </c>
      <c r="GI16" s="1" t="str">
        <f t="shared" si="345"/>
        <v>-</v>
      </c>
      <c r="GJ16" s="1" t="str">
        <f t="shared" si="345"/>
        <v>-</v>
      </c>
      <c r="GK16" s="1" t="str">
        <f t="shared" si="345"/>
        <v>-</v>
      </c>
      <c r="GL16" s="1" t="str">
        <f t="shared" si="345"/>
        <v>-</v>
      </c>
      <c r="GM16" s="1" t="str">
        <f t="shared" si="345"/>
        <v>-</v>
      </c>
      <c r="GN16" s="1" t="str">
        <f t="shared" si="345"/>
        <v>-</v>
      </c>
      <c r="GO16" s="1" t="str">
        <f t="shared" si="345"/>
        <v>-</v>
      </c>
      <c r="GP16" s="1" t="str">
        <f t="shared" ref="GP16:JA16" si="346">IFERROR((((GP15*1000000)/GP12)*GP4),"-")</f>
        <v>-</v>
      </c>
      <c r="GQ16" s="1" t="str">
        <f t="shared" si="346"/>
        <v>-</v>
      </c>
      <c r="GR16" s="1" t="str">
        <f t="shared" si="346"/>
        <v>-</v>
      </c>
      <c r="GS16" s="1" t="str">
        <f t="shared" si="346"/>
        <v>-</v>
      </c>
      <c r="GT16" s="1" t="str">
        <f t="shared" si="346"/>
        <v>-</v>
      </c>
      <c r="GU16" s="1" t="str">
        <f t="shared" si="346"/>
        <v>-</v>
      </c>
      <c r="GV16" s="1" t="str">
        <f t="shared" si="346"/>
        <v>-</v>
      </c>
      <c r="GW16" s="1" t="str">
        <f t="shared" si="346"/>
        <v>-</v>
      </c>
      <c r="GX16" s="1" t="str">
        <f t="shared" si="346"/>
        <v>-</v>
      </c>
      <c r="GY16" s="1" t="str">
        <f t="shared" si="346"/>
        <v>-</v>
      </c>
      <c r="GZ16" s="1" t="str">
        <f t="shared" si="346"/>
        <v>-</v>
      </c>
      <c r="HA16" s="1" t="str">
        <f t="shared" si="346"/>
        <v>-</v>
      </c>
      <c r="HB16" s="1" t="str">
        <f t="shared" si="346"/>
        <v>-</v>
      </c>
      <c r="HC16" s="1" t="str">
        <f t="shared" si="346"/>
        <v>-</v>
      </c>
      <c r="HD16" s="1" t="str">
        <f t="shared" si="346"/>
        <v>-</v>
      </c>
      <c r="HE16" s="1" t="str">
        <f t="shared" si="346"/>
        <v>-</v>
      </c>
      <c r="HF16" s="1" t="str">
        <f t="shared" si="346"/>
        <v>-</v>
      </c>
      <c r="HG16" s="1" t="str">
        <f t="shared" si="346"/>
        <v>-</v>
      </c>
      <c r="HH16" s="1" t="str">
        <f t="shared" si="346"/>
        <v>-</v>
      </c>
      <c r="HI16" s="1" t="str">
        <f t="shared" si="346"/>
        <v>-</v>
      </c>
      <c r="HJ16" s="1" t="str">
        <f t="shared" si="346"/>
        <v>-</v>
      </c>
      <c r="HK16" s="1" t="str">
        <f t="shared" si="346"/>
        <v>-</v>
      </c>
      <c r="HL16" s="1" t="str">
        <f t="shared" si="346"/>
        <v>-</v>
      </c>
      <c r="HM16" s="1" t="str">
        <f t="shared" si="346"/>
        <v>-</v>
      </c>
      <c r="HN16" s="1" t="str">
        <f t="shared" si="346"/>
        <v>-</v>
      </c>
      <c r="HO16" s="1" t="str">
        <f t="shared" si="346"/>
        <v>-</v>
      </c>
      <c r="HP16" s="1" t="str">
        <f t="shared" si="346"/>
        <v>-</v>
      </c>
      <c r="HQ16" s="1" t="str">
        <f t="shared" si="346"/>
        <v>-</v>
      </c>
      <c r="HR16" s="1" t="str">
        <f t="shared" si="346"/>
        <v>-</v>
      </c>
      <c r="HS16" s="1" t="str">
        <f t="shared" si="346"/>
        <v>-</v>
      </c>
      <c r="HT16" s="1" t="str">
        <f t="shared" si="346"/>
        <v>-</v>
      </c>
      <c r="HU16" s="1" t="str">
        <f t="shared" si="346"/>
        <v>-</v>
      </c>
      <c r="HV16" s="1" t="str">
        <f t="shared" si="346"/>
        <v>-</v>
      </c>
      <c r="HW16" s="1" t="str">
        <f t="shared" si="346"/>
        <v>-</v>
      </c>
      <c r="HX16" s="1" t="str">
        <f t="shared" si="346"/>
        <v>-</v>
      </c>
      <c r="HY16" s="1" t="str">
        <f t="shared" si="346"/>
        <v>-</v>
      </c>
      <c r="HZ16" s="1" t="str">
        <f t="shared" si="346"/>
        <v>-</v>
      </c>
      <c r="IA16" s="1" t="str">
        <f t="shared" si="346"/>
        <v>-</v>
      </c>
      <c r="IB16" s="1" t="str">
        <f t="shared" si="346"/>
        <v>-</v>
      </c>
      <c r="IC16" s="1" t="str">
        <f t="shared" si="346"/>
        <v>-</v>
      </c>
      <c r="ID16" s="1" t="str">
        <f t="shared" si="346"/>
        <v>-</v>
      </c>
      <c r="IE16" s="1" t="str">
        <f t="shared" si="346"/>
        <v>-</v>
      </c>
      <c r="IF16" s="1" t="str">
        <f t="shared" si="346"/>
        <v>-</v>
      </c>
      <c r="IG16" s="1" t="str">
        <f t="shared" si="346"/>
        <v>-</v>
      </c>
      <c r="IH16" s="1" t="str">
        <f t="shared" si="346"/>
        <v>-</v>
      </c>
      <c r="II16" s="1" t="str">
        <f t="shared" si="346"/>
        <v>-</v>
      </c>
      <c r="IJ16" s="1" t="str">
        <f t="shared" si="346"/>
        <v>-</v>
      </c>
      <c r="IK16" s="1" t="str">
        <f t="shared" si="346"/>
        <v>-</v>
      </c>
      <c r="IL16" s="1" t="str">
        <f t="shared" si="346"/>
        <v>-</v>
      </c>
      <c r="IM16" s="1" t="str">
        <f t="shared" si="346"/>
        <v>-</v>
      </c>
      <c r="IN16" s="1" t="str">
        <f t="shared" si="346"/>
        <v>-</v>
      </c>
      <c r="IO16" s="1" t="str">
        <f t="shared" si="346"/>
        <v>-</v>
      </c>
      <c r="IP16" s="1" t="str">
        <f t="shared" si="346"/>
        <v>-</v>
      </c>
      <c r="IQ16" s="1" t="str">
        <f t="shared" si="346"/>
        <v>-</v>
      </c>
      <c r="IR16" s="1" t="str">
        <f t="shared" si="346"/>
        <v>-</v>
      </c>
      <c r="IS16" s="1" t="str">
        <f t="shared" si="346"/>
        <v>-</v>
      </c>
      <c r="IT16" s="1" t="str">
        <f t="shared" si="346"/>
        <v>-</v>
      </c>
      <c r="IU16" s="1" t="str">
        <f t="shared" si="346"/>
        <v>-</v>
      </c>
      <c r="IV16" s="1" t="str">
        <f t="shared" si="346"/>
        <v>-</v>
      </c>
      <c r="IW16" s="1" t="str">
        <f t="shared" si="346"/>
        <v>-</v>
      </c>
      <c r="IX16" s="1" t="str">
        <f t="shared" si="346"/>
        <v>-</v>
      </c>
      <c r="IY16" s="1" t="str">
        <f t="shared" si="346"/>
        <v>-</v>
      </c>
      <c r="IZ16" s="1" t="str">
        <f t="shared" si="346"/>
        <v>-</v>
      </c>
      <c r="JA16" s="1" t="str">
        <f t="shared" si="346"/>
        <v>-</v>
      </c>
      <c r="JB16" s="1" t="str">
        <f t="shared" ref="JB16:LM16" si="347">IFERROR((((JB15*1000000)/JB12)*JB4),"-")</f>
        <v>-</v>
      </c>
      <c r="JC16" s="1" t="str">
        <f t="shared" si="347"/>
        <v>-</v>
      </c>
      <c r="JD16" s="1" t="str">
        <f t="shared" si="347"/>
        <v>-</v>
      </c>
      <c r="JE16" s="1" t="str">
        <f t="shared" si="347"/>
        <v>-</v>
      </c>
      <c r="JF16" s="1" t="str">
        <f t="shared" si="347"/>
        <v>-</v>
      </c>
      <c r="JG16" s="1" t="str">
        <f t="shared" si="347"/>
        <v>-</v>
      </c>
      <c r="JH16" s="1" t="str">
        <f t="shared" si="347"/>
        <v>-</v>
      </c>
      <c r="JI16" s="1" t="str">
        <f t="shared" si="347"/>
        <v>-</v>
      </c>
      <c r="JJ16" s="1" t="str">
        <f t="shared" si="347"/>
        <v>-</v>
      </c>
      <c r="JK16" s="1" t="str">
        <f t="shared" si="347"/>
        <v>-</v>
      </c>
      <c r="JL16" s="1" t="str">
        <f t="shared" si="347"/>
        <v>-</v>
      </c>
      <c r="JM16" s="1" t="str">
        <f t="shared" si="347"/>
        <v>-</v>
      </c>
      <c r="JN16" s="1" t="str">
        <f t="shared" si="347"/>
        <v>-</v>
      </c>
      <c r="JO16" s="1" t="str">
        <f t="shared" si="347"/>
        <v>-</v>
      </c>
      <c r="JP16" s="1" t="str">
        <f t="shared" si="347"/>
        <v>-</v>
      </c>
      <c r="JQ16" s="1" t="str">
        <f t="shared" si="347"/>
        <v>-</v>
      </c>
      <c r="JR16" s="1" t="str">
        <f t="shared" si="347"/>
        <v>-</v>
      </c>
      <c r="JS16" s="1" t="str">
        <f t="shared" si="347"/>
        <v>-</v>
      </c>
      <c r="JT16" s="1" t="str">
        <f t="shared" si="347"/>
        <v>-</v>
      </c>
      <c r="JU16" s="1" t="str">
        <f t="shared" si="347"/>
        <v>-</v>
      </c>
      <c r="JV16" s="1" t="str">
        <f t="shared" si="347"/>
        <v>-</v>
      </c>
      <c r="JW16" s="1" t="str">
        <f t="shared" si="347"/>
        <v>-</v>
      </c>
      <c r="JX16" s="1" t="str">
        <f t="shared" si="347"/>
        <v>-</v>
      </c>
      <c r="JY16" s="1" t="str">
        <f t="shared" si="347"/>
        <v>-</v>
      </c>
      <c r="JZ16" s="1" t="str">
        <f t="shared" si="347"/>
        <v>-</v>
      </c>
      <c r="KA16" s="1" t="str">
        <f t="shared" si="347"/>
        <v>-</v>
      </c>
      <c r="KB16" s="1" t="str">
        <f t="shared" si="347"/>
        <v>-</v>
      </c>
      <c r="KC16" s="1" t="str">
        <f t="shared" si="347"/>
        <v>-</v>
      </c>
      <c r="KD16" s="1" t="str">
        <f t="shared" si="347"/>
        <v>-</v>
      </c>
      <c r="KE16" s="1" t="str">
        <f t="shared" si="347"/>
        <v>-</v>
      </c>
      <c r="KF16" s="1" t="str">
        <f t="shared" si="347"/>
        <v>-</v>
      </c>
      <c r="KG16" s="1" t="str">
        <f t="shared" si="347"/>
        <v>-</v>
      </c>
      <c r="KH16" s="1" t="str">
        <f t="shared" si="347"/>
        <v>-</v>
      </c>
      <c r="KI16" s="1" t="str">
        <f t="shared" si="347"/>
        <v>-</v>
      </c>
      <c r="KJ16" s="1" t="str">
        <f t="shared" si="347"/>
        <v>-</v>
      </c>
      <c r="KK16" s="1" t="str">
        <f t="shared" si="347"/>
        <v>-</v>
      </c>
      <c r="KL16" s="1" t="str">
        <f t="shared" si="347"/>
        <v>-</v>
      </c>
      <c r="KM16" s="1" t="str">
        <f t="shared" si="347"/>
        <v>-</v>
      </c>
      <c r="KN16" s="1" t="str">
        <f t="shared" si="347"/>
        <v>-</v>
      </c>
      <c r="KO16" s="1" t="str">
        <f t="shared" si="347"/>
        <v>-</v>
      </c>
      <c r="KP16" s="1" t="str">
        <f t="shared" si="347"/>
        <v>-</v>
      </c>
      <c r="KQ16" s="1" t="str">
        <f t="shared" si="347"/>
        <v>-</v>
      </c>
      <c r="KR16" s="1" t="str">
        <f t="shared" si="347"/>
        <v>-</v>
      </c>
      <c r="KS16" s="1" t="str">
        <f t="shared" si="347"/>
        <v>-</v>
      </c>
      <c r="KT16" s="1" t="str">
        <f t="shared" si="347"/>
        <v>-</v>
      </c>
      <c r="KU16" s="1" t="str">
        <f t="shared" si="347"/>
        <v>-</v>
      </c>
      <c r="KV16" s="1" t="str">
        <f t="shared" si="347"/>
        <v>-</v>
      </c>
      <c r="KW16" s="1" t="str">
        <f t="shared" si="347"/>
        <v>-</v>
      </c>
      <c r="KX16" s="1" t="str">
        <f t="shared" si="347"/>
        <v>-</v>
      </c>
      <c r="KY16" s="1" t="str">
        <f t="shared" si="347"/>
        <v>-</v>
      </c>
      <c r="KZ16" s="1" t="str">
        <f t="shared" si="347"/>
        <v>-</v>
      </c>
      <c r="LA16" s="1" t="str">
        <f t="shared" si="347"/>
        <v>-</v>
      </c>
      <c r="LB16" s="1" t="str">
        <f t="shared" si="347"/>
        <v>-</v>
      </c>
      <c r="LC16" s="1" t="str">
        <f t="shared" si="347"/>
        <v>-</v>
      </c>
      <c r="LD16" s="1" t="str">
        <f t="shared" si="347"/>
        <v>-</v>
      </c>
      <c r="LE16" s="1" t="str">
        <f t="shared" si="347"/>
        <v>-</v>
      </c>
      <c r="LF16" s="1" t="str">
        <f t="shared" si="347"/>
        <v>-</v>
      </c>
      <c r="LG16" s="1" t="str">
        <f t="shared" si="347"/>
        <v>-</v>
      </c>
      <c r="LH16" s="1" t="str">
        <f t="shared" si="347"/>
        <v>-</v>
      </c>
      <c r="LI16" s="1" t="str">
        <f t="shared" si="347"/>
        <v>-</v>
      </c>
      <c r="LJ16" s="1" t="str">
        <f t="shared" si="347"/>
        <v>-</v>
      </c>
      <c r="LK16" s="1" t="str">
        <f t="shared" si="347"/>
        <v>-</v>
      </c>
      <c r="LL16" s="1" t="str">
        <f t="shared" si="347"/>
        <v>-</v>
      </c>
      <c r="LM16" s="1" t="str">
        <f t="shared" si="347"/>
        <v>-</v>
      </c>
      <c r="LN16" s="1" t="str">
        <f t="shared" ref="LN16:LY16" si="348">IFERROR((((LN15*1000000)/LN12)*LN4),"-")</f>
        <v>-</v>
      </c>
      <c r="LO16" s="1" t="str">
        <f t="shared" si="348"/>
        <v>-</v>
      </c>
      <c r="LP16" s="1" t="str">
        <f t="shared" si="348"/>
        <v>-</v>
      </c>
      <c r="LQ16" s="1" t="str">
        <f t="shared" si="348"/>
        <v>-</v>
      </c>
      <c r="LR16" s="1" t="str">
        <f t="shared" si="348"/>
        <v>-</v>
      </c>
      <c r="LS16" s="1" t="str">
        <f t="shared" si="348"/>
        <v>-</v>
      </c>
      <c r="LT16" s="1" t="str">
        <f t="shared" si="348"/>
        <v>-</v>
      </c>
      <c r="LU16" s="1" t="str">
        <f t="shared" si="348"/>
        <v>-</v>
      </c>
      <c r="LV16" s="1" t="str">
        <f t="shared" si="348"/>
        <v>-</v>
      </c>
      <c r="LW16" s="1" t="str">
        <f t="shared" si="348"/>
        <v>-</v>
      </c>
      <c r="LX16" s="1" t="str">
        <f t="shared" si="348"/>
        <v>-</v>
      </c>
      <c r="LY16" s="1" t="str">
        <f t="shared" si="348"/>
        <v>-</v>
      </c>
      <c r="MA16" s="12" t="str">
        <f>IFERROR((MA15*1000000)/MA11,"-")</f>
        <v>-</v>
      </c>
    </row>
    <row r="17" spans="2:339">
      <c r="B17" s="147"/>
      <c r="C17" s="40" t="s">
        <v>53</v>
      </c>
      <c r="E17" s="43">
        <f>SUMIFS($D$15:E15,$D$6:E6,(KPI!E8-'Info Sheet'!$D$22)+1)</f>
        <v>0</v>
      </c>
      <c r="F17" s="43">
        <f>SUMIFS($D$15:F15,$D$6:F6,(KPI!F8-'Info Sheet'!$D$22)+1)</f>
        <v>0</v>
      </c>
      <c r="G17" s="43">
        <f>SUMIFS($D$15:G15,$D$6:G6,(KPI!G8-'Info Sheet'!$D$22)+1)</f>
        <v>0</v>
      </c>
      <c r="H17" s="43">
        <f>SUMIFS($D$15:H15,$D$6:H6,(KPI!H8-'Info Sheet'!$D$22)+1)</f>
        <v>0</v>
      </c>
      <c r="I17" s="43">
        <f>SUMIFS($D$15:I15,$D$6:I6,(KPI!I8-'Info Sheet'!$D$22)+1)</f>
        <v>0</v>
      </c>
      <c r="J17" s="43">
        <f>SUMIFS($D$15:J15,$D$6:J6,(KPI!J8-'Info Sheet'!$D$22)+1)</f>
        <v>0</v>
      </c>
      <c r="K17" s="43">
        <f>SUMIFS($D$15:K15,$D$6:K6,(KPI!K8-'Info Sheet'!$D$22)+1)</f>
        <v>0</v>
      </c>
      <c r="L17" s="43">
        <f>SUMIFS($D$15:L15,$D$6:L6,(KPI!L8-'Info Sheet'!$D$22)+1)</f>
        <v>0</v>
      </c>
      <c r="M17" s="43">
        <f>SUMIFS($D$15:M15,$D$6:M6,(KPI!M8-'Info Sheet'!$D$22)+1)</f>
        <v>0</v>
      </c>
      <c r="N17" s="43">
        <f>SUMIFS($D$15:N15,$D$6:N6,(KPI!N8-'Info Sheet'!$D$22)+1)</f>
        <v>0</v>
      </c>
      <c r="O17" s="43">
        <f>SUMIFS($D$15:O15,$D$6:O6,(KPI!O8-'Info Sheet'!$D$22)+1)</f>
        <v>0</v>
      </c>
      <c r="P17" s="43">
        <f>SUMIFS($D$15:P15,$D$6:P6,(KPI!P8-'Info Sheet'!$D$22)+1)</f>
        <v>0</v>
      </c>
      <c r="Q17" s="43">
        <f>SUMIFS($D$15:Q15,$D$6:Q6,(KPI!Q8-'Info Sheet'!$D$22)+1)</f>
        <v>0</v>
      </c>
      <c r="R17" s="43">
        <f>SUMIFS($D$15:R15,$D$6:R6,(KPI!R8-'Info Sheet'!$D$22)+1)</f>
        <v>0</v>
      </c>
      <c r="S17" s="43">
        <f>SUMIFS($D$15:S15,$D$6:S6,(KPI!S8-'Info Sheet'!$D$22)+1)</f>
        <v>0</v>
      </c>
      <c r="T17" s="43">
        <f>SUMIFS($D$15:T15,$D$6:T6,(KPI!T8-'Info Sheet'!$D$22)+1)</f>
        <v>0</v>
      </c>
      <c r="U17" s="43">
        <f>SUMIFS($D$15:U15,$D$6:U6,(KPI!U8-'Info Sheet'!$D$22)+1)</f>
        <v>0</v>
      </c>
      <c r="V17" s="43">
        <f>SUMIFS($D$15:V15,$D$6:V6,(KPI!V8-'Info Sheet'!$D$22)+1)</f>
        <v>0</v>
      </c>
      <c r="W17" s="43">
        <f>SUMIFS($D$15:W15,$D$6:W6,(KPI!W8-'Info Sheet'!$D$22)+1)</f>
        <v>0</v>
      </c>
      <c r="X17" s="43">
        <f>SUMIFS($D$15:X15,$D$6:X6,(KPI!X8-'Info Sheet'!$D$22)+1)</f>
        <v>0</v>
      </c>
      <c r="Y17" s="43">
        <f>SUMIFS($D$15:Y15,$D$6:Y6,(KPI!Y8-'Info Sheet'!$D$22)+1)</f>
        <v>0</v>
      </c>
      <c r="Z17" s="43">
        <f>SUMIFS($D$15:Z15,$D$6:Z6,(KPI!Z8-'Info Sheet'!$D$22)+1)</f>
        <v>0</v>
      </c>
      <c r="AA17" s="43">
        <f>SUMIFS($D$15:AA15,$D$6:AA6,(KPI!AA8-'Info Sheet'!$D$22)+1)</f>
        <v>0</v>
      </c>
      <c r="AB17" s="43">
        <f>SUMIFS($D$15:AB15,$D$6:AB6,(KPI!AB8-'Info Sheet'!$D$22)+1)</f>
        <v>0</v>
      </c>
      <c r="AC17" s="43">
        <f>SUMIFS($D$15:AC15,$D$6:AC6,(KPI!AC8-'Info Sheet'!$D$22)+1)</f>
        <v>0</v>
      </c>
      <c r="AD17" s="43">
        <f>SUMIFS($D$15:AD15,$D$6:AD6,(KPI!AD8-'Info Sheet'!$D$22)+1)</f>
        <v>0</v>
      </c>
      <c r="AE17" s="43">
        <f>SUMIFS($D$15:AE15,$D$6:AE6,(KPI!AE8-'Info Sheet'!$D$22)+1)</f>
        <v>0</v>
      </c>
      <c r="AF17" s="43">
        <f>SUMIFS($D$15:AF15,$D$6:AF6,(KPI!AF8-'Info Sheet'!$D$22)+1)</f>
        <v>0</v>
      </c>
      <c r="AG17" s="43">
        <f>SUMIFS($D$15:AG15,$D$6:AG6,(KPI!AG8-'Info Sheet'!$D$22)+1)</f>
        <v>0</v>
      </c>
      <c r="AH17" s="43">
        <f>SUMIFS($D$15:AH15,$D$6:AH6,(KPI!AH8-'Info Sheet'!$D$22)+1)</f>
        <v>0</v>
      </c>
      <c r="AI17" s="43">
        <f>SUMIFS($D$15:AI15,$D$6:AI6,(KPI!AI8-'Info Sheet'!$D$22)+1)</f>
        <v>0</v>
      </c>
      <c r="AJ17" s="43">
        <f>SUMIFS($D$15:AJ15,$D$6:AJ6,(KPI!AJ8-'Info Sheet'!$D$22)+1)</f>
        <v>0</v>
      </c>
      <c r="AK17" s="43">
        <f>SUMIFS($D$15:AK15,$D$6:AK6,(KPI!AK8-'Info Sheet'!$D$22)+1)</f>
        <v>0</v>
      </c>
      <c r="AL17" s="43">
        <f>SUMIFS($D$15:AL15,$D$6:AL6,(KPI!AL8-'Info Sheet'!$D$22)+1)</f>
        <v>0</v>
      </c>
      <c r="AM17" s="43">
        <f>SUMIFS($D$15:AM15,$D$6:AM6,(KPI!AM8-'Info Sheet'!$D$22)+1)</f>
        <v>0</v>
      </c>
      <c r="AN17" s="43">
        <f>SUMIFS($D$15:AN15,$D$6:AN6,(KPI!AN8-'Info Sheet'!$D$22)+1)</f>
        <v>0</v>
      </c>
      <c r="AO17" s="43">
        <f>SUMIFS($D$15:AO15,$D$6:AO6,(KPI!AO8-'Info Sheet'!$D$22)+1)</f>
        <v>0</v>
      </c>
      <c r="AP17" s="43">
        <f>SUMIFS($D$15:AP15,$D$6:AP6,(KPI!AP8-'Info Sheet'!$D$22)+1)</f>
        <v>0</v>
      </c>
      <c r="AQ17" s="43">
        <f>SUMIFS($D$15:AQ15,$D$6:AQ6,(KPI!AQ8-'Info Sheet'!$D$22)+1)</f>
        <v>0</v>
      </c>
      <c r="AR17" s="43">
        <f>SUMIFS($D$15:AR15,$D$6:AR6,(KPI!AR8-'Info Sheet'!$D$22)+1)</f>
        <v>0</v>
      </c>
      <c r="AS17" s="43">
        <f>SUMIFS($D$15:AS15,$D$6:AS6,(KPI!AS8-'Info Sheet'!$D$22)+1)</f>
        <v>0</v>
      </c>
      <c r="AT17" s="43">
        <f>SUMIFS($D$15:AT15,$D$6:AT6,(KPI!AT8-'Info Sheet'!$D$22)+1)</f>
        <v>0</v>
      </c>
      <c r="AU17" s="43">
        <f>SUMIFS($D$15:AU15,$D$6:AU6,(KPI!AU8-'Info Sheet'!$D$22)+1)</f>
        <v>0</v>
      </c>
      <c r="AV17" s="43">
        <f>SUMIFS($D$15:AV15,$D$6:AV6,(KPI!AV8-'Info Sheet'!$D$22)+1)</f>
        <v>0</v>
      </c>
      <c r="AW17" s="43">
        <f>SUMIFS($D$15:AW15,$D$6:AW6,(KPI!AW8-'Info Sheet'!$D$22)+1)</f>
        <v>0</v>
      </c>
      <c r="AX17" s="43">
        <f>SUMIFS($D$15:AX15,$D$6:AX6,(KPI!AX8-'Info Sheet'!$D$22)+1)</f>
        <v>0</v>
      </c>
      <c r="AY17" s="43">
        <f>SUMIFS($D$15:AY15,$D$6:AY6,(KPI!AY8-'Info Sheet'!$D$22)+1)</f>
        <v>0</v>
      </c>
      <c r="AZ17" s="43">
        <f>SUMIFS($D$15:AZ15,$D$6:AZ6,(KPI!AZ8-'Info Sheet'!$D$22)+1)</f>
        <v>0</v>
      </c>
      <c r="BA17" s="43">
        <f>SUMIFS($D$15:BA15,$D$6:BA6,(KPI!BA8-'Info Sheet'!$D$22)+1)</f>
        <v>0</v>
      </c>
      <c r="BB17" s="43">
        <f>SUMIFS($D$15:BB15,$D$6:BB6,(KPI!BB8-'Info Sheet'!$D$22)+1)</f>
        <v>0</v>
      </c>
      <c r="BC17" s="43">
        <f>SUMIFS($D$15:BC15,$D$6:BC6,(KPI!BC8-'Info Sheet'!$D$22)+1)</f>
        <v>0</v>
      </c>
      <c r="BD17" s="43">
        <f>SUMIFS($D$15:BD15,$D$6:BD6,(KPI!BD8-'Info Sheet'!$D$22)+1)</f>
        <v>0</v>
      </c>
      <c r="BE17" s="43">
        <f>SUMIFS($D$15:BE15,$D$6:BE6,(KPI!BE8-'Info Sheet'!$D$22)+1)</f>
        <v>0</v>
      </c>
      <c r="BF17" s="43">
        <f>SUMIFS($D$15:BF15,$D$6:BF6,(KPI!BF8-'Info Sheet'!$D$22)+1)</f>
        <v>0</v>
      </c>
      <c r="BG17" s="43">
        <f>SUMIFS($D$15:BG15,$D$6:BG6,(KPI!BG8-'Info Sheet'!$D$22)+1)</f>
        <v>0</v>
      </c>
      <c r="BH17" s="43">
        <f>SUMIFS($D$15:BH15,$D$6:BH6,(KPI!BH8-'Info Sheet'!$D$22)+1)</f>
        <v>0</v>
      </c>
      <c r="BI17" s="43">
        <f>SUMIFS($D$15:BI15,$D$6:BI6,(KPI!BI8-'Info Sheet'!$D$22)+1)</f>
        <v>0</v>
      </c>
      <c r="BJ17" s="43">
        <f>SUMIFS($D$15:BJ15,$D$6:BJ6,(KPI!BJ8-'Info Sheet'!$D$22)+1)</f>
        <v>0</v>
      </c>
      <c r="BK17" s="43">
        <f>SUMIFS($D$15:BK15,$D$6:BK6,(KPI!BK8-'Info Sheet'!$D$22)+1)</f>
        <v>0</v>
      </c>
      <c r="BL17" s="43">
        <f>SUMIFS($D$15:BL15,$D$6:BL6,(KPI!BL8-'Info Sheet'!$D$22)+1)</f>
        <v>0</v>
      </c>
      <c r="BM17" s="43">
        <f>SUMIFS($D$15:BM15,$D$6:BM6,(KPI!BM8-'Info Sheet'!$D$22)+1)</f>
        <v>0</v>
      </c>
      <c r="BN17" s="43">
        <f>SUMIFS($D$15:BN15,$D$6:BN6,(KPI!BN8-'Info Sheet'!$D$22)+1)</f>
        <v>0</v>
      </c>
      <c r="BO17" s="43">
        <f>SUMIFS($D$15:BO15,$D$6:BO6,(KPI!BO8-'Info Sheet'!$D$22)+1)</f>
        <v>0</v>
      </c>
      <c r="BP17" s="43">
        <f>SUMIFS($D$15:BP15,$D$6:BP6,(KPI!BP8-'Info Sheet'!$D$22)+1)</f>
        <v>0</v>
      </c>
      <c r="BQ17" s="43">
        <f>SUMIFS($D$15:BQ15,$D$6:BQ6,(KPI!BQ8-'Info Sheet'!$D$22)+1)</f>
        <v>0</v>
      </c>
      <c r="BR17" s="43">
        <f>SUMIFS($D$15:BR15,$D$6:BR6,(KPI!BR8-'Info Sheet'!$D$22)+1)</f>
        <v>0</v>
      </c>
      <c r="BS17" s="43">
        <f>SUMIFS($D$15:BS15,$D$6:BS6,(KPI!BS8-'Info Sheet'!$D$22)+1)</f>
        <v>0</v>
      </c>
      <c r="BT17" s="43">
        <f>SUMIFS($D$15:BT15,$D$6:BT6,(KPI!BT8-'Info Sheet'!$D$22)+1)</f>
        <v>0</v>
      </c>
      <c r="BU17" s="43">
        <f>SUMIFS($D$15:BU15,$D$6:BU6,(KPI!BU8-'Info Sheet'!$D$22)+1)</f>
        <v>0</v>
      </c>
      <c r="BV17" s="43">
        <f>SUMIFS($D$15:BV15,$D$6:BV6,(KPI!BV8-'Info Sheet'!$D$22)+1)</f>
        <v>0</v>
      </c>
      <c r="BW17" s="43">
        <f>SUMIFS($D$15:BW15,$D$6:BW6,(KPI!BW8-'Info Sheet'!$D$22)+1)</f>
        <v>0</v>
      </c>
      <c r="BX17" s="43">
        <f>SUMIFS($D$15:BX15,$D$6:BX6,(KPI!BX8-'Info Sheet'!$D$22)+1)</f>
        <v>0</v>
      </c>
      <c r="BY17" s="43">
        <f>SUMIFS($D$15:BY15,$D$6:BY6,(KPI!BY8-'Info Sheet'!$D$22)+1)</f>
        <v>0</v>
      </c>
      <c r="BZ17" s="43">
        <f>SUMIFS($D$15:BZ15,$D$6:BZ6,(KPI!BZ8-'Info Sheet'!$D$22)+1)</f>
        <v>0</v>
      </c>
      <c r="CA17" s="43">
        <f>SUMIFS($D$15:CA15,$D$6:CA6,(KPI!CA8-'Info Sheet'!$D$22)+1)</f>
        <v>0</v>
      </c>
      <c r="CB17" s="43">
        <f>SUMIFS($D$15:CB15,$D$6:CB6,(KPI!CB8-'Info Sheet'!$D$22)+1)</f>
        <v>0</v>
      </c>
      <c r="CC17" s="43">
        <f>SUMIFS($D$15:CC15,$D$6:CC6,(KPI!CC8-'Info Sheet'!$D$22)+1)</f>
        <v>0</v>
      </c>
      <c r="CD17" s="43">
        <f>SUMIFS($D$15:CD15,$D$6:CD6,(KPI!CD8-'Info Sheet'!$D$22)+1)</f>
        <v>0</v>
      </c>
      <c r="CE17" s="43">
        <f>SUMIFS($D$15:CE15,$D$6:CE6,(KPI!CE8-'Info Sheet'!$D$22)+1)</f>
        <v>0</v>
      </c>
      <c r="CF17" s="43">
        <f>SUMIFS($D$15:CF15,$D$6:CF6,(KPI!CF8-'Info Sheet'!$D$22)+1)</f>
        <v>0</v>
      </c>
      <c r="CG17" s="43">
        <f>SUMIFS($D$15:CG15,$D$6:CG6,(KPI!CG8-'Info Sheet'!$D$22)+1)</f>
        <v>0</v>
      </c>
      <c r="CH17" s="43">
        <f>SUMIFS($D$15:CH15,$D$6:CH6,(KPI!CH8-'Info Sheet'!$D$22)+1)</f>
        <v>0</v>
      </c>
      <c r="CI17" s="43">
        <f>SUMIFS($D$15:CI15,$D$6:CI6,(KPI!CI8-'Info Sheet'!$D$22)+1)</f>
        <v>0</v>
      </c>
      <c r="CJ17" s="43">
        <f>SUMIFS($D$15:CJ15,$D$6:CJ6,(KPI!CJ8-'Info Sheet'!$D$22)+1)</f>
        <v>0</v>
      </c>
      <c r="CK17" s="43">
        <f>SUMIFS($D$15:CK15,$D$6:CK6,(KPI!CK8-'Info Sheet'!$D$22)+1)</f>
        <v>0</v>
      </c>
      <c r="CL17" s="43">
        <f>SUMIFS($D$15:CL15,$D$6:CL6,(KPI!CL8-'Info Sheet'!$D$22)+1)</f>
        <v>0</v>
      </c>
      <c r="CM17" s="43">
        <f>SUMIFS($D$15:CM15,$D$6:CM6,(KPI!CM8-'Info Sheet'!$D$22)+1)</f>
        <v>0</v>
      </c>
      <c r="CN17" s="43">
        <f>SUMIFS($D$15:CN15,$D$6:CN6,(KPI!CN8-'Info Sheet'!$D$22)+1)</f>
        <v>0</v>
      </c>
      <c r="CO17" s="43">
        <f>SUMIFS($D$15:CO15,$D$6:CO6,(KPI!CO8-'Info Sheet'!$D$22)+1)</f>
        <v>0</v>
      </c>
      <c r="CP17" s="43">
        <f>SUMIFS($D$15:CP15,$D$6:CP6,(KPI!CP8-'Info Sheet'!$D$22)+1)</f>
        <v>0</v>
      </c>
      <c r="CQ17" s="43">
        <f>SUMIFS($D$15:CQ15,$D$6:CQ6,(KPI!CQ8-'Info Sheet'!$D$22)+1)</f>
        <v>0</v>
      </c>
      <c r="CR17" s="43">
        <f>SUMIFS($D$15:CR15,$D$6:CR6,(KPI!CR8-'Info Sheet'!$D$22)+1)</f>
        <v>0</v>
      </c>
      <c r="CS17" s="43">
        <f>SUMIFS($D$15:CS15,$D$6:CS6,(KPI!CS8-'Info Sheet'!$D$22)+1)</f>
        <v>0</v>
      </c>
      <c r="CT17" s="43">
        <f>SUMIFS($D$15:CT15,$D$6:CT6,(KPI!CT8-'Info Sheet'!$D$22)+1)</f>
        <v>0</v>
      </c>
      <c r="CU17" s="43">
        <f>SUMIFS($D$15:CU15,$D$6:CU6,(KPI!CU8-'Info Sheet'!$D$22)+1)</f>
        <v>0</v>
      </c>
      <c r="CV17" s="43">
        <f>SUMIFS($D$15:CV15,$D$6:CV6,(KPI!CV8-'Info Sheet'!$D$22)+1)</f>
        <v>0</v>
      </c>
      <c r="CW17" s="43">
        <f>SUMIFS($D$15:CW15,$D$6:CW6,(KPI!CW8-'Info Sheet'!$D$22)+1)</f>
        <v>0</v>
      </c>
      <c r="CX17" s="43">
        <f>SUMIFS($D$15:CX15,$D$6:CX6,(KPI!CX8-'Info Sheet'!$D$22)+1)</f>
        <v>0</v>
      </c>
      <c r="CY17" s="43">
        <f>SUMIFS($D$15:CY15,$D$6:CY6,(KPI!CY8-'Info Sheet'!$D$22)+1)</f>
        <v>0</v>
      </c>
      <c r="CZ17" s="43">
        <f>SUMIFS($D$15:CZ15,$D$6:CZ6,(KPI!CZ8-'Info Sheet'!$D$22)+1)</f>
        <v>0</v>
      </c>
      <c r="DA17" s="43">
        <f>SUMIFS($D$15:DA15,$D$6:DA6,(KPI!DA8-'Info Sheet'!$D$22)+1)</f>
        <v>0</v>
      </c>
      <c r="DB17" s="43">
        <f>SUMIFS($D$15:DB15,$D$6:DB6,(KPI!DB8-'Info Sheet'!$D$22)+1)</f>
        <v>0</v>
      </c>
      <c r="DC17" s="43">
        <f>SUMIFS($D$15:DC15,$D$6:DC6,(KPI!DC8-'Info Sheet'!$D$22)+1)</f>
        <v>0</v>
      </c>
      <c r="DD17" s="43">
        <f>SUMIFS($D$15:DD15,$D$6:DD6,(KPI!DD8-'Info Sheet'!$D$22)+1)</f>
        <v>0</v>
      </c>
      <c r="DE17" s="43">
        <f>SUMIFS($D$15:DE15,$D$6:DE6,(KPI!DE8-'Info Sheet'!$D$22)+1)</f>
        <v>0</v>
      </c>
      <c r="DF17" s="43">
        <f>SUMIFS($D$15:DF15,$D$6:DF6,(KPI!DF8-'Info Sheet'!$D$22)+1)</f>
        <v>0</v>
      </c>
      <c r="DG17" s="43">
        <f>SUMIFS($D$15:DG15,$D$6:DG6,(KPI!DG8-'Info Sheet'!$D$22)+1)</f>
        <v>0</v>
      </c>
      <c r="DH17" s="43">
        <f>SUMIFS($D$15:DH15,$D$6:DH6,(KPI!DH8-'Info Sheet'!$D$22)+1)</f>
        <v>0</v>
      </c>
      <c r="DI17" s="43">
        <f>SUMIFS($D$15:DI15,$D$6:DI6,(KPI!DI8-'Info Sheet'!$D$22)+1)</f>
        <v>0</v>
      </c>
      <c r="DJ17" s="43">
        <f>SUMIFS($D$15:DJ15,$D$6:DJ6,(KPI!DJ8-'Info Sheet'!$D$22)+1)</f>
        <v>0</v>
      </c>
      <c r="DK17" s="43">
        <f>SUMIFS($D$15:DK15,$D$6:DK6,(KPI!DK8-'Info Sheet'!$D$22)+1)</f>
        <v>0</v>
      </c>
      <c r="DL17" s="43">
        <f>SUMIFS($D$15:DL15,$D$6:DL6,(KPI!DL8-'Info Sheet'!$D$22)+1)</f>
        <v>0</v>
      </c>
      <c r="DM17" s="43">
        <f>SUMIFS($D$15:DM15,$D$6:DM6,(KPI!DM8-'Info Sheet'!$D$22)+1)</f>
        <v>0</v>
      </c>
      <c r="DN17" s="43">
        <f>SUMIFS($D$15:DN15,$D$6:DN6,(KPI!DN8-'Info Sheet'!$D$22)+1)</f>
        <v>0</v>
      </c>
      <c r="DO17" s="43">
        <f>SUMIFS($D$15:DO15,$D$6:DO6,(KPI!DO8-'Info Sheet'!$D$22)+1)</f>
        <v>0</v>
      </c>
      <c r="DP17" s="43">
        <f>SUMIFS($D$15:DP15,$D$6:DP6,(KPI!DP8-'Info Sheet'!$D$22)+1)</f>
        <v>0</v>
      </c>
      <c r="DQ17" s="43">
        <f>SUMIFS($D$15:DQ15,$D$6:DQ6,(KPI!DQ8-'Info Sheet'!$D$22)+1)</f>
        <v>0</v>
      </c>
      <c r="DR17" s="43">
        <f>SUMIFS($D$15:DR15,$D$6:DR6,(KPI!DR8-'Info Sheet'!$D$22)+1)</f>
        <v>0</v>
      </c>
      <c r="DS17" s="43">
        <f>SUMIFS($D$15:DS15,$D$6:DS6,(KPI!DS8-'Info Sheet'!$D$22)+1)</f>
        <v>0</v>
      </c>
      <c r="DT17" s="43">
        <f>SUMIFS($D$15:DT15,$D$6:DT6,(KPI!DT8-'Info Sheet'!$D$22)+1)</f>
        <v>0</v>
      </c>
      <c r="DU17" s="43">
        <f>SUMIFS($D$15:DU15,$D$6:DU6,(KPI!DU8-'Info Sheet'!$D$22)+1)</f>
        <v>0</v>
      </c>
      <c r="DV17" s="43">
        <f>SUMIFS($D$15:DV15,$D$6:DV6,(KPI!DV8-'Info Sheet'!$D$22)+1)</f>
        <v>0</v>
      </c>
      <c r="DW17" s="43">
        <f>SUMIFS($D$15:DW15,$D$6:DW6,(KPI!DW8-'Info Sheet'!$D$22)+1)</f>
        <v>0</v>
      </c>
      <c r="DX17" s="43">
        <f>SUMIFS($D$15:DX15,$D$6:DX6,(KPI!DX8-'Info Sheet'!$D$22)+1)</f>
        <v>0</v>
      </c>
      <c r="DY17" s="43">
        <f>SUMIFS($D$15:DY15,$D$6:DY6,(KPI!DY8-'Info Sheet'!$D$22)+1)</f>
        <v>0</v>
      </c>
      <c r="DZ17" s="43">
        <f>SUMIFS($D$15:DZ15,$D$6:DZ6,(KPI!DZ8-'Info Sheet'!$D$22)+1)</f>
        <v>0</v>
      </c>
      <c r="EA17" s="43">
        <f>SUMIFS($D$15:EA15,$D$6:EA6,(KPI!EA8-'Info Sheet'!$D$22)+1)</f>
        <v>0</v>
      </c>
      <c r="EB17" s="43">
        <f>SUMIFS($D$15:EB15,$D$6:EB6,(KPI!EB8-'Info Sheet'!$D$22)+1)</f>
        <v>0</v>
      </c>
      <c r="EC17" s="43">
        <f>SUMIFS($D$15:EC15,$D$6:EC6,(KPI!EC8-'Info Sheet'!$D$22)+1)</f>
        <v>0</v>
      </c>
      <c r="ED17" s="43">
        <f>SUMIFS($D$15:ED15,$D$6:ED6,(KPI!ED8-'Info Sheet'!$D$22)+1)</f>
        <v>0</v>
      </c>
      <c r="EE17" s="43">
        <f>SUMIFS($D$15:EE15,$D$6:EE6,(KPI!EE8-'Info Sheet'!$D$22)+1)</f>
        <v>0</v>
      </c>
      <c r="EF17" s="43">
        <f>SUMIFS($D$15:EF15,$D$6:EF6,(KPI!EF8-'Info Sheet'!$D$22)+1)</f>
        <v>0</v>
      </c>
      <c r="EG17" s="43">
        <f>SUMIFS($D$15:EG15,$D$6:EG6,(KPI!EG8-'Info Sheet'!$D$22)+1)</f>
        <v>0</v>
      </c>
      <c r="EH17" s="43">
        <f>SUMIFS($D$15:EH15,$D$6:EH6,(KPI!EH8-'Info Sheet'!$D$22)+1)</f>
        <v>0</v>
      </c>
      <c r="EI17" s="43">
        <f>SUMIFS($D$15:EI15,$D$6:EI6,(KPI!EI8-'Info Sheet'!$D$22)+1)</f>
        <v>0</v>
      </c>
      <c r="EJ17" s="43">
        <f>SUMIFS($D$15:EJ15,$D$6:EJ6,(KPI!EJ8-'Info Sheet'!$D$22)+1)</f>
        <v>0</v>
      </c>
      <c r="EK17" s="43">
        <f>SUMIFS($D$15:EK15,$D$6:EK6,(KPI!EK8-'Info Sheet'!$D$22)+1)</f>
        <v>0</v>
      </c>
      <c r="EL17" s="43">
        <f>SUMIFS($D$15:EL15,$D$6:EL6,(KPI!EL8-'Info Sheet'!$D$22)+1)</f>
        <v>0</v>
      </c>
      <c r="EM17" s="43">
        <f>SUMIFS($D$15:EM15,$D$6:EM6,(KPI!EM8-'Info Sheet'!$D$22)+1)</f>
        <v>0</v>
      </c>
      <c r="EN17" s="43">
        <f>SUMIFS($D$15:EN15,$D$6:EN6,(KPI!EN8-'Info Sheet'!$D$22)+1)</f>
        <v>0</v>
      </c>
      <c r="EO17" s="43">
        <f>SUMIFS($D$15:EO15,$D$6:EO6,(KPI!EO8-'Info Sheet'!$D$22)+1)</f>
        <v>0</v>
      </c>
      <c r="EP17" s="43">
        <f>SUMIFS($D$15:EP15,$D$6:EP6,(KPI!EP8-'Info Sheet'!$D$22)+1)</f>
        <v>0</v>
      </c>
      <c r="EQ17" s="43">
        <f>SUMIFS($D$15:EQ15,$D$6:EQ6,(KPI!EQ8-'Info Sheet'!$D$22)+1)</f>
        <v>0</v>
      </c>
      <c r="ER17" s="43">
        <f>SUMIFS($D$15:ER15,$D$6:ER6,(KPI!ER8-'Info Sheet'!$D$22)+1)</f>
        <v>0</v>
      </c>
      <c r="ES17" s="43">
        <f>SUMIFS($D$15:ES15,$D$6:ES6,(KPI!ES8-'Info Sheet'!$D$22)+1)</f>
        <v>0</v>
      </c>
      <c r="ET17" s="43">
        <f>SUMIFS($D$15:ET15,$D$6:ET6,(KPI!ET8-'Info Sheet'!$D$22)+1)</f>
        <v>0</v>
      </c>
      <c r="EU17" s="43">
        <f>SUMIFS($D$15:EU15,$D$6:EU6,(KPI!EU8-'Info Sheet'!$D$22)+1)</f>
        <v>0</v>
      </c>
      <c r="EV17" s="43">
        <f>SUMIFS($D$15:EV15,$D$6:EV6,(KPI!EV8-'Info Sheet'!$D$22)+1)</f>
        <v>0</v>
      </c>
      <c r="EW17" s="43">
        <f>SUMIFS($D$15:EW15,$D$6:EW6,(KPI!EW8-'Info Sheet'!$D$22)+1)</f>
        <v>0</v>
      </c>
      <c r="EX17" s="43">
        <f>SUMIFS($D$15:EX15,$D$6:EX6,(KPI!EX8-'Info Sheet'!$D$22)+1)</f>
        <v>0</v>
      </c>
      <c r="EY17" s="43">
        <f>SUMIFS($D$15:EY15,$D$6:EY6,(KPI!EY8-'Info Sheet'!$D$22)+1)</f>
        <v>0</v>
      </c>
      <c r="EZ17" s="43">
        <f>SUMIFS($D$15:EZ15,$D$6:EZ6,(KPI!EZ8-'Info Sheet'!$D$22)+1)</f>
        <v>0</v>
      </c>
      <c r="FA17" s="43">
        <f>SUMIFS($D$15:FA15,$D$6:FA6,(KPI!FA8-'Info Sheet'!$D$22)+1)</f>
        <v>0</v>
      </c>
      <c r="FB17" s="43">
        <f>SUMIFS($D$15:FB15,$D$6:FB6,(KPI!FB8-'Info Sheet'!$D$22)+1)</f>
        <v>0</v>
      </c>
      <c r="FC17" s="43">
        <f>SUMIFS($D$15:FC15,$D$6:FC6,(KPI!FC8-'Info Sheet'!$D$22)+1)</f>
        <v>0</v>
      </c>
      <c r="FD17" s="43">
        <f>SUMIFS($D$15:FD15,$D$6:FD6,(KPI!FD8-'Info Sheet'!$D$22)+1)</f>
        <v>0</v>
      </c>
      <c r="FE17" s="43">
        <f>SUMIFS($D$15:FE15,$D$6:FE6,(KPI!FE8-'Info Sheet'!$D$22)+1)</f>
        <v>0</v>
      </c>
      <c r="FF17" s="43">
        <f>SUMIFS($D$15:FF15,$D$6:FF6,(KPI!FF8-'Info Sheet'!$D$22)+1)</f>
        <v>0</v>
      </c>
      <c r="FG17" s="43">
        <f>SUMIFS($D$15:FG15,$D$6:FG6,(KPI!FG8-'Info Sheet'!$D$22)+1)</f>
        <v>0</v>
      </c>
      <c r="FH17" s="43">
        <f>SUMIFS($D$15:FH15,$D$6:FH6,(KPI!FH8-'Info Sheet'!$D$22)+1)</f>
        <v>0</v>
      </c>
      <c r="FI17" s="43">
        <f>SUMIFS($D$15:FI15,$D$6:FI6,(KPI!FI8-'Info Sheet'!$D$22)+1)</f>
        <v>0</v>
      </c>
      <c r="FJ17" s="43">
        <f>SUMIFS($D$15:FJ15,$D$6:FJ6,(KPI!FJ8-'Info Sheet'!$D$22)+1)</f>
        <v>0</v>
      </c>
      <c r="FK17" s="43">
        <f>SUMIFS($D$15:FK15,$D$6:FK6,(KPI!FK8-'Info Sheet'!$D$22)+1)</f>
        <v>0</v>
      </c>
      <c r="FL17" s="43">
        <f>SUMIFS($D$15:FL15,$D$6:FL6,(KPI!FL8-'Info Sheet'!$D$22)+1)</f>
        <v>0</v>
      </c>
      <c r="FM17" s="43">
        <f>SUMIFS($D$15:FM15,$D$6:FM6,(KPI!FM8-'Info Sheet'!$D$22)+1)</f>
        <v>0</v>
      </c>
      <c r="FN17" s="43">
        <f>SUMIFS($D$15:FN15,$D$6:FN6,(KPI!FN8-'Info Sheet'!$D$22)+1)</f>
        <v>0</v>
      </c>
      <c r="FO17" s="43">
        <f>SUMIFS($D$15:FO15,$D$6:FO6,(KPI!FO8-'Info Sheet'!$D$22)+1)</f>
        <v>0</v>
      </c>
      <c r="FP17" s="43">
        <f>SUMIFS($D$15:FP15,$D$6:FP6,(KPI!FP8-'Info Sheet'!$D$22)+1)</f>
        <v>0</v>
      </c>
      <c r="FQ17" s="43">
        <f>SUMIFS($D$15:FQ15,$D$6:FQ6,(KPI!FQ8-'Info Sheet'!$D$22)+1)</f>
        <v>0</v>
      </c>
      <c r="FR17" s="43">
        <f>SUMIFS($D$15:FR15,$D$6:FR6,(KPI!FR8-'Info Sheet'!$D$22)+1)</f>
        <v>0</v>
      </c>
      <c r="FS17" s="43">
        <f>SUMIFS($D$15:FS15,$D$6:FS6,(KPI!FS8-'Info Sheet'!$D$22)+1)</f>
        <v>0</v>
      </c>
      <c r="FT17" s="43">
        <f>SUMIFS($D$15:FT15,$D$6:FT6,(KPI!FT8-'Info Sheet'!$D$22)+1)</f>
        <v>0</v>
      </c>
      <c r="FU17" s="43">
        <f>SUMIFS($D$15:FU15,$D$6:FU6,(KPI!FU8-'Info Sheet'!$D$22)+1)</f>
        <v>0</v>
      </c>
      <c r="FV17" s="43">
        <f>SUMIFS($D$15:FV15,$D$6:FV6,(KPI!FV8-'Info Sheet'!$D$22)+1)</f>
        <v>0</v>
      </c>
      <c r="FW17" s="43">
        <f>SUMIFS($D$15:FW15,$D$6:FW6,(KPI!FW8-'Info Sheet'!$D$22)+1)</f>
        <v>0</v>
      </c>
      <c r="FX17" s="43">
        <f>SUMIFS($D$15:FX15,$D$6:FX6,(KPI!FX8-'Info Sheet'!$D$22)+1)</f>
        <v>0</v>
      </c>
      <c r="FY17" s="43">
        <f>SUMIFS($D$15:FY15,$D$6:FY6,(KPI!FY8-'Info Sheet'!$D$22)+1)</f>
        <v>0</v>
      </c>
      <c r="FZ17" s="43">
        <f>SUMIFS($D$15:FZ15,$D$6:FZ6,(KPI!FZ8-'Info Sheet'!$D$22)+1)</f>
        <v>0</v>
      </c>
      <c r="GA17" s="43">
        <f>SUMIFS($D$15:GA15,$D$6:GA6,(KPI!GA8-'Info Sheet'!$D$22)+1)</f>
        <v>0</v>
      </c>
      <c r="GB17" s="43">
        <f>SUMIFS($D$15:GB15,$D$6:GB6,(KPI!GB8-'Info Sheet'!$D$22)+1)</f>
        <v>0</v>
      </c>
      <c r="GC17" s="43">
        <f>SUMIFS($D$15:GC15,$D$6:GC6,(KPI!GC8-'Info Sheet'!$D$22)+1)</f>
        <v>0</v>
      </c>
      <c r="GD17" s="43">
        <f>SUMIFS($D$15:GD15,$D$6:GD6,(KPI!GD8-'Info Sheet'!$D$22)+1)</f>
        <v>0</v>
      </c>
      <c r="GE17" s="43">
        <f>SUMIFS($D$15:GE15,$D$6:GE6,(KPI!GE8-'Info Sheet'!$D$22)+1)</f>
        <v>0</v>
      </c>
      <c r="GF17" s="43">
        <f>SUMIFS($D$15:GF15,$D$6:GF6,(KPI!GF8-'Info Sheet'!$D$22)+1)</f>
        <v>0</v>
      </c>
      <c r="GG17" s="43">
        <f>SUMIFS($D$15:GG15,$D$6:GG6,(KPI!GG8-'Info Sheet'!$D$22)+1)</f>
        <v>0</v>
      </c>
      <c r="GH17" s="43">
        <f>SUMIFS($D$15:GH15,$D$6:GH6,(KPI!GH8-'Info Sheet'!$D$22)+1)</f>
        <v>0</v>
      </c>
      <c r="GI17" s="43">
        <f>SUMIFS($D$15:GI15,$D$6:GI6,(KPI!GI8-'Info Sheet'!$D$22)+1)</f>
        <v>0</v>
      </c>
      <c r="GJ17" s="43">
        <f>SUMIFS($D$15:GJ15,$D$6:GJ6,(KPI!GJ8-'Info Sheet'!$D$22)+1)</f>
        <v>0</v>
      </c>
      <c r="GK17" s="43">
        <f>SUMIFS($D$15:GK15,$D$6:GK6,(KPI!GK8-'Info Sheet'!$D$22)+1)</f>
        <v>0</v>
      </c>
      <c r="GL17" s="43">
        <f>SUMIFS($D$15:GL15,$D$6:GL6,(KPI!GL8-'Info Sheet'!$D$22)+1)</f>
        <v>0</v>
      </c>
      <c r="GM17" s="43">
        <f>SUMIFS($D$15:GM15,$D$6:GM6,(KPI!GM8-'Info Sheet'!$D$22)+1)</f>
        <v>0</v>
      </c>
      <c r="GN17" s="43">
        <f>SUMIFS($D$15:GN15,$D$6:GN6,(KPI!GN8-'Info Sheet'!$D$22)+1)</f>
        <v>0</v>
      </c>
      <c r="GO17" s="43">
        <f>SUMIFS($D$15:GO15,$D$6:GO6,(KPI!GO8-'Info Sheet'!$D$22)+1)</f>
        <v>0</v>
      </c>
      <c r="GP17" s="43">
        <f>SUMIFS($D$15:GP15,$D$6:GP6,(KPI!GP8-'Info Sheet'!$D$22)+1)</f>
        <v>0</v>
      </c>
      <c r="GQ17" s="43">
        <f>SUMIFS($D$15:GQ15,$D$6:GQ6,(KPI!GQ8-'Info Sheet'!$D$22)+1)</f>
        <v>0</v>
      </c>
      <c r="GR17" s="43">
        <f>SUMIFS($D$15:GR15,$D$6:GR6,(KPI!GR8-'Info Sheet'!$D$22)+1)</f>
        <v>0</v>
      </c>
      <c r="GS17" s="43">
        <f>SUMIFS($D$15:GS15,$D$6:GS6,(KPI!GS8-'Info Sheet'!$D$22)+1)</f>
        <v>0</v>
      </c>
      <c r="GT17" s="43">
        <f>SUMIFS($D$15:GT15,$D$6:GT6,(KPI!GT8-'Info Sheet'!$D$22)+1)</f>
        <v>0</v>
      </c>
      <c r="GU17" s="43">
        <f>SUMIFS($D$15:GU15,$D$6:GU6,(KPI!GU8-'Info Sheet'!$D$22)+1)</f>
        <v>0</v>
      </c>
      <c r="GV17" s="43">
        <f>SUMIFS($D$15:GV15,$D$6:GV6,(KPI!GV8-'Info Sheet'!$D$22)+1)</f>
        <v>0</v>
      </c>
      <c r="GW17" s="43">
        <f>SUMIFS($D$15:GW15,$D$6:GW6,(KPI!GW8-'Info Sheet'!$D$22)+1)</f>
        <v>0</v>
      </c>
      <c r="GX17" s="43">
        <f>SUMIFS($D$15:GX15,$D$6:GX6,(KPI!GX8-'Info Sheet'!$D$22)+1)</f>
        <v>0</v>
      </c>
      <c r="GY17" s="43">
        <f>SUMIFS($D$15:GY15,$D$6:GY6,(KPI!GY8-'Info Sheet'!$D$22)+1)</f>
        <v>0</v>
      </c>
      <c r="GZ17" s="43">
        <f>SUMIFS($D$15:GZ15,$D$6:GZ6,(KPI!GZ8-'Info Sheet'!$D$22)+1)</f>
        <v>0</v>
      </c>
      <c r="HA17" s="43">
        <f>SUMIFS($D$15:HA15,$D$6:HA6,(KPI!HA8-'Info Sheet'!$D$22)+1)</f>
        <v>0</v>
      </c>
      <c r="HB17" s="43">
        <f>SUMIFS($D$15:HB15,$D$6:HB6,(KPI!HB8-'Info Sheet'!$D$22)+1)</f>
        <v>0</v>
      </c>
      <c r="HC17" s="43">
        <f>SUMIFS($D$15:HC15,$D$6:HC6,(KPI!HC8-'Info Sheet'!$D$22)+1)</f>
        <v>0</v>
      </c>
      <c r="HD17" s="43">
        <f>SUMIFS($D$15:HD15,$D$6:HD6,(KPI!HD8-'Info Sheet'!$D$22)+1)</f>
        <v>0</v>
      </c>
      <c r="HE17" s="43">
        <f>SUMIFS($D$15:HE15,$D$6:HE6,(KPI!HE8-'Info Sheet'!$D$22)+1)</f>
        <v>0</v>
      </c>
      <c r="HF17" s="43">
        <f>SUMIFS($D$15:HF15,$D$6:HF6,(KPI!HF8-'Info Sheet'!$D$22)+1)</f>
        <v>0</v>
      </c>
      <c r="HG17" s="43">
        <f>SUMIFS($D$15:HG15,$D$6:HG6,(KPI!HG8-'Info Sheet'!$D$22)+1)</f>
        <v>0</v>
      </c>
      <c r="HH17" s="43">
        <f>SUMIFS($D$15:HH15,$D$6:HH6,(KPI!HH8-'Info Sheet'!$D$22)+1)</f>
        <v>0</v>
      </c>
      <c r="HI17" s="43">
        <f>SUMIFS($D$15:HI15,$D$6:HI6,(KPI!HI8-'Info Sheet'!$D$22)+1)</f>
        <v>0</v>
      </c>
      <c r="HJ17" s="43">
        <f>SUMIFS($D$15:HJ15,$D$6:HJ6,(KPI!HJ8-'Info Sheet'!$D$22)+1)</f>
        <v>0</v>
      </c>
      <c r="HK17" s="43">
        <f>SUMIFS($D$15:HK15,$D$6:HK6,(KPI!HK8-'Info Sheet'!$D$22)+1)</f>
        <v>0</v>
      </c>
      <c r="HL17" s="43">
        <f>SUMIFS($D$15:HL15,$D$6:HL6,(KPI!HL8-'Info Sheet'!$D$22)+1)</f>
        <v>0</v>
      </c>
      <c r="HM17" s="43">
        <f>SUMIFS($D$15:HM15,$D$6:HM6,(KPI!HM8-'Info Sheet'!$D$22)+1)</f>
        <v>0</v>
      </c>
      <c r="HN17" s="43">
        <f>SUMIFS($D$15:HN15,$D$6:HN6,(KPI!HN8-'Info Sheet'!$D$22)+1)</f>
        <v>0</v>
      </c>
      <c r="HO17" s="43">
        <f>SUMIFS($D$15:HO15,$D$6:HO6,(KPI!HO8-'Info Sheet'!$D$22)+1)</f>
        <v>0</v>
      </c>
      <c r="HP17" s="43">
        <f>SUMIFS($D$15:HP15,$D$6:HP6,(KPI!HP8-'Info Sheet'!$D$22)+1)</f>
        <v>0</v>
      </c>
      <c r="HQ17" s="43">
        <f>SUMIFS($D$15:HQ15,$D$6:HQ6,(KPI!HQ8-'Info Sheet'!$D$22)+1)</f>
        <v>0</v>
      </c>
      <c r="HR17" s="43">
        <f>SUMIFS($D$15:HR15,$D$6:HR6,(KPI!HR8-'Info Sheet'!$D$22)+1)</f>
        <v>0</v>
      </c>
      <c r="HS17" s="43">
        <f>SUMIFS($D$15:HS15,$D$6:HS6,(KPI!HS8-'Info Sheet'!$D$22)+1)</f>
        <v>0</v>
      </c>
      <c r="HT17" s="43">
        <f>SUMIFS($D$15:HT15,$D$6:HT6,(KPI!HT8-'Info Sheet'!$D$22)+1)</f>
        <v>0</v>
      </c>
      <c r="HU17" s="43">
        <f>SUMIFS($D$15:HU15,$D$6:HU6,(KPI!HU8-'Info Sheet'!$D$22)+1)</f>
        <v>0</v>
      </c>
      <c r="HV17" s="43">
        <f>SUMIFS($D$15:HV15,$D$6:HV6,(KPI!HV8-'Info Sheet'!$D$22)+1)</f>
        <v>0</v>
      </c>
      <c r="HW17" s="43">
        <f>SUMIFS($D$15:HW15,$D$6:HW6,(KPI!HW8-'Info Sheet'!$D$22)+1)</f>
        <v>0</v>
      </c>
      <c r="HX17" s="43">
        <f>SUMIFS($D$15:HX15,$D$6:HX6,(KPI!HX8-'Info Sheet'!$D$22)+1)</f>
        <v>0</v>
      </c>
      <c r="HY17" s="43">
        <f>SUMIFS($D$15:HY15,$D$6:HY6,(KPI!HY8-'Info Sheet'!$D$22)+1)</f>
        <v>0</v>
      </c>
      <c r="HZ17" s="43">
        <f>SUMIFS($D$15:HZ15,$D$6:HZ6,(KPI!HZ8-'Info Sheet'!$D$22)+1)</f>
        <v>0</v>
      </c>
      <c r="IA17" s="43">
        <f>SUMIFS($D$15:IA15,$D$6:IA6,(KPI!IA8-'Info Sheet'!$D$22)+1)</f>
        <v>0</v>
      </c>
      <c r="IB17" s="43">
        <f>SUMIFS($D$15:IB15,$D$6:IB6,(KPI!IB8-'Info Sheet'!$D$22)+1)</f>
        <v>0</v>
      </c>
      <c r="IC17" s="43">
        <f>SUMIFS($D$15:IC15,$D$6:IC6,(KPI!IC8-'Info Sheet'!$D$22)+1)</f>
        <v>0</v>
      </c>
      <c r="ID17" s="43">
        <f>SUMIFS($D$15:ID15,$D$6:ID6,(KPI!ID8-'Info Sheet'!$D$22)+1)</f>
        <v>0</v>
      </c>
      <c r="IE17" s="43">
        <f>SUMIFS($D$15:IE15,$D$6:IE6,(KPI!IE8-'Info Sheet'!$D$22)+1)</f>
        <v>0</v>
      </c>
      <c r="IF17" s="43">
        <f>SUMIFS($D$15:IF15,$D$6:IF6,(KPI!IF8-'Info Sheet'!$D$22)+1)</f>
        <v>0</v>
      </c>
      <c r="IG17" s="43">
        <f>SUMIFS($D$15:IG15,$D$6:IG6,(KPI!IG8-'Info Sheet'!$D$22)+1)</f>
        <v>0</v>
      </c>
      <c r="IH17" s="43">
        <f>SUMIFS($D$15:IH15,$D$6:IH6,(KPI!IH8-'Info Sheet'!$D$22)+1)</f>
        <v>0</v>
      </c>
      <c r="II17" s="43">
        <f>SUMIFS($D$15:II15,$D$6:II6,(KPI!II8-'Info Sheet'!$D$22)+1)</f>
        <v>0</v>
      </c>
      <c r="IJ17" s="43">
        <f>SUMIFS($D$15:IJ15,$D$6:IJ6,(KPI!IJ8-'Info Sheet'!$D$22)+1)</f>
        <v>0</v>
      </c>
      <c r="IK17" s="43">
        <f>SUMIFS($D$15:IK15,$D$6:IK6,(KPI!IK8-'Info Sheet'!$D$22)+1)</f>
        <v>0</v>
      </c>
      <c r="IL17" s="43">
        <f>SUMIFS($D$15:IL15,$D$6:IL6,(KPI!IL8-'Info Sheet'!$D$22)+1)</f>
        <v>0</v>
      </c>
      <c r="IM17" s="43">
        <f>SUMIFS($D$15:IM15,$D$6:IM6,(KPI!IM8-'Info Sheet'!$D$22)+1)</f>
        <v>0</v>
      </c>
      <c r="IN17" s="43">
        <f>SUMIFS($D$15:IN15,$D$6:IN6,(KPI!IN8-'Info Sheet'!$D$22)+1)</f>
        <v>0</v>
      </c>
      <c r="IO17" s="43">
        <f>SUMIFS($D$15:IO15,$D$6:IO6,(KPI!IO8-'Info Sheet'!$D$22)+1)</f>
        <v>0</v>
      </c>
      <c r="IP17" s="43">
        <f>SUMIFS($D$15:IP15,$D$6:IP6,(KPI!IP8-'Info Sheet'!$D$22)+1)</f>
        <v>0</v>
      </c>
      <c r="IQ17" s="43">
        <f>SUMIFS($D$15:IQ15,$D$6:IQ6,(KPI!IQ8-'Info Sheet'!$D$22)+1)</f>
        <v>0</v>
      </c>
      <c r="IR17" s="43">
        <f>SUMIFS($D$15:IR15,$D$6:IR6,(KPI!IR8-'Info Sheet'!$D$22)+1)</f>
        <v>0</v>
      </c>
      <c r="IS17" s="43">
        <f>SUMIFS($D$15:IS15,$D$6:IS6,(KPI!IS8-'Info Sheet'!$D$22)+1)</f>
        <v>0</v>
      </c>
      <c r="IT17" s="43">
        <f>SUMIFS($D$15:IT15,$D$6:IT6,(KPI!IT8-'Info Sheet'!$D$22)+1)</f>
        <v>0</v>
      </c>
      <c r="IU17" s="43">
        <f>SUMIFS($D$15:IU15,$D$6:IU6,(KPI!IU8-'Info Sheet'!$D$22)+1)</f>
        <v>0</v>
      </c>
      <c r="IV17" s="43">
        <f>SUMIFS($D$15:IV15,$D$6:IV6,(KPI!IV8-'Info Sheet'!$D$22)+1)</f>
        <v>0</v>
      </c>
      <c r="IW17" s="43">
        <f>SUMIFS($D$15:IW15,$D$6:IW6,(KPI!IW8-'Info Sheet'!$D$22)+1)</f>
        <v>0</v>
      </c>
      <c r="IX17" s="43">
        <f>SUMIFS($D$15:IX15,$D$6:IX6,(KPI!IX8-'Info Sheet'!$D$22)+1)</f>
        <v>0</v>
      </c>
      <c r="IY17" s="43">
        <f>SUMIFS($D$15:IY15,$D$6:IY6,(KPI!IY8-'Info Sheet'!$D$22)+1)</f>
        <v>0</v>
      </c>
      <c r="IZ17" s="43">
        <f>SUMIFS($D$15:IZ15,$D$6:IZ6,(KPI!IZ8-'Info Sheet'!$D$22)+1)</f>
        <v>0</v>
      </c>
      <c r="JA17" s="43">
        <f>SUMIFS($D$15:JA15,$D$6:JA6,(KPI!JA8-'Info Sheet'!$D$22)+1)</f>
        <v>0</v>
      </c>
      <c r="JB17" s="43">
        <f>SUMIFS($D$15:JB15,$D$6:JB6,(KPI!JB8-'Info Sheet'!$D$22)+1)</f>
        <v>0</v>
      </c>
      <c r="JC17" s="43">
        <f>SUMIFS($D$15:JC15,$D$6:JC6,(KPI!JC8-'Info Sheet'!$D$22)+1)</f>
        <v>0</v>
      </c>
      <c r="JD17" s="43">
        <f>SUMIFS($D$15:JD15,$D$6:JD6,(KPI!JD8-'Info Sheet'!$D$22)+1)</f>
        <v>0</v>
      </c>
      <c r="JE17" s="43">
        <f>SUMIFS($D$15:JE15,$D$6:JE6,(KPI!JE8-'Info Sheet'!$D$22)+1)</f>
        <v>0</v>
      </c>
      <c r="JF17" s="43">
        <f>SUMIFS($D$15:JF15,$D$6:JF6,(KPI!JF8-'Info Sheet'!$D$22)+1)</f>
        <v>0</v>
      </c>
      <c r="JG17" s="43">
        <f>SUMIFS($D$15:JG15,$D$6:JG6,(KPI!JG8-'Info Sheet'!$D$22)+1)</f>
        <v>0</v>
      </c>
      <c r="JH17" s="43">
        <f>SUMIFS($D$15:JH15,$D$6:JH6,(KPI!JH8-'Info Sheet'!$D$22)+1)</f>
        <v>0</v>
      </c>
      <c r="JI17" s="43">
        <f>SUMIFS($D$15:JI15,$D$6:JI6,(KPI!JI8-'Info Sheet'!$D$22)+1)</f>
        <v>0</v>
      </c>
      <c r="JJ17" s="43">
        <f>SUMIFS($D$15:JJ15,$D$6:JJ6,(KPI!JJ8-'Info Sheet'!$D$22)+1)</f>
        <v>0</v>
      </c>
      <c r="JK17" s="43">
        <f>SUMIFS($D$15:JK15,$D$6:JK6,(KPI!JK8-'Info Sheet'!$D$22)+1)</f>
        <v>0</v>
      </c>
      <c r="JL17" s="43">
        <f>SUMIFS($D$15:JL15,$D$6:JL6,(KPI!JL8-'Info Sheet'!$D$22)+1)</f>
        <v>0</v>
      </c>
      <c r="JM17" s="43">
        <f>SUMIFS($D$15:JM15,$D$6:JM6,(KPI!JM8-'Info Sheet'!$D$22)+1)</f>
        <v>0</v>
      </c>
      <c r="JN17" s="43">
        <f>SUMIFS($D$15:JN15,$D$6:JN6,(KPI!JN8-'Info Sheet'!$D$22)+1)</f>
        <v>0</v>
      </c>
      <c r="JO17" s="43">
        <f>SUMIFS($D$15:JO15,$D$6:JO6,(KPI!JO8-'Info Sheet'!$D$22)+1)</f>
        <v>0</v>
      </c>
      <c r="JP17" s="43">
        <f>SUMIFS($D$15:JP15,$D$6:JP6,(KPI!JP8-'Info Sheet'!$D$22)+1)</f>
        <v>0</v>
      </c>
      <c r="JQ17" s="43">
        <f>SUMIFS($D$15:JQ15,$D$6:JQ6,(KPI!JQ8-'Info Sheet'!$D$22)+1)</f>
        <v>0</v>
      </c>
      <c r="JR17" s="43">
        <f>SUMIFS($D$15:JR15,$D$6:JR6,(KPI!JR8-'Info Sheet'!$D$22)+1)</f>
        <v>0</v>
      </c>
      <c r="JS17" s="43">
        <f>SUMIFS($D$15:JS15,$D$6:JS6,(KPI!JS8-'Info Sheet'!$D$22)+1)</f>
        <v>0</v>
      </c>
      <c r="JT17" s="43">
        <f>SUMIFS($D$15:JT15,$D$6:JT6,(KPI!JT8-'Info Sheet'!$D$22)+1)</f>
        <v>0</v>
      </c>
      <c r="JU17" s="43">
        <f>SUMIFS($D$15:JU15,$D$6:JU6,(KPI!JU8-'Info Sheet'!$D$22)+1)</f>
        <v>0</v>
      </c>
      <c r="JV17" s="43">
        <f>SUMIFS($D$15:JV15,$D$6:JV6,(KPI!JV8-'Info Sheet'!$D$22)+1)</f>
        <v>0</v>
      </c>
      <c r="JW17" s="43">
        <f>SUMIFS($D$15:JW15,$D$6:JW6,(KPI!JW8-'Info Sheet'!$D$22)+1)</f>
        <v>0</v>
      </c>
      <c r="JX17" s="43">
        <f>SUMIFS($D$15:JX15,$D$6:JX6,(KPI!JX8-'Info Sheet'!$D$22)+1)</f>
        <v>0</v>
      </c>
      <c r="JY17" s="43">
        <f>SUMIFS($D$15:JY15,$D$6:JY6,(KPI!JY8-'Info Sheet'!$D$22)+1)</f>
        <v>0</v>
      </c>
      <c r="JZ17" s="43">
        <f>SUMIFS($D$15:JZ15,$D$6:JZ6,(KPI!JZ8-'Info Sheet'!$D$22)+1)</f>
        <v>0</v>
      </c>
      <c r="KA17" s="43">
        <f>SUMIFS($D$15:KA15,$D$6:KA6,(KPI!KA8-'Info Sheet'!$D$22)+1)</f>
        <v>0</v>
      </c>
      <c r="KB17" s="43">
        <f>SUMIFS($D$15:KB15,$D$6:KB6,(KPI!KB8-'Info Sheet'!$D$22)+1)</f>
        <v>0</v>
      </c>
      <c r="KC17" s="43">
        <f>SUMIFS($D$15:KC15,$D$6:KC6,(KPI!KC8-'Info Sheet'!$D$22)+1)</f>
        <v>0</v>
      </c>
      <c r="KD17" s="43">
        <f>SUMIFS($D$15:KD15,$D$6:KD6,(KPI!KD8-'Info Sheet'!$D$22)+1)</f>
        <v>0</v>
      </c>
      <c r="KE17" s="43">
        <f>SUMIFS($D$15:KE15,$D$6:KE6,(KPI!KE8-'Info Sheet'!$D$22)+1)</f>
        <v>0</v>
      </c>
      <c r="KF17" s="43">
        <f>SUMIFS($D$15:KF15,$D$6:KF6,(KPI!KF8-'Info Sheet'!$D$22)+1)</f>
        <v>0</v>
      </c>
      <c r="KG17" s="43">
        <f>SUMIFS($D$15:KG15,$D$6:KG6,(KPI!KG8-'Info Sheet'!$D$22)+1)</f>
        <v>0</v>
      </c>
      <c r="KH17" s="43">
        <f>SUMIFS($D$15:KH15,$D$6:KH6,(KPI!KH8-'Info Sheet'!$D$22)+1)</f>
        <v>0</v>
      </c>
      <c r="KI17" s="43">
        <f>SUMIFS($D$15:KI15,$D$6:KI6,(KPI!KI8-'Info Sheet'!$D$22)+1)</f>
        <v>0</v>
      </c>
      <c r="KJ17" s="43">
        <f>SUMIFS($D$15:KJ15,$D$6:KJ6,(KPI!KJ8-'Info Sheet'!$D$22)+1)</f>
        <v>0</v>
      </c>
      <c r="KK17" s="43">
        <f>SUMIFS($D$15:KK15,$D$6:KK6,(KPI!KK8-'Info Sheet'!$D$22)+1)</f>
        <v>0</v>
      </c>
      <c r="KL17" s="43">
        <f>SUMIFS($D$15:KL15,$D$6:KL6,(KPI!KL8-'Info Sheet'!$D$22)+1)</f>
        <v>0</v>
      </c>
      <c r="KM17" s="43">
        <f>SUMIFS($D$15:KM15,$D$6:KM6,(KPI!KM8-'Info Sheet'!$D$22)+1)</f>
        <v>0</v>
      </c>
      <c r="KN17" s="43">
        <f>SUMIFS($D$15:KN15,$D$6:KN6,(KPI!KN8-'Info Sheet'!$D$22)+1)</f>
        <v>0</v>
      </c>
      <c r="KO17" s="43">
        <f>SUMIFS($D$15:KO15,$D$6:KO6,(KPI!KO8-'Info Sheet'!$D$22)+1)</f>
        <v>0</v>
      </c>
      <c r="KP17" s="43">
        <f>SUMIFS($D$15:KP15,$D$6:KP6,(KPI!KP8-'Info Sheet'!$D$22)+1)</f>
        <v>0</v>
      </c>
      <c r="KQ17" s="43">
        <f>SUMIFS($D$15:KQ15,$D$6:KQ6,(KPI!KQ8-'Info Sheet'!$D$22)+1)</f>
        <v>0</v>
      </c>
      <c r="KR17" s="43">
        <f>SUMIFS($D$15:KR15,$D$6:KR6,(KPI!KR8-'Info Sheet'!$D$22)+1)</f>
        <v>0</v>
      </c>
      <c r="KS17" s="43">
        <f>SUMIFS($D$15:KS15,$D$6:KS6,(KPI!KS8-'Info Sheet'!$D$22)+1)</f>
        <v>0</v>
      </c>
      <c r="KT17" s="43">
        <f>SUMIFS($D$15:KT15,$D$6:KT6,(KPI!KT8-'Info Sheet'!$D$22)+1)</f>
        <v>0</v>
      </c>
      <c r="KU17" s="43">
        <f>SUMIFS($D$15:KU15,$D$6:KU6,(KPI!KU8-'Info Sheet'!$D$22)+1)</f>
        <v>0</v>
      </c>
      <c r="KV17" s="43">
        <f>SUMIFS($D$15:KV15,$D$6:KV6,(KPI!KV8-'Info Sheet'!$D$22)+1)</f>
        <v>0</v>
      </c>
      <c r="KW17" s="43">
        <f>SUMIFS($D$15:KW15,$D$6:KW6,(KPI!KW8-'Info Sheet'!$D$22)+1)</f>
        <v>0</v>
      </c>
      <c r="KX17" s="43">
        <f>SUMIFS($D$15:KX15,$D$6:KX6,(KPI!KX8-'Info Sheet'!$D$22)+1)</f>
        <v>0</v>
      </c>
      <c r="KY17" s="43">
        <f>SUMIFS($D$15:KY15,$D$6:KY6,(KPI!KY8-'Info Sheet'!$D$22)+1)</f>
        <v>0</v>
      </c>
      <c r="KZ17" s="43">
        <f>SUMIFS($D$15:KZ15,$D$6:KZ6,(KPI!KZ8-'Info Sheet'!$D$22)+1)</f>
        <v>0</v>
      </c>
      <c r="LA17" s="43">
        <f>SUMIFS($D$15:LA15,$D$6:LA6,(KPI!LA8-'Info Sheet'!$D$22)+1)</f>
        <v>0</v>
      </c>
      <c r="LB17" s="43">
        <f>SUMIFS($D$15:LB15,$D$6:LB6,(KPI!LB8-'Info Sheet'!$D$22)+1)</f>
        <v>0</v>
      </c>
      <c r="LC17" s="43">
        <f>SUMIFS($D$15:LC15,$D$6:LC6,(KPI!LC8-'Info Sheet'!$D$22)+1)</f>
        <v>0</v>
      </c>
      <c r="LD17" s="43">
        <f>SUMIFS($D$15:LD15,$D$6:LD6,(KPI!LD8-'Info Sheet'!$D$22)+1)</f>
        <v>0</v>
      </c>
      <c r="LE17" s="43">
        <f>SUMIFS($D$15:LE15,$D$6:LE6,(KPI!LE8-'Info Sheet'!$D$22)+1)</f>
        <v>0</v>
      </c>
      <c r="LF17" s="43">
        <f>SUMIFS($D$15:LF15,$D$6:LF6,(KPI!LF8-'Info Sheet'!$D$22)+1)</f>
        <v>0</v>
      </c>
      <c r="LG17" s="43">
        <f>SUMIFS($D$15:LG15,$D$6:LG6,(KPI!LG8-'Info Sheet'!$D$22)+1)</f>
        <v>0</v>
      </c>
      <c r="LH17" s="43">
        <f>SUMIFS($D$15:LH15,$D$6:LH6,(KPI!LH8-'Info Sheet'!$D$22)+1)</f>
        <v>0</v>
      </c>
      <c r="LI17" s="43">
        <f>SUMIFS($D$15:LI15,$D$6:LI6,(KPI!LI8-'Info Sheet'!$D$22)+1)</f>
        <v>0</v>
      </c>
      <c r="LJ17" s="43">
        <f>SUMIFS($D$15:LJ15,$D$6:LJ6,(KPI!LJ8-'Info Sheet'!$D$22)+1)</f>
        <v>0</v>
      </c>
      <c r="LK17" s="43">
        <f>SUMIFS($D$15:LK15,$D$6:LK6,(KPI!LK8-'Info Sheet'!$D$22)+1)</f>
        <v>0</v>
      </c>
      <c r="LL17" s="43">
        <f>SUMIFS($D$15:LL15,$D$6:LL6,(KPI!LL8-'Info Sheet'!$D$22)+1)</f>
        <v>0</v>
      </c>
      <c r="LM17" s="43">
        <f>SUMIFS($D$15:LM15,$D$6:LM6,(KPI!LM8-'Info Sheet'!$D$22)+1)</f>
        <v>0</v>
      </c>
      <c r="LN17" s="43">
        <f>SUMIFS($D$15:LN15,$D$6:LN6,(KPI!LN8-'Info Sheet'!$D$22)+1)</f>
        <v>0</v>
      </c>
      <c r="LO17" s="43">
        <f>SUMIFS($D$15:LO15,$D$6:LO6,(KPI!LO8-'Info Sheet'!$D$22)+1)</f>
        <v>0</v>
      </c>
      <c r="LP17" s="43">
        <f>SUMIFS($D$15:LP15,$D$6:LP6,(KPI!LP8-'Info Sheet'!$D$22)+1)</f>
        <v>0</v>
      </c>
      <c r="LQ17" s="43">
        <f>SUMIFS($D$15:LQ15,$D$6:LQ6,(KPI!LQ8-'Info Sheet'!$D$22)+1)</f>
        <v>0</v>
      </c>
      <c r="LR17" s="43">
        <f>SUMIFS($D$15:LR15,$D$6:LR6,(KPI!LR8-'Info Sheet'!$D$22)+1)</f>
        <v>0</v>
      </c>
      <c r="LS17" s="43">
        <f>SUMIFS($D$15:LS15,$D$6:LS6,(KPI!LS8-'Info Sheet'!$D$22)+1)</f>
        <v>0</v>
      </c>
      <c r="LT17" s="43">
        <f>SUMIFS($D$15:LT15,$D$6:LT6,(KPI!LT8-'Info Sheet'!$D$22)+1)</f>
        <v>0</v>
      </c>
      <c r="LU17" s="43">
        <f>SUMIFS($D$15:LU15,$D$6:LU6,(KPI!LU8-'Info Sheet'!$D$22)+1)</f>
        <v>0</v>
      </c>
      <c r="LV17" s="43">
        <f>SUMIFS($D$15:LV15,$D$6:LV6,(KPI!LV8-'Info Sheet'!$D$22)+1)</f>
        <v>0</v>
      </c>
      <c r="LW17" s="43">
        <f>SUMIFS($D$15:LW15,$D$6:LW6,(KPI!LW8-'Info Sheet'!$D$22)+1)</f>
        <v>0</v>
      </c>
      <c r="LX17" s="43">
        <f>SUMIFS($D$15:LX15,$D$6:LX6,(KPI!LX8-'Info Sheet'!$D$22)+1)</f>
        <v>0</v>
      </c>
      <c r="LY17" s="43">
        <f>SUMIFS($D$15:LY15,$D$6:LY6,(KPI!LY8-'Info Sheet'!$D$22)+1)</f>
        <v>0</v>
      </c>
      <c r="MA17" s="2"/>
    </row>
    <row r="18" spans="2:339">
      <c r="B18" s="147"/>
      <c r="C18" s="51" t="s">
        <v>52</v>
      </c>
      <c r="E18" s="1" t="str">
        <f>IFERROR((((E17*1000000)/E12)*E4),"-")</f>
        <v>-</v>
      </c>
      <c r="F18" s="1" t="str">
        <f t="shared" ref="F18:BQ18" si="349">IFERROR((((F17*1000000)/F12)*F4),"-")</f>
        <v>-</v>
      </c>
      <c r="G18" s="1" t="str">
        <f t="shared" si="349"/>
        <v>-</v>
      </c>
      <c r="H18" s="1" t="str">
        <f t="shared" si="349"/>
        <v>-</v>
      </c>
      <c r="I18" s="1" t="str">
        <f t="shared" si="349"/>
        <v>-</v>
      </c>
      <c r="J18" s="1" t="str">
        <f t="shared" si="349"/>
        <v>-</v>
      </c>
      <c r="K18" s="1" t="str">
        <f t="shared" si="349"/>
        <v>-</v>
      </c>
      <c r="L18" s="1" t="str">
        <f t="shared" si="349"/>
        <v>-</v>
      </c>
      <c r="M18" s="1" t="str">
        <f t="shared" si="349"/>
        <v>-</v>
      </c>
      <c r="N18" s="1" t="str">
        <f t="shared" si="349"/>
        <v>-</v>
      </c>
      <c r="O18" s="1" t="str">
        <f t="shared" si="349"/>
        <v>-</v>
      </c>
      <c r="P18" s="1" t="str">
        <f t="shared" si="349"/>
        <v>-</v>
      </c>
      <c r="Q18" s="1" t="str">
        <f t="shared" si="349"/>
        <v>-</v>
      </c>
      <c r="R18" s="1" t="str">
        <f t="shared" si="349"/>
        <v>-</v>
      </c>
      <c r="S18" s="1" t="str">
        <f t="shared" si="349"/>
        <v>-</v>
      </c>
      <c r="T18" s="1" t="str">
        <f t="shared" si="349"/>
        <v>-</v>
      </c>
      <c r="U18" s="1" t="str">
        <f t="shared" si="349"/>
        <v>-</v>
      </c>
      <c r="V18" s="1" t="str">
        <f t="shared" si="349"/>
        <v>-</v>
      </c>
      <c r="W18" s="1" t="str">
        <f t="shared" si="349"/>
        <v>-</v>
      </c>
      <c r="X18" s="1" t="str">
        <f t="shared" si="349"/>
        <v>-</v>
      </c>
      <c r="Y18" s="1" t="str">
        <f t="shared" si="349"/>
        <v>-</v>
      </c>
      <c r="Z18" s="1" t="str">
        <f t="shared" si="349"/>
        <v>-</v>
      </c>
      <c r="AA18" s="1" t="str">
        <f t="shared" si="349"/>
        <v>-</v>
      </c>
      <c r="AB18" s="1" t="str">
        <f t="shared" si="349"/>
        <v>-</v>
      </c>
      <c r="AC18" s="1" t="str">
        <f t="shared" si="349"/>
        <v>-</v>
      </c>
      <c r="AD18" s="1" t="str">
        <f t="shared" si="349"/>
        <v>-</v>
      </c>
      <c r="AE18" s="1" t="str">
        <f t="shared" si="349"/>
        <v>-</v>
      </c>
      <c r="AF18" s="1" t="str">
        <f t="shared" si="349"/>
        <v>-</v>
      </c>
      <c r="AG18" s="1" t="str">
        <f t="shared" si="349"/>
        <v>-</v>
      </c>
      <c r="AH18" s="1" t="str">
        <f t="shared" si="349"/>
        <v>-</v>
      </c>
      <c r="AI18" s="1" t="str">
        <f t="shared" si="349"/>
        <v>-</v>
      </c>
      <c r="AJ18" s="1" t="str">
        <f t="shared" si="349"/>
        <v>-</v>
      </c>
      <c r="AK18" s="1" t="str">
        <f t="shared" si="349"/>
        <v>-</v>
      </c>
      <c r="AL18" s="1" t="str">
        <f t="shared" si="349"/>
        <v>-</v>
      </c>
      <c r="AM18" s="1" t="str">
        <f t="shared" si="349"/>
        <v>-</v>
      </c>
      <c r="AN18" s="1" t="str">
        <f t="shared" si="349"/>
        <v>-</v>
      </c>
      <c r="AO18" s="1" t="str">
        <f t="shared" si="349"/>
        <v>-</v>
      </c>
      <c r="AP18" s="1" t="str">
        <f t="shared" si="349"/>
        <v>-</v>
      </c>
      <c r="AQ18" s="1" t="str">
        <f t="shared" si="349"/>
        <v>-</v>
      </c>
      <c r="AR18" s="1" t="str">
        <f t="shared" si="349"/>
        <v>-</v>
      </c>
      <c r="AS18" s="1" t="str">
        <f t="shared" si="349"/>
        <v>-</v>
      </c>
      <c r="AT18" s="1" t="str">
        <f t="shared" si="349"/>
        <v>-</v>
      </c>
      <c r="AU18" s="1" t="str">
        <f t="shared" si="349"/>
        <v>-</v>
      </c>
      <c r="AV18" s="1" t="str">
        <f t="shared" si="349"/>
        <v>-</v>
      </c>
      <c r="AW18" s="1" t="str">
        <f t="shared" si="349"/>
        <v>-</v>
      </c>
      <c r="AX18" s="1" t="str">
        <f t="shared" si="349"/>
        <v>-</v>
      </c>
      <c r="AY18" s="1" t="str">
        <f t="shared" si="349"/>
        <v>-</v>
      </c>
      <c r="AZ18" s="1" t="str">
        <f t="shared" si="349"/>
        <v>-</v>
      </c>
      <c r="BA18" s="1" t="str">
        <f t="shared" si="349"/>
        <v>-</v>
      </c>
      <c r="BB18" s="1" t="str">
        <f t="shared" si="349"/>
        <v>-</v>
      </c>
      <c r="BC18" s="1" t="str">
        <f t="shared" si="349"/>
        <v>-</v>
      </c>
      <c r="BD18" s="1" t="str">
        <f t="shared" si="349"/>
        <v>-</v>
      </c>
      <c r="BE18" s="1" t="str">
        <f t="shared" si="349"/>
        <v>-</v>
      </c>
      <c r="BF18" s="1" t="str">
        <f t="shared" si="349"/>
        <v>-</v>
      </c>
      <c r="BG18" s="1" t="str">
        <f t="shared" si="349"/>
        <v>-</v>
      </c>
      <c r="BH18" s="1" t="str">
        <f t="shared" si="349"/>
        <v>-</v>
      </c>
      <c r="BI18" s="1" t="str">
        <f t="shared" si="349"/>
        <v>-</v>
      </c>
      <c r="BJ18" s="1" t="str">
        <f t="shared" si="349"/>
        <v>-</v>
      </c>
      <c r="BK18" s="1" t="str">
        <f t="shared" si="349"/>
        <v>-</v>
      </c>
      <c r="BL18" s="1" t="str">
        <f t="shared" si="349"/>
        <v>-</v>
      </c>
      <c r="BM18" s="1" t="str">
        <f t="shared" si="349"/>
        <v>-</v>
      </c>
      <c r="BN18" s="1" t="str">
        <f t="shared" si="349"/>
        <v>-</v>
      </c>
      <c r="BO18" s="1" t="str">
        <f t="shared" si="349"/>
        <v>-</v>
      </c>
      <c r="BP18" s="1" t="str">
        <f t="shared" si="349"/>
        <v>-</v>
      </c>
      <c r="BQ18" s="1" t="str">
        <f t="shared" si="349"/>
        <v>-</v>
      </c>
      <c r="BR18" s="1" t="str">
        <f t="shared" ref="BR18:EC18" si="350">IFERROR((((BR17*1000000)/BR12)*BR4),"-")</f>
        <v>-</v>
      </c>
      <c r="BS18" s="1" t="str">
        <f t="shared" si="350"/>
        <v>-</v>
      </c>
      <c r="BT18" s="1" t="str">
        <f t="shared" si="350"/>
        <v>-</v>
      </c>
      <c r="BU18" s="1" t="str">
        <f t="shared" si="350"/>
        <v>-</v>
      </c>
      <c r="BV18" s="1" t="str">
        <f t="shared" si="350"/>
        <v>-</v>
      </c>
      <c r="BW18" s="1" t="str">
        <f t="shared" si="350"/>
        <v>-</v>
      </c>
      <c r="BX18" s="1" t="str">
        <f t="shared" si="350"/>
        <v>-</v>
      </c>
      <c r="BY18" s="1" t="str">
        <f t="shared" si="350"/>
        <v>-</v>
      </c>
      <c r="BZ18" s="1" t="str">
        <f t="shared" si="350"/>
        <v>-</v>
      </c>
      <c r="CA18" s="1" t="str">
        <f t="shared" si="350"/>
        <v>-</v>
      </c>
      <c r="CB18" s="1" t="str">
        <f t="shared" si="350"/>
        <v>-</v>
      </c>
      <c r="CC18" s="1" t="str">
        <f t="shared" si="350"/>
        <v>-</v>
      </c>
      <c r="CD18" s="1" t="str">
        <f t="shared" si="350"/>
        <v>-</v>
      </c>
      <c r="CE18" s="1" t="str">
        <f t="shared" si="350"/>
        <v>-</v>
      </c>
      <c r="CF18" s="1" t="str">
        <f t="shared" si="350"/>
        <v>-</v>
      </c>
      <c r="CG18" s="1" t="str">
        <f t="shared" si="350"/>
        <v>-</v>
      </c>
      <c r="CH18" s="1" t="str">
        <f t="shared" si="350"/>
        <v>-</v>
      </c>
      <c r="CI18" s="1" t="str">
        <f t="shared" si="350"/>
        <v>-</v>
      </c>
      <c r="CJ18" s="1" t="str">
        <f t="shared" si="350"/>
        <v>-</v>
      </c>
      <c r="CK18" s="1" t="str">
        <f t="shared" si="350"/>
        <v>-</v>
      </c>
      <c r="CL18" s="1" t="str">
        <f t="shared" si="350"/>
        <v>-</v>
      </c>
      <c r="CM18" s="1" t="str">
        <f t="shared" si="350"/>
        <v>-</v>
      </c>
      <c r="CN18" s="1" t="str">
        <f t="shared" si="350"/>
        <v>-</v>
      </c>
      <c r="CO18" s="1" t="str">
        <f t="shared" si="350"/>
        <v>-</v>
      </c>
      <c r="CP18" s="1" t="str">
        <f t="shared" si="350"/>
        <v>-</v>
      </c>
      <c r="CQ18" s="1" t="str">
        <f t="shared" si="350"/>
        <v>-</v>
      </c>
      <c r="CR18" s="1" t="str">
        <f t="shared" si="350"/>
        <v>-</v>
      </c>
      <c r="CS18" s="1" t="str">
        <f t="shared" si="350"/>
        <v>-</v>
      </c>
      <c r="CT18" s="1" t="str">
        <f t="shared" si="350"/>
        <v>-</v>
      </c>
      <c r="CU18" s="1" t="str">
        <f t="shared" si="350"/>
        <v>-</v>
      </c>
      <c r="CV18" s="1" t="str">
        <f t="shared" si="350"/>
        <v>-</v>
      </c>
      <c r="CW18" s="1" t="str">
        <f t="shared" si="350"/>
        <v>-</v>
      </c>
      <c r="CX18" s="1" t="str">
        <f t="shared" si="350"/>
        <v>-</v>
      </c>
      <c r="CY18" s="1" t="str">
        <f t="shared" si="350"/>
        <v>-</v>
      </c>
      <c r="CZ18" s="1" t="str">
        <f t="shared" si="350"/>
        <v>-</v>
      </c>
      <c r="DA18" s="1" t="str">
        <f t="shared" si="350"/>
        <v>-</v>
      </c>
      <c r="DB18" s="1" t="str">
        <f t="shared" si="350"/>
        <v>-</v>
      </c>
      <c r="DC18" s="1" t="str">
        <f t="shared" si="350"/>
        <v>-</v>
      </c>
      <c r="DD18" s="1" t="str">
        <f t="shared" si="350"/>
        <v>-</v>
      </c>
      <c r="DE18" s="1" t="str">
        <f t="shared" si="350"/>
        <v>-</v>
      </c>
      <c r="DF18" s="1" t="str">
        <f t="shared" si="350"/>
        <v>-</v>
      </c>
      <c r="DG18" s="1" t="str">
        <f t="shared" si="350"/>
        <v>-</v>
      </c>
      <c r="DH18" s="1" t="str">
        <f t="shared" si="350"/>
        <v>-</v>
      </c>
      <c r="DI18" s="1" t="str">
        <f t="shared" si="350"/>
        <v>-</v>
      </c>
      <c r="DJ18" s="1" t="str">
        <f t="shared" si="350"/>
        <v>-</v>
      </c>
      <c r="DK18" s="1" t="str">
        <f t="shared" si="350"/>
        <v>-</v>
      </c>
      <c r="DL18" s="1" t="str">
        <f t="shared" si="350"/>
        <v>-</v>
      </c>
      <c r="DM18" s="1" t="str">
        <f t="shared" si="350"/>
        <v>-</v>
      </c>
      <c r="DN18" s="1" t="str">
        <f t="shared" si="350"/>
        <v>-</v>
      </c>
      <c r="DO18" s="1" t="str">
        <f t="shared" si="350"/>
        <v>-</v>
      </c>
      <c r="DP18" s="1" t="str">
        <f t="shared" si="350"/>
        <v>-</v>
      </c>
      <c r="DQ18" s="1" t="str">
        <f t="shared" si="350"/>
        <v>-</v>
      </c>
      <c r="DR18" s="1" t="str">
        <f t="shared" si="350"/>
        <v>-</v>
      </c>
      <c r="DS18" s="1" t="str">
        <f t="shared" si="350"/>
        <v>-</v>
      </c>
      <c r="DT18" s="1" t="str">
        <f t="shared" si="350"/>
        <v>-</v>
      </c>
      <c r="DU18" s="1" t="str">
        <f t="shared" si="350"/>
        <v>-</v>
      </c>
      <c r="DV18" s="1" t="str">
        <f t="shared" si="350"/>
        <v>-</v>
      </c>
      <c r="DW18" s="1" t="str">
        <f t="shared" si="350"/>
        <v>-</v>
      </c>
      <c r="DX18" s="1" t="str">
        <f t="shared" si="350"/>
        <v>-</v>
      </c>
      <c r="DY18" s="1" t="str">
        <f t="shared" si="350"/>
        <v>-</v>
      </c>
      <c r="DZ18" s="1" t="str">
        <f t="shared" si="350"/>
        <v>-</v>
      </c>
      <c r="EA18" s="1" t="str">
        <f t="shared" si="350"/>
        <v>-</v>
      </c>
      <c r="EB18" s="1" t="str">
        <f t="shared" si="350"/>
        <v>-</v>
      </c>
      <c r="EC18" s="1" t="str">
        <f t="shared" si="350"/>
        <v>-</v>
      </c>
      <c r="ED18" s="1" t="str">
        <f t="shared" ref="ED18:LY18" si="351">IFERROR((((ED17*1000000)/ED12)*ED4),"-")</f>
        <v>-</v>
      </c>
      <c r="EE18" s="1" t="str">
        <f t="shared" si="351"/>
        <v>-</v>
      </c>
      <c r="EF18" s="1" t="str">
        <f t="shared" si="351"/>
        <v>-</v>
      </c>
      <c r="EG18" s="1" t="str">
        <f t="shared" si="351"/>
        <v>-</v>
      </c>
      <c r="EH18" s="1" t="str">
        <f t="shared" si="351"/>
        <v>-</v>
      </c>
      <c r="EI18" s="1" t="str">
        <f t="shared" si="351"/>
        <v>-</v>
      </c>
      <c r="EJ18" s="1" t="str">
        <f t="shared" si="351"/>
        <v>-</v>
      </c>
      <c r="EK18" s="1" t="str">
        <f t="shared" si="351"/>
        <v>-</v>
      </c>
      <c r="EL18" s="1" t="str">
        <f t="shared" si="351"/>
        <v>-</v>
      </c>
      <c r="EM18" s="1" t="str">
        <f t="shared" si="351"/>
        <v>-</v>
      </c>
      <c r="EN18" s="1" t="str">
        <f t="shared" si="351"/>
        <v>-</v>
      </c>
      <c r="EO18" s="1" t="str">
        <f t="shared" si="351"/>
        <v>-</v>
      </c>
      <c r="EP18" s="1" t="str">
        <f t="shared" si="351"/>
        <v>-</v>
      </c>
      <c r="EQ18" s="1" t="str">
        <f t="shared" si="351"/>
        <v>-</v>
      </c>
      <c r="ER18" s="1" t="str">
        <f t="shared" si="351"/>
        <v>-</v>
      </c>
      <c r="ES18" s="1" t="str">
        <f t="shared" si="351"/>
        <v>-</v>
      </c>
      <c r="ET18" s="1" t="str">
        <f t="shared" si="351"/>
        <v>-</v>
      </c>
      <c r="EU18" s="1" t="str">
        <f t="shared" si="351"/>
        <v>-</v>
      </c>
      <c r="EV18" s="1" t="str">
        <f t="shared" si="351"/>
        <v>-</v>
      </c>
      <c r="EW18" s="1" t="str">
        <f t="shared" ref="EW18:HH18" si="352">IFERROR((((EW17*1000000)/EW12)*EW4),"-")</f>
        <v>-</v>
      </c>
      <c r="EX18" s="1" t="str">
        <f t="shared" si="352"/>
        <v>-</v>
      </c>
      <c r="EY18" s="1" t="str">
        <f t="shared" si="352"/>
        <v>-</v>
      </c>
      <c r="EZ18" s="1" t="str">
        <f t="shared" si="352"/>
        <v>-</v>
      </c>
      <c r="FA18" s="1" t="str">
        <f t="shared" si="352"/>
        <v>-</v>
      </c>
      <c r="FB18" s="1" t="str">
        <f t="shared" si="352"/>
        <v>-</v>
      </c>
      <c r="FC18" s="1" t="str">
        <f t="shared" si="352"/>
        <v>-</v>
      </c>
      <c r="FD18" s="1" t="str">
        <f t="shared" si="352"/>
        <v>-</v>
      </c>
      <c r="FE18" s="1" t="str">
        <f t="shared" si="352"/>
        <v>-</v>
      </c>
      <c r="FF18" s="1" t="str">
        <f t="shared" si="352"/>
        <v>-</v>
      </c>
      <c r="FG18" s="1" t="str">
        <f t="shared" si="352"/>
        <v>-</v>
      </c>
      <c r="FH18" s="1" t="str">
        <f t="shared" si="352"/>
        <v>-</v>
      </c>
      <c r="FI18" s="1" t="str">
        <f t="shared" si="352"/>
        <v>-</v>
      </c>
      <c r="FJ18" s="1" t="str">
        <f t="shared" si="352"/>
        <v>-</v>
      </c>
      <c r="FK18" s="1" t="str">
        <f t="shared" si="352"/>
        <v>-</v>
      </c>
      <c r="FL18" s="1" t="str">
        <f t="shared" si="352"/>
        <v>-</v>
      </c>
      <c r="FM18" s="1" t="str">
        <f t="shared" si="352"/>
        <v>-</v>
      </c>
      <c r="FN18" s="1" t="str">
        <f t="shared" si="352"/>
        <v>-</v>
      </c>
      <c r="FO18" s="1" t="str">
        <f t="shared" si="352"/>
        <v>-</v>
      </c>
      <c r="FP18" s="1" t="str">
        <f t="shared" si="352"/>
        <v>-</v>
      </c>
      <c r="FQ18" s="1" t="str">
        <f t="shared" si="352"/>
        <v>-</v>
      </c>
      <c r="FR18" s="1" t="str">
        <f t="shared" si="352"/>
        <v>-</v>
      </c>
      <c r="FS18" s="1" t="str">
        <f t="shared" si="352"/>
        <v>-</v>
      </c>
      <c r="FT18" s="1" t="str">
        <f t="shared" si="352"/>
        <v>-</v>
      </c>
      <c r="FU18" s="1" t="str">
        <f t="shared" si="352"/>
        <v>-</v>
      </c>
      <c r="FV18" s="1" t="str">
        <f t="shared" si="352"/>
        <v>-</v>
      </c>
      <c r="FW18" s="1" t="str">
        <f t="shared" si="352"/>
        <v>-</v>
      </c>
      <c r="FX18" s="1" t="str">
        <f t="shared" si="352"/>
        <v>-</v>
      </c>
      <c r="FY18" s="1" t="str">
        <f t="shared" si="352"/>
        <v>-</v>
      </c>
      <c r="FZ18" s="1" t="str">
        <f t="shared" si="352"/>
        <v>-</v>
      </c>
      <c r="GA18" s="1" t="str">
        <f t="shared" si="352"/>
        <v>-</v>
      </c>
      <c r="GB18" s="1" t="str">
        <f t="shared" si="352"/>
        <v>-</v>
      </c>
      <c r="GC18" s="1" t="str">
        <f t="shared" si="352"/>
        <v>-</v>
      </c>
      <c r="GD18" s="1" t="str">
        <f t="shared" si="352"/>
        <v>-</v>
      </c>
      <c r="GE18" s="1" t="str">
        <f t="shared" si="352"/>
        <v>-</v>
      </c>
      <c r="GF18" s="1" t="str">
        <f t="shared" si="352"/>
        <v>-</v>
      </c>
      <c r="GG18" s="1" t="str">
        <f t="shared" si="352"/>
        <v>-</v>
      </c>
      <c r="GH18" s="1" t="str">
        <f t="shared" si="352"/>
        <v>-</v>
      </c>
      <c r="GI18" s="1" t="str">
        <f t="shared" si="352"/>
        <v>-</v>
      </c>
      <c r="GJ18" s="1" t="str">
        <f t="shared" si="352"/>
        <v>-</v>
      </c>
      <c r="GK18" s="1" t="str">
        <f t="shared" si="352"/>
        <v>-</v>
      </c>
      <c r="GL18" s="1" t="str">
        <f t="shared" si="352"/>
        <v>-</v>
      </c>
      <c r="GM18" s="1" t="str">
        <f t="shared" si="352"/>
        <v>-</v>
      </c>
      <c r="GN18" s="1" t="str">
        <f t="shared" si="352"/>
        <v>-</v>
      </c>
      <c r="GO18" s="1" t="str">
        <f t="shared" si="352"/>
        <v>-</v>
      </c>
      <c r="GP18" s="1" t="str">
        <f t="shared" si="352"/>
        <v>-</v>
      </c>
      <c r="GQ18" s="1" t="str">
        <f t="shared" si="352"/>
        <v>-</v>
      </c>
      <c r="GR18" s="1" t="str">
        <f t="shared" si="352"/>
        <v>-</v>
      </c>
      <c r="GS18" s="1" t="str">
        <f t="shared" si="352"/>
        <v>-</v>
      </c>
      <c r="GT18" s="1" t="str">
        <f t="shared" si="352"/>
        <v>-</v>
      </c>
      <c r="GU18" s="1" t="str">
        <f t="shared" si="352"/>
        <v>-</v>
      </c>
      <c r="GV18" s="1" t="str">
        <f t="shared" si="352"/>
        <v>-</v>
      </c>
      <c r="GW18" s="1" t="str">
        <f t="shared" si="352"/>
        <v>-</v>
      </c>
      <c r="GX18" s="1" t="str">
        <f t="shared" si="352"/>
        <v>-</v>
      </c>
      <c r="GY18" s="1" t="str">
        <f t="shared" si="352"/>
        <v>-</v>
      </c>
      <c r="GZ18" s="1" t="str">
        <f t="shared" si="352"/>
        <v>-</v>
      </c>
      <c r="HA18" s="1" t="str">
        <f t="shared" si="352"/>
        <v>-</v>
      </c>
      <c r="HB18" s="1" t="str">
        <f t="shared" si="352"/>
        <v>-</v>
      </c>
      <c r="HC18" s="1" t="str">
        <f t="shared" si="352"/>
        <v>-</v>
      </c>
      <c r="HD18" s="1" t="str">
        <f t="shared" si="352"/>
        <v>-</v>
      </c>
      <c r="HE18" s="1" t="str">
        <f t="shared" si="352"/>
        <v>-</v>
      </c>
      <c r="HF18" s="1" t="str">
        <f t="shared" si="352"/>
        <v>-</v>
      </c>
      <c r="HG18" s="1" t="str">
        <f t="shared" si="352"/>
        <v>-</v>
      </c>
      <c r="HH18" s="1" t="str">
        <f t="shared" si="352"/>
        <v>-</v>
      </c>
      <c r="HI18" s="1" t="str">
        <f t="shared" ref="HI18:JT18" si="353">IFERROR((((HI17*1000000)/HI12)*HI4),"-")</f>
        <v>-</v>
      </c>
      <c r="HJ18" s="1" t="str">
        <f t="shared" si="353"/>
        <v>-</v>
      </c>
      <c r="HK18" s="1" t="str">
        <f t="shared" si="353"/>
        <v>-</v>
      </c>
      <c r="HL18" s="1" t="str">
        <f t="shared" si="353"/>
        <v>-</v>
      </c>
      <c r="HM18" s="1" t="str">
        <f t="shared" si="353"/>
        <v>-</v>
      </c>
      <c r="HN18" s="1" t="str">
        <f t="shared" si="353"/>
        <v>-</v>
      </c>
      <c r="HO18" s="1" t="str">
        <f t="shared" si="353"/>
        <v>-</v>
      </c>
      <c r="HP18" s="1" t="str">
        <f t="shared" si="353"/>
        <v>-</v>
      </c>
      <c r="HQ18" s="1" t="str">
        <f t="shared" si="353"/>
        <v>-</v>
      </c>
      <c r="HR18" s="1" t="str">
        <f t="shared" si="353"/>
        <v>-</v>
      </c>
      <c r="HS18" s="1" t="str">
        <f t="shared" si="353"/>
        <v>-</v>
      </c>
      <c r="HT18" s="1" t="str">
        <f t="shared" si="353"/>
        <v>-</v>
      </c>
      <c r="HU18" s="1" t="str">
        <f t="shared" si="353"/>
        <v>-</v>
      </c>
      <c r="HV18" s="1" t="str">
        <f t="shared" si="353"/>
        <v>-</v>
      </c>
      <c r="HW18" s="1" t="str">
        <f t="shared" si="353"/>
        <v>-</v>
      </c>
      <c r="HX18" s="1" t="str">
        <f t="shared" si="353"/>
        <v>-</v>
      </c>
      <c r="HY18" s="1" t="str">
        <f t="shared" si="353"/>
        <v>-</v>
      </c>
      <c r="HZ18" s="1" t="str">
        <f t="shared" si="353"/>
        <v>-</v>
      </c>
      <c r="IA18" s="1" t="str">
        <f t="shared" si="353"/>
        <v>-</v>
      </c>
      <c r="IB18" s="1" t="str">
        <f t="shared" si="353"/>
        <v>-</v>
      </c>
      <c r="IC18" s="1" t="str">
        <f t="shared" si="353"/>
        <v>-</v>
      </c>
      <c r="ID18" s="1" t="str">
        <f t="shared" si="353"/>
        <v>-</v>
      </c>
      <c r="IE18" s="1" t="str">
        <f t="shared" si="353"/>
        <v>-</v>
      </c>
      <c r="IF18" s="1" t="str">
        <f t="shared" si="353"/>
        <v>-</v>
      </c>
      <c r="IG18" s="1" t="str">
        <f t="shared" si="353"/>
        <v>-</v>
      </c>
      <c r="IH18" s="1" t="str">
        <f t="shared" si="353"/>
        <v>-</v>
      </c>
      <c r="II18" s="1" t="str">
        <f t="shared" si="353"/>
        <v>-</v>
      </c>
      <c r="IJ18" s="1" t="str">
        <f t="shared" si="353"/>
        <v>-</v>
      </c>
      <c r="IK18" s="1" t="str">
        <f t="shared" si="353"/>
        <v>-</v>
      </c>
      <c r="IL18" s="1" t="str">
        <f t="shared" si="353"/>
        <v>-</v>
      </c>
      <c r="IM18" s="1" t="str">
        <f t="shared" si="353"/>
        <v>-</v>
      </c>
      <c r="IN18" s="1" t="str">
        <f t="shared" si="353"/>
        <v>-</v>
      </c>
      <c r="IO18" s="1" t="str">
        <f t="shared" si="353"/>
        <v>-</v>
      </c>
      <c r="IP18" s="1" t="str">
        <f t="shared" si="353"/>
        <v>-</v>
      </c>
      <c r="IQ18" s="1" t="str">
        <f t="shared" si="353"/>
        <v>-</v>
      </c>
      <c r="IR18" s="1" t="str">
        <f t="shared" si="353"/>
        <v>-</v>
      </c>
      <c r="IS18" s="1" t="str">
        <f t="shared" si="353"/>
        <v>-</v>
      </c>
      <c r="IT18" s="1" t="str">
        <f t="shared" si="353"/>
        <v>-</v>
      </c>
      <c r="IU18" s="1" t="str">
        <f t="shared" si="353"/>
        <v>-</v>
      </c>
      <c r="IV18" s="1" t="str">
        <f t="shared" si="353"/>
        <v>-</v>
      </c>
      <c r="IW18" s="1" t="str">
        <f t="shared" si="353"/>
        <v>-</v>
      </c>
      <c r="IX18" s="1" t="str">
        <f t="shared" si="353"/>
        <v>-</v>
      </c>
      <c r="IY18" s="1" t="str">
        <f t="shared" si="353"/>
        <v>-</v>
      </c>
      <c r="IZ18" s="1" t="str">
        <f t="shared" si="353"/>
        <v>-</v>
      </c>
      <c r="JA18" s="1" t="str">
        <f t="shared" si="353"/>
        <v>-</v>
      </c>
      <c r="JB18" s="1" t="str">
        <f t="shared" si="353"/>
        <v>-</v>
      </c>
      <c r="JC18" s="1" t="str">
        <f t="shared" si="353"/>
        <v>-</v>
      </c>
      <c r="JD18" s="1" t="str">
        <f t="shared" si="353"/>
        <v>-</v>
      </c>
      <c r="JE18" s="1" t="str">
        <f t="shared" si="353"/>
        <v>-</v>
      </c>
      <c r="JF18" s="1" t="str">
        <f t="shared" si="353"/>
        <v>-</v>
      </c>
      <c r="JG18" s="1" t="str">
        <f t="shared" si="353"/>
        <v>-</v>
      </c>
      <c r="JH18" s="1" t="str">
        <f t="shared" si="353"/>
        <v>-</v>
      </c>
      <c r="JI18" s="1" t="str">
        <f t="shared" si="353"/>
        <v>-</v>
      </c>
      <c r="JJ18" s="1" t="str">
        <f t="shared" si="353"/>
        <v>-</v>
      </c>
      <c r="JK18" s="1" t="str">
        <f t="shared" si="353"/>
        <v>-</v>
      </c>
      <c r="JL18" s="1" t="str">
        <f t="shared" si="353"/>
        <v>-</v>
      </c>
      <c r="JM18" s="1" t="str">
        <f t="shared" si="353"/>
        <v>-</v>
      </c>
      <c r="JN18" s="1" t="str">
        <f t="shared" si="353"/>
        <v>-</v>
      </c>
      <c r="JO18" s="1" t="str">
        <f t="shared" si="353"/>
        <v>-</v>
      </c>
      <c r="JP18" s="1" t="str">
        <f t="shared" si="353"/>
        <v>-</v>
      </c>
      <c r="JQ18" s="1" t="str">
        <f t="shared" si="353"/>
        <v>-</v>
      </c>
      <c r="JR18" s="1" t="str">
        <f t="shared" si="353"/>
        <v>-</v>
      </c>
      <c r="JS18" s="1" t="str">
        <f t="shared" si="353"/>
        <v>-</v>
      </c>
      <c r="JT18" s="1" t="str">
        <f t="shared" si="353"/>
        <v>-</v>
      </c>
      <c r="JU18" s="1" t="str">
        <f t="shared" ref="JU18:LX18" si="354">IFERROR((((JU17*1000000)/JU12)*JU4),"-")</f>
        <v>-</v>
      </c>
      <c r="JV18" s="1" t="str">
        <f t="shared" si="354"/>
        <v>-</v>
      </c>
      <c r="JW18" s="1" t="str">
        <f t="shared" si="354"/>
        <v>-</v>
      </c>
      <c r="JX18" s="1" t="str">
        <f t="shared" si="354"/>
        <v>-</v>
      </c>
      <c r="JY18" s="1" t="str">
        <f t="shared" si="354"/>
        <v>-</v>
      </c>
      <c r="JZ18" s="1" t="str">
        <f t="shared" si="354"/>
        <v>-</v>
      </c>
      <c r="KA18" s="1" t="str">
        <f t="shared" si="354"/>
        <v>-</v>
      </c>
      <c r="KB18" s="1" t="str">
        <f t="shared" si="354"/>
        <v>-</v>
      </c>
      <c r="KC18" s="1" t="str">
        <f t="shared" si="354"/>
        <v>-</v>
      </c>
      <c r="KD18" s="1" t="str">
        <f t="shared" si="354"/>
        <v>-</v>
      </c>
      <c r="KE18" s="1" t="str">
        <f t="shared" si="354"/>
        <v>-</v>
      </c>
      <c r="KF18" s="1" t="str">
        <f t="shared" si="354"/>
        <v>-</v>
      </c>
      <c r="KG18" s="1" t="str">
        <f t="shared" si="354"/>
        <v>-</v>
      </c>
      <c r="KH18" s="1" t="str">
        <f t="shared" si="354"/>
        <v>-</v>
      </c>
      <c r="KI18" s="1" t="str">
        <f t="shared" si="354"/>
        <v>-</v>
      </c>
      <c r="KJ18" s="1" t="str">
        <f t="shared" si="354"/>
        <v>-</v>
      </c>
      <c r="KK18" s="1" t="str">
        <f t="shared" si="354"/>
        <v>-</v>
      </c>
      <c r="KL18" s="1" t="str">
        <f t="shared" si="354"/>
        <v>-</v>
      </c>
      <c r="KM18" s="1" t="str">
        <f t="shared" si="354"/>
        <v>-</v>
      </c>
      <c r="KN18" s="1" t="str">
        <f t="shared" si="354"/>
        <v>-</v>
      </c>
      <c r="KO18" s="1" t="str">
        <f t="shared" si="354"/>
        <v>-</v>
      </c>
      <c r="KP18" s="1" t="str">
        <f t="shared" si="354"/>
        <v>-</v>
      </c>
      <c r="KQ18" s="1" t="str">
        <f t="shared" si="354"/>
        <v>-</v>
      </c>
      <c r="KR18" s="1" t="str">
        <f t="shared" si="354"/>
        <v>-</v>
      </c>
      <c r="KS18" s="1" t="str">
        <f t="shared" si="354"/>
        <v>-</v>
      </c>
      <c r="KT18" s="1" t="str">
        <f t="shared" si="354"/>
        <v>-</v>
      </c>
      <c r="KU18" s="1" t="str">
        <f t="shared" si="354"/>
        <v>-</v>
      </c>
      <c r="KV18" s="1" t="str">
        <f t="shared" si="354"/>
        <v>-</v>
      </c>
      <c r="KW18" s="1" t="str">
        <f t="shared" si="354"/>
        <v>-</v>
      </c>
      <c r="KX18" s="1" t="str">
        <f t="shared" si="354"/>
        <v>-</v>
      </c>
      <c r="KY18" s="1" t="str">
        <f t="shared" si="354"/>
        <v>-</v>
      </c>
      <c r="KZ18" s="1" t="str">
        <f t="shared" si="354"/>
        <v>-</v>
      </c>
      <c r="LA18" s="1" t="str">
        <f t="shared" si="354"/>
        <v>-</v>
      </c>
      <c r="LB18" s="1" t="str">
        <f t="shared" si="354"/>
        <v>-</v>
      </c>
      <c r="LC18" s="1" t="str">
        <f t="shared" si="354"/>
        <v>-</v>
      </c>
      <c r="LD18" s="1" t="str">
        <f t="shared" si="354"/>
        <v>-</v>
      </c>
      <c r="LE18" s="1" t="str">
        <f t="shared" si="354"/>
        <v>-</v>
      </c>
      <c r="LF18" s="1" t="str">
        <f t="shared" si="354"/>
        <v>-</v>
      </c>
      <c r="LG18" s="1" t="str">
        <f t="shared" si="354"/>
        <v>-</v>
      </c>
      <c r="LH18" s="1" t="str">
        <f t="shared" si="354"/>
        <v>-</v>
      </c>
      <c r="LI18" s="1" t="str">
        <f t="shared" si="354"/>
        <v>-</v>
      </c>
      <c r="LJ18" s="1" t="str">
        <f t="shared" si="354"/>
        <v>-</v>
      </c>
      <c r="LK18" s="1" t="str">
        <f t="shared" si="354"/>
        <v>-</v>
      </c>
      <c r="LL18" s="1" t="str">
        <f t="shared" si="354"/>
        <v>-</v>
      </c>
      <c r="LM18" s="1" t="str">
        <f t="shared" si="354"/>
        <v>-</v>
      </c>
      <c r="LN18" s="1" t="str">
        <f t="shared" si="354"/>
        <v>-</v>
      </c>
      <c r="LO18" s="1" t="str">
        <f t="shared" si="354"/>
        <v>-</v>
      </c>
      <c r="LP18" s="1" t="str">
        <f t="shared" si="354"/>
        <v>-</v>
      </c>
      <c r="LQ18" s="1" t="str">
        <f t="shared" si="354"/>
        <v>-</v>
      </c>
      <c r="LR18" s="1" t="str">
        <f t="shared" si="354"/>
        <v>-</v>
      </c>
      <c r="LS18" s="1" t="str">
        <f t="shared" si="354"/>
        <v>-</v>
      </c>
      <c r="LT18" s="1" t="str">
        <f t="shared" si="354"/>
        <v>-</v>
      </c>
      <c r="LU18" s="1" t="str">
        <f t="shared" si="354"/>
        <v>-</v>
      </c>
      <c r="LV18" s="1" t="str">
        <f t="shared" si="354"/>
        <v>-</v>
      </c>
      <c r="LW18" s="1" t="str">
        <f t="shared" si="354"/>
        <v>-</v>
      </c>
      <c r="LX18" s="1" t="str">
        <f t="shared" si="354"/>
        <v>-</v>
      </c>
      <c r="LY18" s="1" t="str">
        <f t="shared" si="351"/>
        <v>-</v>
      </c>
      <c r="MA18" s="6"/>
    </row>
    <row r="19" spans="2:339">
      <c r="B19" s="147"/>
      <c r="C19" s="41" t="s">
        <v>49</v>
      </c>
      <c r="E19" s="43">
        <f>SUMIF($E$7:E7,"&gt;="&amp; DATE(YEAR(E7),MONTH(E7)-11,DAY(E7)),$E$15:E15)</f>
        <v>0</v>
      </c>
      <c r="F19" s="43">
        <f>SUMIF($E$7:F7,"&gt;="&amp; DATE(YEAR(F7),MONTH(F7)-11,DAY(F7)),$E$15:F15)</f>
        <v>0</v>
      </c>
      <c r="G19" s="43">
        <f>SUMIF($E$7:G7,"&gt;="&amp; DATE(YEAR(G7),MONTH(G7)-11,DAY(G7)),$E$15:G15)</f>
        <v>0</v>
      </c>
      <c r="H19" s="43">
        <f>SUMIF($E$7:H7,"&gt;="&amp; DATE(YEAR(H7),MONTH(H7)-11,DAY(H7)),$E$15:H15)</f>
        <v>0</v>
      </c>
      <c r="I19" s="43">
        <f>SUMIF($E$7:I7,"&gt;="&amp; DATE(YEAR(I7),MONTH(I7)-11,DAY(I7)),$E$15:I15)</f>
        <v>0</v>
      </c>
      <c r="J19" s="43">
        <f>SUMIF($E$7:J7,"&gt;="&amp; DATE(YEAR(J7),MONTH(J7)-11,DAY(J7)),$E$15:J15)</f>
        <v>0</v>
      </c>
      <c r="K19" s="43">
        <f>SUMIF($E$7:K7,"&gt;="&amp; DATE(YEAR(K7),MONTH(K7)-11,DAY(K7)),$E$15:K15)</f>
        <v>0</v>
      </c>
      <c r="L19" s="43">
        <f>SUMIF($E$7:L7,"&gt;="&amp; DATE(YEAR(L7),MONTH(L7)-11,DAY(L7)),$E$15:L15)</f>
        <v>0</v>
      </c>
      <c r="M19" s="43">
        <f>SUMIF($E$7:M7,"&gt;="&amp; DATE(YEAR(M7),MONTH(M7)-11,DAY(M7)),$E$15:M15)</f>
        <v>0</v>
      </c>
      <c r="N19" s="43">
        <f>SUMIF($E$7:N7,"&gt;="&amp; DATE(YEAR(N7),MONTH(N7)-11,DAY(N7)),$E$15:N15)</f>
        <v>0</v>
      </c>
      <c r="O19" s="43">
        <f>SUMIF($E$7:O7,"&gt;="&amp; DATE(YEAR(O7),MONTH(O7)-11,DAY(O7)),$E$15:O15)</f>
        <v>0</v>
      </c>
      <c r="P19" s="43">
        <f>SUMIF($E$7:P7,"&gt;="&amp; DATE(YEAR(P7),MONTH(P7)-11,DAY(P7)),$E$15:P15)</f>
        <v>0</v>
      </c>
      <c r="Q19" s="43">
        <f>SUMIF($E$7:Q7,"&gt;="&amp; DATE(YEAR(Q7),MONTH(Q7)-11,DAY(Q7)),$E$15:Q15)</f>
        <v>0</v>
      </c>
      <c r="R19" s="43">
        <f>SUMIF($E$7:R7,"&gt;="&amp; DATE(YEAR(R7),MONTH(R7)-11,DAY(R7)),$E$15:R15)</f>
        <v>0</v>
      </c>
      <c r="S19" s="43">
        <f>SUMIF($E$7:S7,"&gt;="&amp; DATE(YEAR(S7),MONTH(S7)-11,DAY(S7)),$E$15:S15)</f>
        <v>0</v>
      </c>
      <c r="T19" s="43">
        <f>SUMIF($E$7:T7,"&gt;="&amp; DATE(YEAR(T7),MONTH(T7)-11,DAY(T7)),$E$15:T15)</f>
        <v>0</v>
      </c>
      <c r="U19" s="43">
        <f>SUMIF($E$7:U7,"&gt;="&amp; DATE(YEAR(U7),MONTH(U7)-11,DAY(U7)),$E$15:U15)</f>
        <v>0</v>
      </c>
      <c r="V19" s="43">
        <f>SUMIF($E$7:V7,"&gt;="&amp; DATE(YEAR(V7),MONTH(V7)-11,DAY(V7)),$E$15:V15)</f>
        <v>0</v>
      </c>
      <c r="W19" s="43">
        <f>SUMIF($E$7:W7,"&gt;="&amp; DATE(YEAR(W7),MONTH(W7)-11,DAY(W7)),$E$15:W15)</f>
        <v>0</v>
      </c>
      <c r="X19" s="43">
        <f>SUMIF($E$7:X7,"&gt;="&amp; DATE(YEAR(X7),MONTH(X7)-11,DAY(X7)),$E$15:X15)</f>
        <v>0</v>
      </c>
      <c r="Y19" s="43">
        <f>SUMIF($E$7:Y7,"&gt;="&amp; DATE(YEAR(Y7),MONTH(Y7)-11,DAY(Y7)),$E$15:Y15)</f>
        <v>0</v>
      </c>
      <c r="Z19" s="43">
        <f>SUMIF($E$7:Z7,"&gt;="&amp; DATE(YEAR(Z7),MONTH(Z7)-11,DAY(Z7)),$E$15:Z15)</f>
        <v>0</v>
      </c>
      <c r="AA19" s="43">
        <f>SUMIF($E$7:AA7,"&gt;="&amp; DATE(YEAR(AA7),MONTH(AA7)-11,DAY(AA7)),$E$15:AA15)</f>
        <v>0</v>
      </c>
      <c r="AB19" s="43">
        <f>SUMIF($E$7:AB7,"&gt;="&amp; DATE(YEAR(AB7),MONTH(AB7)-11,DAY(AB7)),$E$15:AB15)</f>
        <v>0</v>
      </c>
      <c r="AC19" s="43">
        <f>SUMIF($E$7:AC7,"&gt;="&amp; DATE(YEAR(AC7),MONTH(AC7)-11,DAY(AC7)),$E$15:AC15)</f>
        <v>0</v>
      </c>
      <c r="AD19" s="43">
        <f>SUMIF($E$7:AD7,"&gt;="&amp; DATE(YEAR(AD7),MONTH(AD7)-11,DAY(AD7)),$E$15:AD15)</f>
        <v>0</v>
      </c>
      <c r="AE19" s="43">
        <f>SUMIF($E$7:AE7,"&gt;="&amp; DATE(YEAR(AE7),MONTH(AE7)-11,DAY(AE7)),$E$15:AE15)</f>
        <v>0</v>
      </c>
      <c r="AF19" s="43">
        <f>SUMIF($E$7:AF7,"&gt;="&amp; DATE(YEAR(AF7),MONTH(AF7)-11,DAY(AF7)),$E$15:AF15)</f>
        <v>0</v>
      </c>
      <c r="AG19" s="43">
        <f>SUMIF($E$7:AG7,"&gt;="&amp; DATE(YEAR(AG7),MONTH(AG7)-11,DAY(AG7)),$E$15:AG15)</f>
        <v>0</v>
      </c>
      <c r="AH19" s="43">
        <f>SUMIF($E$7:AH7,"&gt;="&amp; DATE(YEAR(AH7),MONTH(AH7)-11,DAY(AH7)),$E$15:AH15)</f>
        <v>0</v>
      </c>
      <c r="AI19" s="43">
        <f>SUMIF($E$7:AI7,"&gt;="&amp; DATE(YEAR(AI7),MONTH(AI7)-11,DAY(AI7)),$E$15:AI15)</f>
        <v>0</v>
      </c>
      <c r="AJ19" s="43">
        <f>SUMIF($E$7:AJ7,"&gt;="&amp; DATE(YEAR(AJ7),MONTH(AJ7)-11,DAY(AJ7)),$E$15:AJ15)</f>
        <v>0</v>
      </c>
      <c r="AK19" s="43">
        <f>SUMIF($E$7:AK7,"&gt;="&amp; DATE(YEAR(AK7),MONTH(AK7)-11,DAY(AK7)),$E$15:AK15)</f>
        <v>0</v>
      </c>
      <c r="AL19" s="43">
        <f>SUMIF($E$7:AL7,"&gt;="&amp; DATE(YEAR(AL7),MONTH(AL7)-11,DAY(AL7)),$E$15:AL15)</f>
        <v>0</v>
      </c>
      <c r="AM19" s="43">
        <f>SUMIF($E$7:AM7,"&gt;="&amp; DATE(YEAR(AM7),MONTH(AM7)-11,DAY(AM7)),$E$15:AM15)</f>
        <v>0</v>
      </c>
      <c r="AN19" s="43">
        <f>SUMIF($E$7:AN7,"&gt;="&amp; DATE(YEAR(AN7),MONTH(AN7)-11,DAY(AN7)),$E$15:AN15)</f>
        <v>0</v>
      </c>
      <c r="AO19" s="43">
        <f>SUMIF($E$7:AO7,"&gt;="&amp; DATE(YEAR(AO7),MONTH(AO7)-11,DAY(AO7)),$E$15:AO15)</f>
        <v>0</v>
      </c>
      <c r="AP19" s="43">
        <f>SUMIF($E$7:AP7,"&gt;="&amp; DATE(YEAR(AP7),MONTH(AP7)-11,DAY(AP7)),$E$15:AP15)</f>
        <v>0</v>
      </c>
      <c r="AQ19" s="43">
        <f>SUMIF($E$7:AQ7,"&gt;="&amp; DATE(YEAR(AQ7),MONTH(AQ7)-11,DAY(AQ7)),$E$15:AQ15)</f>
        <v>0</v>
      </c>
      <c r="AR19" s="43">
        <f>SUMIF($E$7:AR7,"&gt;="&amp; DATE(YEAR(AR7),MONTH(AR7)-11,DAY(AR7)),$E$15:AR15)</f>
        <v>0</v>
      </c>
      <c r="AS19" s="43">
        <f>SUMIF($E$7:AS7,"&gt;="&amp; DATE(YEAR(AS7),MONTH(AS7)-11,DAY(AS7)),$E$15:AS15)</f>
        <v>0</v>
      </c>
      <c r="AT19" s="43">
        <f>SUMIF($E$7:AT7,"&gt;="&amp; DATE(YEAR(AT7),MONTH(AT7)-11,DAY(AT7)),$E$15:AT15)</f>
        <v>0</v>
      </c>
      <c r="AU19" s="43">
        <f>SUMIF($E$7:AU7,"&gt;="&amp; DATE(YEAR(AU7),MONTH(AU7)-11,DAY(AU7)),$E$15:AU15)</f>
        <v>0</v>
      </c>
      <c r="AV19" s="43">
        <f>SUMIF($E$7:AV7,"&gt;="&amp; DATE(YEAR(AV7),MONTH(AV7)-11,DAY(AV7)),$E$15:AV15)</f>
        <v>0</v>
      </c>
      <c r="AW19" s="43">
        <f>SUMIF($E$7:AW7,"&gt;="&amp; DATE(YEAR(AW7),MONTH(AW7)-11,DAY(AW7)),$E$15:AW15)</f>
        <v>0</v>
      </c>
      <c r="AX19" s="43">
        <f>SUMIF($E$7:AX7,"&gt;="&amp; DATE(YEAR(AX7),MONTH(AX7)-11,DAY(AX7)),$E$15:AX15)</f>
        <v>0</v>
      </c>
      <c r="AY19" s="43">
        <f>SUMIF($E$7:AY7,"&gt;="&amp; DATE(YEAR(AY7),MONTH(AY7)-11,DAY(AY7)),$E$15:AY15)</f>
        <v>0</v>
      </c>
      <c r="AZ19" s="43">
        <f>SUMIF($E$7:AZ7,"&gt;="&amp; DATE(YEAR(AZ7),MONTH(AZ7)-11,DAY(AZ7)),$E$15:AZ15)</f>
        <v>0</v>
      </c>
      <c r="BA19" s="43">
        <f>SUMIF($E$7:BA7,"&gt;="&amp; DATE(YEAR(BA7),MONTH(BA7)-11,DAY(BA7)),$E$15:BA15)</f>
        <v>0</v>
      </c>
      <c r="BB19" s="43">
        <f>SUMIF($E$7:BB7,"&gt;="&amp; DATE(YEAR(BB7),MONTH(BB7)-11,DAY(BB7)),$E$15:BB15)</f>
        <v>0</v>
      </c>
      <c r="BC19" s="43">
        <f>SUMIF($E$7:BC7,"&gt;="&amp; DATE(YEAR(BC7),MONTH(BC7)-11,DAY(BC7)),$E$15:BC15)</f>
        <v>0</v>
      </c>
      <c r="BD19" s="43">
        <f>SUMIF($E$7:BD7,"&gt;="&amp; DATE(YEAR(BD7),MONTH(BD7)-11,DAY(BD7)),$E$15:BD15)</f>
        <v>0</v>
      </c>
      <c r="BE19" s="43">
        <f>SUMIF($E$7:BE7,"&gt;="&amp; DATE(YEAR(BE7),MONTH(BE7)-11,DAY(BE7)),$E$15:BE15)</f>
        <v>0</v>
      </c>
      <c r="BF19" s="43">
        <f>SUMIF($E$7:BF7,"&gt;="&amp; DATE(YEAR(BF7),MONTH(BF7)-11,DAY(BF7)),$E$15:BF15)</f>
        <v>0</v>
      </c>
      <c r="BG19" s="43">
        <f>SUMIF($E$7:BG7,"&gt;="&amp; DATE(YEAR(BG7),MONTH(BG7)-11,DAY(BG7)),$E$15:BG15)</f>
        <v>0</v>
      </c>
      <c r="BH19" s="43">
        <f>SUMIF($E$7:BH7,"&gt;="&amp; DATE(YEAR(BH7),MONTH(BH7)-11,DAY(BH7)),$E$15:BH15)</f>
        <v>0</v>
      </c>
      <c r="BI19" s="43">
        <f>SUMIF($E$7:BI7,"&gt;="&amp; DATE(YEAR(BI7),MONTH(BI7)-11,DAY(BI7)),$E$15:BI15)</f>
        <v>0</v>
      </c>
      <c r="BJ19" s="43">
        <f>SUMIF($E$7:BJ7,"&gt;="&amp; DATE(YEAR(BJ7),MONTH(BJ7)-11,DAY(BJ7)),$E$15:BJ15)</f>
        <v>0</v>
      </c>
      <c r="BK19" s="43">
        <f>SUMIF($E$7:BK7,"&gt;="&amp; DATE(YEAR(BK7),MONTH(BK7)-11,DAY(BK7)),$E$15:BK15)</f>
        <v>0</v>
      </c>
      <c r="BL19" s="43">
        <f>SUMIF($E$7:BL7,"&gt;="&amp; DATE(YEAR(BL7),MONTH(BL7)-11,DAY(BL7)),$E$15:BL15)</f>
        <v>0</v>
      </c>
      <c r="BM19" s="43">
        <f>SUMIF($E$7:BM7,"&gt;="&amp; DATE(YEAR(BM7),MONTH(BM7)-11,DAY(BM7)),$E$15:BM15)</f>
        <v>0</v>
      </c>
      <c r="BN19" s="43">
        <f>SUMIF($E$7:BN7,"&gt;="&amp; DATE(YEAR(BN7),MONTH(BN7)-11,DAY(BN7)),$E$15:BN15)</f>
        <v>0</v>
      </c>
      <c r="BO19" s="43">
        <f>SUMIF($E$7:BO7,"&gt;="&amp; DATE(YEAR(BO7),MONTH(BO7)-11,DAY(BO7)),$E$15:BO15)</f>
        <v>0</v>
      </c>
      <c r="BP19" s="43">
        <f>SUMIF($E$7:BP7,"&gt;="&amp; DATE(YEAR(BP7),MONTH(BP7)-11,DAY(BP7)),$E$15:BP15)</f>
        <v>0</v>
      </c>
      <c r="BQ19" s="43">
        <f>SUMIF($E$7:BQ7,"&gt;="&amp; DATE(YEAR(BQ7),MONTH(BQ7)-11,DAY(BQ7)),$E$15:BQ15)</f>
        <v>0</v>
      </c>
      <c r="BR19" s="43">
        <f>SUMIF($E$7:BR7,"&gt;="&amp; DATE(YEAR(BR7),MONTH(BR7)-11,DAY(BR7)),$E$15:BR15)</f>
        <v>0</v>
      </c>
      <c r="BS19" s="43">
        <f>SUMIF($E$7:BS7,"&gt;="&amp; DATE(YEAR(BS7),MONTH(BS7)-11,DAY(BS7)),$E$15:BS15)</f>
        <v>0</v>
      </c>
      <c r="BT19" s="43">
        <f>SUMIF($E$7:BT7,"&gt;="&amp; DATE(YEAR(BT7),MONTH(BT7)-11,DAY(BT7)),$E$15:BT15)</f>
        <v>0</v>
      </c>
      <c r="BU19" s="43">
        <f>SUMIF($E$7:BU7,"&gt;="&amp; DATE(YEAR(BU7),MONTH(BU7)-11,DAY(BU7)),$E$15:BU15)</f>
        <v>0</v>
      </c>
      <c r="BV19" s="43">
        <f>SUMIF($E$7:BV7,"&gt;="&amp; DATE(YEAR(BV7),MONTH(BV7)-11,DAY(BV7)),$E$15:BV15)</f>
        <v>0</v>
      </c>
      <c r="BW19" s="43">
        <f>SUMIF($E$7:BW7,"&gt;="&amp; DATE(YEAR(BW7),MONTH(BW7)-11,DAY(BW7)),$E$15:BW15)</f>
        <v>0</v>
      </c>
      <c r="BX19" s="43">
        <f>SUMIF($E$7:BX7,"&gt;="&amp; DATE(YEAR(BX7),MONTH(BX7)-11,DAY(BX7)),$E$15:BX15)</f>
        <v>0</v>
      </c>
      <c r="BY19" s="43">
        <f>SUMIF($E$7:BY7,"&gt;="&amp; DATE(YEAR(BY7),MONTH(BY7)-11,DAY(BY7)),$E$15:BY15)</f>
        <v>0</v>
      </c>
      <c r="BZ19" s="43">
        <f>SUMIF($E$7:BZ7,"&gt;="&amp; DATE(YEAR(BZ7),MONTH(BZ7)-11,DAY(BZ7)),$E$15:BZ15)</f>
        <v>0</v>
      </c>
      <c r="CA19" s="43">
        <f>SUMIF($E$7:CA7,"&gt;="&amp; DATE(YEAR(CA7),MONTH(CA7)-11,DAY(CA7)),$E$15:CA15)</f>
        <v>0</v>
      </c>
      <c r="CB19" s="43">
        <f>SUMIF($E$7:CB7,"&gt;="&amp; DATE(YEAR(CB7),MONTH(CB7)-11,DAY(CB7)),$E$15:CB15)</f>
        <v>0</v>
      </c>
      <c r="CC19" s="43">
        <f>SUMIF($E$7:CC7,"&gt;="&amp; DATE(YEAR(CC7),MONTH(CC7)-11,DAY(CC7)),$E$15:CC15)</f>
        <v>0</v>
      </c>
      <c r="CD19" s="43">
        <f>SUMIF($E$7:CD7,"&gt;="&amp; DATE(YEAR(CD7),MONTH(CD7)-11,DAY(CD7)),$E$15:CD15)</f>
        <v>0</v>
      </c>
      <c r="CE19" s="43">
        <f>SUMIF($E$7:CE7,"&gt;="&amp; DATE(YEAR(CE7),MONTH(CE7)-11,DAY(CE7)),$E$15:CE15)</f>
        <v>0</v>
      </c>
      <c r="CF19" s="43">
        <f>SUMIF($E$7:CF7,"&gt;="&amp; DATE(YEAR(CF7),MONTH(CF7)-11,DAY(CF7)),$E$15:CF15)</f>
        <v>0</v>
      </c>
      <c r="CG19" s="43">
        <f>SUMIF($E$7:CG7,"&gt;="&amp; DATE(YEAR(CG7),MONTH(CG7)-11,DAY(CG7)),$E$15:CG15)</f>
        <v>0</v>
      </c>
      <c r="CH19" s="43">
        <f>SUMIF($E$7:CH7,"&gt;="&amp; DATE(YEAR(CH7),MONTH(CH7)-11,DAY(CH7)),$E$15:CH15)</f>
        <v>0</v>
      </c>
      <c r="CI19" s="43">
        <f>SUMIF($E$7:CI7,"&gt;="&amp; DATE(YEAR(CI7),MONTH(CI7)-11,DAY(CI7)),$E$15:CI15)</f>
        <v>0</v>
      </c>
      <c r="CJ19" s="43">
        <f>SUMIF($E$7:CJ7,"&gt;="&amp; DATE(YEAR(CJ7),MONTH(CJ7)-11,DAY(CJ7)),$E$15:CJ15)</f>
        <v>0</v>
      </c>
      <c r="CK19" s="43">
        <f>SUMIF($E$7:CK7,"&gt;="&amp; DATE(YEAR(CK7),MONTH(CK7)-11,DAY(CK7)),$E$15:CK15)</f>
        <v>0</v>
      </c>
      <c r="CL19" s="43">
        <f>SUMIF($E$7:CL7,"&gt;="&amp; DATE(YEAR(CL7),MONTH(CL7)-11,DAY(CL7)),$E$15:CL15)</f>
        <v>0</v>
      </c>
      <c r="CM19" s="43">
        <f>SUMIF($E$7:CM7,"&gt;="&amp; DATE(YEAR(CM7),MONTH(CM7)-11,DAY(CM7)),$E$15:CM15)</f>
        <v>0</v>
      </c>
      <c r="CN19" s="43">
        <f>SUMIF($E$7:CN7,"&gt;="&amp; DATE(YEAR(CN7),MONTH(CN7)-11,DAY(CN7)),$E$15:CN15)</f>
        <v>0</v>
      </c>
      <c r="CO19" s="43">
        <f>SUMIF($E$7:CO7,"&gt;="&amp; DATE(YEAR(CO7),MONTH(CO7)-11,DAY(CO7)),$E$15:CO15)</f>
        <v>0</v>
      </c>
      <c r="CP19" s="43">
        <f>SUMIF($E$7:CP7,"&gt;="&amp; DATE(YEAR(CP7),MONTH(CP7)-11,DAY(CP7)),$E$15:CP15)</f>
        <v>0</v>
      </c>
      <c r="CQ19" s="43">
        <f>SUMIF($E$7:CQ7,"&gt;="&amp; DATE(YEAR(CQ7),MONTH(CQ7)-11,DAY(CQ7)),$E$15:CQ15)</f>
        <v>0</v>
      </c>
      <c r="CR19" s="43">
        <f>SUMIF($E$7:CR7,"&gt;="&amp; DATE(YEAR(CR7),MONTH(CR7)-11,DAY(CR7)),$E$15:CR15)</f>
        <v>0</v>
      </c>
      <c r="CS19" s="43">
        <f>SUMIF($E$7:CS7,"&gt;="&amp; DATE(YEAR(CS7),MONTH(CS7)-11,DAY(CS7)),$E$15:CS15)</f>
        <v>0</v>
      </c>
      <c r="CT19" s="43">
        <f>SUMIF($E$7:CT7,"&gt;="&amp; DATE(YEAR(CT7),MONTH(CT7)-11,DAY(CT7)),$E$15:CT15)</f>
        <v>0</v>
      </c>
      <c r="CU19" s="43">
        <f>SUMIF($E$7:CU7,"&gt;="&amp; DATE(YEAR(CU7),MONTH(CU7)-11,DAY(CU7)),$E$15:CU15)</f>
        <v>0</v>
      </c>
      <c r="CV19" s="43">
        <f>SUMIF($E$7:CV7,"&gt;="&amp; DATE(YEAR(CV7),MONTH(CV7)-11,DAY(CV7)),$E$15:CV15)</f>
        <v>0</v>
      </c>
      <c r="CW19" s="43">
        <f>SUMIF($E$7:CW7,"&gt;="&amp; DATE(YEAR(CW7),MONTH(CW7)-11,DAY(CW7)),$E$15:CW15)</f>
        <v>0</v>
      </c>
      <c r="CX19" s="43">
        <f>SUMIF($E$7:CX7,"&gt;="&amp; DATE(YEAR(CX7),MONTH(CX7)-11,DAY(CX7)),$E$15:CX15)</f>
        <v>0</v>
      </c>
      <c r="CY19" s="43">
        <f>SUMIF($E$7:CY7,"&gt;="&amp; DATE(YEAR(CY7),MONTH(CY7)-11,DAY(CY7)),$E$15:CY15)</f>
        <v>0</v>
      </c>
      <c r="CZ19" s="43">
        <f>SUMIF($E$7:CZ7,"&gt;="&amp; DATE(YEAR(CZ7),MONTH(CZ7)-11,DAY(CZ7)),$E$15:CZ15)</f>
        <v>0</v>
      </c>
      <c r="DA19" s="43">
        <f>SUMIF($E$7:DA7,"&gt;="&amp; DATE(YEAR(DA7),MONTH(DA7)-11,DAY(DA7)),$E$15:DA15)</f>
        <v>0</v>
      </c>
      <c r="DB19" s="43">
        <f>SUMIF($E$7:DB7,"&gt;="&amp; DATE(YEAR(DB7),MONTH(DB7)-11,DAY(DB7)),$E$15:DB15)</f>
        <v>0</v>
      </c>
      <c r="DC19" s="43">
        <f>SUMIF($E$7:DC7,"&gt;="&amp; DATE(YEAR(DC7),MONTH(DC7)-11,DAY(DC7)),$E$15:DC15)</f>
        <v>0</v>
      </c>
      <c r="DD19" s="43">
        <f>SUMIF($E$7:DD7,"&gt;="&amp; DATE(YEAR(DD7),MONTH(DD7)-11,DAY(DD7)),$E$15:DD15)</f>
        <v>0</v>
      </c>
      <c r="DE19" s="43">
        <f>SUMIF($E$7:DE7,"&gt;="&amp; DATE(YEAR(DE7),MONTH(DE7)-11,DAY(DE7)),$E$15:DE15)</f>
        <v>0</v>
      </c>
      <c r="DF19" s="43">
        <f>SUMIF($E$7:DF7,"&gt;="&amp; DATE(YEAR(DF7),MONTH(DF7)-11,DAY(DF7)),$E$15:DF15)</f>
        <v>0</v>
      </c>
      <c r="DG19" s="43">
        <f>SUMIF($E$7:DG7,"&gt;="&amp; DATE(YEAR(DG7),MONTH(DG7)-11,DAY(DG7)),$E$15:DG15)</f>
        <v>0</v>
      </c>
      <c r="DH19" s="43">
        <f>SUMIF($E$7:DH7,"&gt;="&amp; DATE(YEAR(DH7),MONTH(DH7)-11,DAY(DH7)),$E$15:DH15)</f>
        <v>0</v>
      </c>
      <c r="DI19" s="43">
        <f>SUMIF($E$7:DI7,"&gt;="&amp; DATE(YEAR(DI7),MONTH(DI7)-11,DAY(DI7)),$E$15:DI15)</f>
        <v>0</v>
      </c>
      <c r="DJ19" s="43">
        <f>SUMIF($E$7:DJ7,"&gt;="&amp; DATE(YEAR(DJ7),MONTH(DJ7)-11,DAY(DJ7)),$E$15:DJ15)</f>
        <v>0</v>
      </c>
      <c r="DK19" s="43">
        <f>SUMIF($E$7:DK7,"&gt;="&amp; DATE(YEAR(DK7),MONTH(DK7)-11,DAY(DK7)),$E$15:DK15)</f>
        <v>0</v>
      </c>
      <c r="DL19" s="43">
        <f>SUMIF($E$7:DL7,"&gt;="&amp; DATE(YEAR(DL7),MONTH(DL7)-11,DAY(DL7)),$E$15:DL15)</f>
        <v>0</v>
      </c>
      <c r="DM19" s="43">
        <f>SUMIF($E$7:DM7,"&gt;="&amp; DATE(YEAR(DM7),MONTH(DM7)-11,DAY(DM7)),$E$15:DM15)</f>
        <v>0</v>
      </c>
      <c r="DN19" s="43">
        <f>SUMIF($E$7:DN7,"&gt;="&amp; DATE(YEAR(DN7),MONTH(DN7)-11,DAY(DN7)),$E$15:DN15)</f>
        <v>0</v>
      </c>
      <c r="DO19" s="43">
        <f>SUMIF($E$7:DO7,"&gt;="&amp; DATE(YEAR(DO7),MONTH(DO7)-11,DAY(DO7)),$E$15:DO15)</f>
        <v>0</v>
      </c>
      <c r="DP19" s="43">
        <f>SUMIF($E$7:DP7,"&gt;="&amp; DATE(YEAR(DP7),MONTH(DP7)-11,DAY(DP7)),$E$15:DP15)</f>
        <v>0</v>
      </c>
      <c r="DQ19" s="43">
        <f>SUMIF($E$7:DQ7,"&gt;="&amp; DATE(YEAR(DQ7),MONTH(DQ7)-11,DAY(DQ7)),$E$15:DQ15)</f>
        <v>0</v>
      </c>
      <c r="DR19" s="43">
        <f>SUMIF($E$7:DR7,"&gt;="&amp; DATE(YEAR(DR7),MONTH(DR7)-11,DAY(DR7)),$E$15:DR15)</f>
        <v>0</v>
      </c>
      <c r="DS19" s="43">
        <f>SUMIF($E$7:DS7,"&gt;="&amp; DATE(YEAR(DS7),MONTH(DS7)-11,DAY(DS7)),$E$15:DS15)</f>
        <v>0</v>
      </c>
      <c r="DT19" s="43">
        <f>SUMIF($E$7:DT7,"&gt;="&amp; DATE(YEAR(DT7),MONTH(DT7)-11,DAY(DT7)),$E$15:DT15)</f>
        <v>0</v>
      </c>
      <c r="DU19" s="43">
        <f>SUMIF($E$7:DU7,"&gt;="&amp; DATE(YEAR(DU7),MONTH(DU7)-11,DAY(DU7)),$E$15:DU15)</f>
        <v>0</v>
      </c>
      <c r="DV19" s="43">
        <f>SUMIF($E$7:DV7,"&gt;="&amp; DATE(YEAR(DV7),MONTH(DV7)-11,DAY(DV7)),$E$15:DV15)</f>
        <v>0</v>
      </c>
      <c r="DW19" s="43">
        <f>SUMIF($E$7:DW7,"&gt;="&amp; DATE(YEAR(DW7),MONTH(DW7)-11,DAY(DW7)),$E$15:DW15)</f>
        <v>0</v>
      </c>
      <c r="DX19" s="43">
        <f>SUMIF($E$7:DX7,"&gt;="&amp; DATE(YEAR(DX7),MONTH(DX7)-11,DAY(DX7)),$E$15:DX15)</f>
        <v>0</v>
      </c>
      <c r="DY19" s="43">
        <f>SUMIF($E$7:DY7,"&gt;="&amp; DATE(YEAR(DY7),MONTH(DY7)-11,DAY(DY7)),$E$15:DY15)</f>
        <v>0</v>
      </c>
      <c r="DZ19" s="43">
        <f>SUMIF($E$7:DZ7,"&gt;="&amp; DATE(YEAR(DZ7),MONTH(DZ7)-11,DAY(DZ7)),$E$15:DZ15)</f>
        <v>0</v>
      </c>
      <c r="EA19" s="43">
        <f>SUMIF($E$7:EA7,"&gt;="&amp; DATE(YEAR(EA7),MONTH(EA7)-11,DAY(EA7)),$E$15:EA15)</f>
        <v>0</v>
      </c>
      <c r="EB19" s="43">
        <f>SUMIF($E$7:EB7,"&gt;="&amp; DATE(YEAR(EB7),MONTH(EB7)-11,DAY(EB7)),$E$15:EB15)</f>
        <v>0</v>
      </c>
      <c r="EC19" s="43">
        <f>SUMIF($E$7:EC7,"&gt;="&amp; DATE(YEAR(EC7),MONTH(EC7)-11,DAY(EC7)),$E$15:EC15)</f>
        <v>0</v>
      </c>
      <c r="ED19" s="43">
        <f>SUMIF($E$7:ED7,"&gt;="&amp; DATE(YEAR(ED7),MONTH(ED7)-11,DAY(ED7)),$E$15:ED15)</f>
        <v>0</v>
      </c>
      <c r="EE19" s="43">
        <f>SUMIF($E$7:EE7,"&gt;="&amp; DATE(YEAR(EE7),MONTH(EE7)-11,DAY(EE7)),$E$15:EE15)</f>
        <v>0</v>
      </c>
      <c r="EF19" s="43">
        <f>SUMIF($E$7:EF7,"&gt;="&amp; DATE(YEAR(EF7),MONTH(EF7)-11,DAY(EF7)),$E$15:EF15)</f>
        <v>0</v>
      </c>
      <c r="EG19" s="43">
        <f>SUMIF($E$7:EG7,"&gt;="&amp; DATE(YEAR(EG7),MONTH(EG7)-11,DAY(EG7)),$E$15:EG15)</f>
        <v>0</v>
      </c>
      <c r="EH19" s="43">
        <f>SUMIF($E$7:EH7,"&gt;="&amp; DATE(YEAR(EH7),MONTH(EH7)-11,DAY(EH7)),$E$15:EH15)</f>
        <v>0</v>
      </c>
      <c r="EI19" s="43">
        <f>SUMIF($E$7:EI7,"&gt;="&amp; DATE(YEAR(EI7),MONTH(EI7)-11,DAY(EI7)),$E$15:EI15)</f>
        <v>0</v>
      </c>
      <c r="EJ19" s="43">
        <f>SUMIF($E$7:EJ7,"&gt;="&amp; DATE(YEAR(EJ7),MONTH(EJ7)-11,DAY(EJ7)),$E$15:EJ15)</f>
        <v>0</v>
      </c>
      <c r="EK19" s="43">
        <f>SUMIF($E$7:EK7,"&gt;="&amp; DATE(YEAR(EK7),MONTH(EK7)-11,DAY(EK7)),$E$15:EK15)</f>
        <v>0</v>
      </c>
      <c r="EL19" s="43">
        <f>SUMIF($E$7:EL7,"&gt;="&amp; DATE(YEAR(EL7),MONTH(EL7)-11,DAY(EL7)),$E$15:EL15)</f>
        <v>0</v>
      </c>
      <c r="EM19" s="43">
        <f>SUMIF($E$7:EM7,"&gt;="&amp; DATE(YEAR(EM7),MONTH(EM7)-11,DAY(EM7)),$E$15:EM15)</f>
        <v>0</v>
      </c>
      <c r="EN19" s="43">
        <f>SUMIF($E$7:EN7,"&gt;="&amp; DATE(YEAR(EN7),MONTH(EN7)-11,DAY(EN7)),$E$15:EN15)</f>
        <v>0</v>
      </c>
      <c r="EO19" s="43">
        <f>SUMIF($E$7:EO7,"&gt;="&amp; DATE(YEAR(EO7),MONTH(EO7)-11,DAY(EO7)),$E$15:EO15)</f>
        <v>0</v>
      </c>
      <c r="EP19" s="43">
        <f>SUMIF($E$7:EP7,"&gt;="&amp; DATE(YEAR(EP7),MONTH(EP7)-11,DAY(EP7)),$E$15:EP15)</f>
        <v>0</v>
      </c>
      <c r="EQ19" s="43">
        <f>SUMIF($E$7:EQ7,"&gt;="&amp; DATE(YEAR(EQ7),MONTH(EQ7)-11,DAY(EQ7)),$E$15:EQ15)</f>
        <v>0</v>
      </c>
      <c r="ER19" s="43">
        <f>SUMIF($E$7:ER7,"&gt;="&amp; DATE(YEAR(ER7),MONTH(ER7)-11,DAY(ER7)),$E$15:ER15)</f>
        <v>0</v>
      </c>
      <c r="ES19" s="43">
        <f>SUMIF($E$7:ES7,"&gt;="&amp; DATE(YEAR(ES7),MONTH(ES7)-11,DAY(ES7)),$E$15:ES15)</f>
        <v>0</v>
      </c>
      <c r="ET19" s="43">
        <f>SUMIF($E$7:ET7,"&gt;="&amp; DATE(YEAR(ET7),MONTH(ET7)-11,DAY(ET7)),$E$15:ET15)</f>
        <v>0</v>
      </c>
      <c r="EU19" s="43">
        <f>SUMIF($E$7:EU7,"&gt;="&amp; DATE(YEAR(EU7),MONTH(EU7)-11,DAY(EU7)),$E$15:EU15)</f>
        <v>0</v>
      </c>
      <c r="EV19" s="43">
        <f>SUMIF($E$7:EV7,"&gt;="&amp; DATE(YEAR(EV7),MONTH(EV7)-11,DAY(EV7)),$E$15:EV15)</f>
        <v>0</v>
      </c>
      <c r="EW19" s="43">
        <f>SUMIF($E$7:EW7,"&gt;="&amp; DATE(YEAR(EW7),MONTH(EW7)-11,DAY(EW7)),$E$15:EW15)</f>
        <v>0</v>
      </c>
      <c r="EX19" s="43">
        <f>SUMIF($E$7:EX7,"&gt;="&amp; DATE(YEAR(EX7),MONTH(EX7)-11,DAY(EX7)),$E$15:EX15)</f>
        <v>0</v>
      </c>
      <c r="EY19" s="43">
        <f>SUMIF($E$7:EY7,"&gt;="&amp; DATE(YEAR(EY7),MONTH(EY7)-11,DAY(EY7)),$E$15:EY15)</f>
        <v>0</v>
      </c>
      <c r="EZ19" s="43">
        <f>SUMIF($E$7:EZ7,"&gt;="&amp; DATE(YEAR(EZ7),MONTH(EZ7)-11,DAY(EZ7)),$E$15:EZ15)</f>
        <v>0</v>
      </c>
      <c r="FA19" s="43">
        <f>SUMIF($E$7:FA7,"&gt;="&amp; DATE(YEAR(FA7),MONTH(FA7)-11,DAY(FA7)),$E$15:FA15)</f>
        <v>0</v>
      </c>
      <c r="FB19" s="43">
        <f>SUMIF($E$7:FB7,"&gt;="&amp; DATE(YEAR(FB7),MONTH(FB7)-11,DAY(FB7)),$E$15:FB15)</f>
        <v>0</v>
      </c>
      <c r="FC19" s="43">
        <f>SUMIF($E$7:FC7,"&gt;="&amp; DATE(YEAR(FC7),MONTH(FC7)-11,DAY(FC7)),$E$15:FC15)</f>
        <v>0</v>
      </c>
      <c r="FD19" s="43">
        <f>SUMIF($E$7:FD7,"&gt;="&amp; DATE(YEAR(FD7),MONTH(FD7)-11,DAY(FD7)),$E$15:FD15)</f>
        <v>0</v>
      </c>
      <c r="FE19" s="43">
        <f>SUMIF($E$7:FE7,"&gt;="&amp; DATE(YEAR(FE7),MONTH(FE7)-11,DAY(FE7)),$E$15:FE15)</f>
        <v>0</v>
      </c>
      <c r="FF19" s="43">
        <f>SUMIF($E$7:FF7,"&gt;="&amp; DATE(YEAR(FF7),MONTH(FF7)-11,DAY(FF7)),$E$15:FF15)</f>
        <v>0</v>
      </c>
      <c r="FG19" s="43">
        <f>SUMIF($E$7:FG7,"&gt;="&amp; DATE(YEAR(FG7),MONTH(FG7)-11,DAY(FG7)),$E$15:FG15)</f>
        <v>0</v>
      </c>
      <c r="FH19" s="43">
        <f>SUMIF($E$7:FH7,"&gt;="&amp; DATE(YEAR(FH7),MONTH(FH7)-11,DAY(FH7)),$E$15:FH15)</f>
        <v>0</v>
      </c>
      <c r="FI19" s="43">
        <f>SUMIF($E$7:FI7,"&gt;="&amp; DATE(YEAR(FI7),MONTH(FI7)-11,DAY(FI7)),$E$15:FI15)</f>
        <v>0</v>
      </c>
      <c r="FJ19" s="43">
        <f>SUMIF($E$7:FJ7,"&gt;="&amp; DATE(YEAR(FJ7),MONTH(FJ7)-11,DAY(FJ7)),$E$15:FJ15)</f>
        <v>0</v>
      </c>
      <c r="FK19" s="43">
        <f>SUMIF($E$7:FK7,"&gt;="&amp; DATE(YEAR(FK7),MONTH(FK7)-11,DAY(FK7)),$E$15:FK15)</f>
        <v>0</v>
      </c>
      <c r="FL19" s="43">
        <f>SUMIF($E$7:FL7,"&gt;="&amp; DATE(YEAR(FL7),MONTH(FL7)-11,DAY(FL7)),$E$15:FL15)</f>
        <v>0</v>
      </c>
      <c r="FM19" s="43">
        <f>SUMIF($E$7:FM7,"&gt;="&amp; DATE(YEAR(FM7),MONTH(FM7)-11,DAY(FM7)),$E$15:FM15)</f>
        <v>0</v>
      </c>
      <c r="FN19" s="43">
        <f>SUMIF($E$7:FN7,"&gt;="&amp; DATE(YEAR(FN7),MONTH(FN7)-11,DAY(FN7)),$E$15:FN15)</f>
        <v>0</v>
      </c>
      <c r="FO19" s="43">
        <f>SUMIF($E$7:FO7,"&gt;="&amp; DATE(YEAR(FO7),MONTH(FO7)-11,DAY(FO7)),$E$15:FO15)</f>
        <v>0</v>
      </c>
      <c r="FP19" s="43">
        <f>SUMIF($E$7:FP7,"&gt;="&amp; DATE(YEAR(FP7),MONTH(FP7)-11,DAY(FP7)),$E$15:FP15)</f>
        <v>0</v>
      </c>
      <c r="FQ19" s="43">
        <f>SUMIF($E$7:FQ7,"&gt;="&amp; DATE(YEAR(FQ7),MONTH(FQ7)-11,DAY(FQ7)),$E$15:FQ15)</f>
        <v>0</v>
      </c>
      <c r="FR19" s="43">
        <f>SUMIF($E$7:FR7,"&gt;="&amp; DATE(YEAR(FR7),MONTH(FR7)-11,DAY(FR7)),$E$15:FR15)</f>
        <v>0</v>
      </c>
      <c r="FS19" s="43">
        <f>SUMIF($E$7:FS7,"&gt;="&amp; DATE(YEAR(FS7),MONTH(FS7)-11,DAY(FS7)),$E$15:FS15)</f>
        <v>0</v>
      </c>
      <c r="FT19" s="43">
        <f>SUMIF($E$7:FT7,"&gt;="&amp; DATE(YEAR(FT7),MONTH(FT7)-11,DAY(FT7)),$E$15:FT15)</f>
        <v>0</v>
      </c>
      <c r="FU19" s="43">
        <f>SUMIF($E$7:FU7,"&gt;="&amp; DATE(YEAR(FU7),MONTH(FU7)-11,DAY(FU7)),$E$15:FU15)</f>
        <v>0</v>
      </c>
      <c r="FV19" s="43">
        <f>SUMIF($E$7:FV7,"&gt;="&amp; DATE(YEAR(FV7),MONTH(FV7)-11,DAY(FV7)),$E$15:FV15)</f>
        <v>0</v>
      </c>
      <c r="FW19" s="43">
        <f>SUMIF($E$7:FW7,"&gt;="&amp; DATE(YEAR(FW7),MONTH(FW7)-11,DAY(FW7)),$E$15:FW15)</f>
        <v>0</v>
      </c>
      <c r="FX19" s="43">
        <f>SUMIF($E$7:FX7,"&gt;="&amp; DATE(YEAR(FX7),MONTH(FX7)-11,DAY(FX7)),$E$15:FX15)</f>
        <v>0</v>
      </c>
      <c r="FY19" s="43">
        <f>SUMIF($E$7:FY7,"&gt;="&amp; DATE(YEAR(FY7),MONTH(FY7)-11,DAY(FY7)),$E$15:FY15)</f>
        <v>0</v>
      </c>
      <c r="FZ19" s="43">
        <f>SUMIF($E$7:FZ7,"&gt;="&amp; DATE(YEAR(FZ7),MONTH(FZ7)-11,DAY(FZ7)),$E$15:FZ15)</f>
        <v>0</v>
      </c>
      <c r="GA19" s="43">
        <f>SUMIF($E$7:GA7,"&gt;="&amp; DATE(YEAR(GA7),MONTH(GA7)-11,DAY(GA7)),$E$15:GA15)</f>
        <v>0</v>
      </c>
      <c r="GB19" s="43">
        <f>SUMIF($E$7:GB7,"&gt;="&amp; DATE(YEAR(GB7),MONTH(GB7)-11,DAY(GB7)),$E$15:GB15)</f>
        <v>0</v>
      </c>
      <c r="GC19" s="43">
        <f>SUMIF($E$7:GC7,"&gt;="&amp; DATE(YEAR(GC7),MONTH(GC7)-11,DAY(GC7)),$E$15:GC15)</f>
        <v>0</v>
      </c>
      <c r="GD19" s="43">
        <f>SUMIF($E$7:GD7,"&gt;="&amp; DATE(YEAR(GD7),MONTH(GD7)-11,DAY(GD7)),$E$15:GD15)</f>
        <v>0</v>
      </c>
      <c r="GE19" s="43">
        <f>SUMIF($E$7:GE7,"&gt;="&amp; DATE(YEAR(GE7),MONTH(GE7)-11,DAY(GE7)),$E$15:GE15)</f>
        <v>0</v>
      </c>
      <c r="GF19" s="43">
        <f>SUMIF($E$7:GF7,"&gt;="&amp; DATE(YEAR(GF7),MONTH(GF7)-11,DAY(GF7)),$E$15:GF15)</f>
        <v>0</v>
      </c>
      <c r="GG19" s="43">
        <f>SUMIF($E$7:GG7,"&gt;="&amp; DATE(YEAR(GG7),MONTH(GG7)-11,DAY(GG7)),$E$15:GG15)</f>
        <v>0</v>
      </c>
      <c r="GH19" s="43">
        <f>SUMIF($E$7:GH7,"&gt;="&amp; DATE(YEAR(GH7),MONTH(GH7)-11,DAY(GH7)),$E$15:GH15)</f>
        <v>0</v>
      </c>
      <c r="GI19" s="43">
        <f>SUMIF($E$7:GI7,"&gt;="&amp; DATE(YEAR(GI7),MONTH(GI7)-11,DAY(GI7)),$E$15:GI15)</f>
        <v>0</v>
      </c>
      <c r="GJ19" s="43">
        <f>SUMIF($E$7:GJ7,"&gt;="&amp; DATE(YEAR(GJ7),MONTH(GJ7)-11,DAY(GJ7)),$E$15:GJ15)</f>
        <v>0</v>
      </c>
      <c r="GK19" s="43">
        <f>SUMIF($E$7:GK7,"&gt;="&amp; DATE(YEAR(GK7),MONTH(GK7)-11,DAY(GK7)),$E$15:GK15)</f>
        <v>0</v>
      </c>
      <c r="GL19" s="43">
        <f>SUMIF($E$7:GL7,"&gt;="&amp; DATE(YEAR(GL7),MONTH(GL7)-11,DAY(GL7)),$E$15:GL15)</f>
        <v>0</v>
      </c>
      <c r="GM19" s="43">
        <f>SUMIF($E$7:GM7,"&gt;="&amp; DATE(YEAR(GM7),MONTH(GM7)-11,DAY(GM7)),$E$15:GM15)</f>
        <v>0</v>
      </c>
      <c r="GN19" s="43">
        <f>SUMIF($E$7:GN7,"&gt;="&amp; DATE(YEAR(GN7),MONTH(GN7)-11,DAY(GN7)),$E$15:GN15)</f>
        <v>0</v>
      </c>
      <c r="GO19" s="43">
        <f>SUMIF($E$7:GO7,"&gt;="&amp; DATE(YEAR(GO7),MONTH(GO7)-11,DAY(GO7)),$E$15:GO15)</f>
        <v>0</v>
      </c>
      <c r="GP19" s="43">
        <f>SUMIF($E$7:GP7,"&gt;="&amp; DATE(YEAR(GP7),MONTH(GP7)-11,DAY(GP7)),$E$15:GP15)</f>
        <v>0</v>
      </c>
      <c r="GQ19" s="43">
        <f>SUMIF($E$7:GQ7,"&gt;="&amp; DATE(YEAR(GQ7),MONTH(GQ7)-11,DAY(GQ7)),$E$15:GQ15)</f>
        <v>0</v>
      </c>
      <c r="GR19" s="43">
        <f>SUMIF($E$7:GR7,"&gt;="&amp; DATE(YEAR(GR7),MONTH(GR7)-11,DAY(GR7)),$E$15:GR15)</f>
        <v>0</v>
      </c>
      <c r="GS19" s="43">
        <f>SUMIF($E$7:GS7,"&gt;="&amp; DATE(YEAR(GS7),MONTH(GS7)-11,DAY(GS7)),$E$15:GS15)</f>
        <v>0</v>
      </c>
      <c r="GT19" s="43">
        <f>SUMIF($E$7:GT7,"&gt;="&amp; DATE(YEAR(GT7),MONTH(GT7)-11,DAY(GT7)),$E$15:GT15)</f>
        <v>0</v>
      </c>
      <c r="GU19" s="43">
        <f>SUMIF($E$7:GU7,"&gt;="&amp; DATE(YEAR(GU7),MONTH(GU7)-11,DAY(GU7)),$E$15:GU15)</f>
        <v>0</v>
      </c>
      <c r="GV19" s="43">
        <f>SUMIF($E$7:GV7,"&gt;="&amp; DATE(YEAR(GV7),MONTH(GV7)-11,DAY(GV7)),$E$15:GV15)</f>
        <v>0</v>
      </c>
      <c r="GW19" s="43">
        <f>SUMIF($E$7:GW7,"&gt;="&amp; DATE(YEAR(GW7),MONTH(GW7)-11,DAY(GW7)),$E$15:GW15)</f>
        <v>0</v>
      </c>
      <c r="GX19" s="43">
        <f>SUMIF($E$7:GX7,"&gt;="&amp; DATE(YEAR(GX7),MONTH(GX7)-11,DAY(GX7)),$E$15:GX15)</f>
        <v>0</v>
      </c>
      <c r="GY19" s="43">
        <f>SUMIF($E$7:GY7,"&gt;="&amp; DATE(YEAR(GY7),MONTH(GY7)-11,DAY(GY7)),$E$15:GY15)</f>
        <v>0</v>
      </c>
      <c r="GZ19" s="43">
        <f>SUMIF($E$7:GZ7,"&gt;="&amp; DATE(YEAR(GZ7),MONTH(GZ7)-11,DAY(GZ7)),$E$15:GZ15)</f>
        <v>0</v>
      </c>
      <c r="HA19" s="43">
        <f>SUMIF($E$7:HA7,"&gt;="&amp; DATE(YEAR(HA7),MONTH(HA7)-11,DAY(HA7)),$E$15:HA15)</f>
        <v>0</v>
      </c>
      <c r="HB19" s="43">
        <f>SUMIF($E$7:HB7,"&gt;="&amp; DATE(YEAR(HB7),MONTH(HB7)-11,DAY(HB7)),$E$15:HB15)</f>
        <v>0</v>
      </c>
      <c r="HC19" s="43">
        <f>SUMIF($E$7:HC7,"&gt;="&amp; DATE(YEAR(HC7),MONTH(HC7)-11,DAY(HC7)),$E$15:HC15)</f>
        <v>0</v>
      </c>
      <c r="HD19" s="43">
        <f>SUMIF($E$7:HD7,"&gt;="&amp; DATE(YEAR(HD7),MONTH(HD7)-11,DAY(HD7)),$E$15:HD15)</f>
        <v>0</v>
      </c>
      <c r="HE19" s="43">
        <f>SUMIF($E$7:HE7,"&gt;="&amp; DATE(YEAR(HE7),MONTH(HE7)-11,DAY(HE7)),$E$15:HE15)</f>
        <v>0</v>
      </c>
      <c r="HF19" s="43">
        <f>SUMIF($E$7:HF7,"&gt;="&amp; DATE(YEAR(HF7),MONTH(HF7)-11,DAY(HF7)),$E$15:HF15)</f>
        <v>0</v>
      </c>
      <c r="HG19" s="43">
        <f>SUMIF($E$7:HG7,"&gt;="&amp; DATE(YEAR(HG7),MONTH(HG7)-11,DAY(HG7)),$E$15:HG15)</f>
        <v>0</v>
      </c>
      <c r="HH19" s="43">
        <f>SUMIF($E$7:HH7,"&gt;="&amp; DATE(YEAR(HH7),MONTH(HH7)-11,DAY(HH7)),$E$15:HH15)</f>
        <v>0</v>
      </c>
      <c r="HI19" s="43">
        <f>SUMIF($E$7:HI7,"&gt;="&amp; DATE(YEAR(HI7),MONTH(HI7)-11,DAY(HI7)),$E$15:HI15)</f>
        <v>0</v>
      </c>
      <c r="HJ19" s="43">
        <f>SUMIF($E$7:HJ7,"&gt;="&amp; DATE(YEAR(HJ7),MONTH(HJ7)-11,DAY(HJ7)),$E$15:HJ15)</f>
        <v>0</v>
      </c>
      <c r="HK19" s="43">
        <f>SUMIF($E$7:HK7,"&gt;="&amp; DATE(YEAR(HK7),MONTH(HK7)-11,DAY(HK7)),$E$15:HK15)</f>
        <v>0</v>
      </c>
      <c r="HL19" s="43">
        <f>SUMIF($E$7:HL7,"&gt;="&amp; DATE(YEAR(HL7),MONTH(HL7)-11,DAY(HL7)),$E$15:HL15)</f>
        <v>0</v>
      </c>
      <c r="HM19" s="43">
        <f>SUMIF($E$7:HM7,"&gt;="&amp; DATE(YEAR(HM7),MONTH(HM7)-11,DAY(HM7)),$E$15:HM15)</f>
        <v>0</v>
      </c>
      <c r="HN19" s="43">
        <f>SUMIF($E$7:HN7,"&gt;="&amp; DATE(YEAR(HN7),MONTH(HN7)-11,DAY(HN7)),$E$15:HN15)</f>
        <v>0</v>
      </c>
      <c r="HO19" s="43">
        <f>SUMIF($E$7:HO7,"&gt;="&amp; DATE(YEAR(HO7),MONTH(HO7)-11,DAY(HO7)),$E$15:HO15)</f>
        <v>0</v>
      </c>
      <c r="HP19" s="43">
        <f>SUMIF($E$7:HP7,"&gt;="&amp; DATE(YEAR(HP7),MONTH(HP7)-11,DAY(HP7)),$E$15:HP15)</f>
        <v>0</v>
      </c>
      <c r="HQ19" s="43">
        <f>SUMIF($E$7:HQ7,"&gt;="&amp; DATE(YEAR(HQ7),MONTH(HQ7)-11,DAY(HQ7)),$E$15:HQ15)</f>
        <v>0</v>
      </c>
      <c r="HR19" s="43">
        <f>SUMIF($E$7:HR7,"&gt;="&amp; DATE(YEAR(HR7),MONTH(HR7)-11,DAY(HR7)),$E$15:HR15)</f>
        <v>0</v>
      </c>
      <c r="HS19" s="43">
        <f>SUMIF($E$7:HS7,"&gt;="&amp; DATE(YEAR(HS7),MONTH(HS7)-11,DAY(HS7)),$E$15:HS15)</f>
        <v>0</v>
      </c>
      <c r="HT19" s="43">
        <f>SUMIF($E$7:HT7,"&gt;="&amp; DATE(YEAR(HT7),MONTH(HT7)-11,DAY(HT7)),$E$15:HT15)</f>
        <v>0</v>
      </c>
      <c r="HU19" s="43">
        <f>SUMIF($E$7:HU7,"&gt;="&amp; DATE(YEAR(HU7),MONTH(HU7)-11,DAY(HU7)),$E$15:HU15)</f>
        <v>0</v>
      </c>
      <c r="HV19" s="43">
        <f>SUMIF($E$7:HV7,"&gt;="&amp; DATE(YEAR(HV7),MONTH(HV7)-11,DAY(HV7)),$E$15:HV15)</f>
        <v>0</v>
      </c>
      <c r="HW19" s="43">
        <f>SUMIF($E$7:HW7,"&gt;="&amp; DATE(YEAR(HW7),MONTH(HW7)-11,DAY(HW7)),$E$15:HW15)</f>
        <v>0</v>
      </c>
      <c r="HX19" s="43">
        <f>SUMIF($E$7:HX7,"&gt;="&amp; DATE(YEAR(HX7),MONTH(HX7)-11,DAY(HX7)),$E$15:HX15)</f>
        <v>0</v>
      </c>
      <c r="HY19" s="43">
        <f>SUMIF($E$7:HY7,"&gt;="&amp; DATE(YEAR(HY7),MONTH(HY7)-11,DAY(HY7)),$E$15:HY15)</f>
        <v>0</v>
      </c>
      <c r="HZ19" s="43">
        <f>SUMIF($E$7:HZ7,"&gt;="&amp; DATE(YEAR(HZ7),MONTH(HZ7)-11,DAY(HZ7)),$E$15:HZ15)</f>
        <v>0</v>
      </c>
      <c r="IA19" s="43">
        <f>SUMIF($E$7:IA7,"&gt;="&amp; DATE(YEAR(IA7),MONTH(IA7)-11,DAY(IA7)),$E$15:IA15)</f>
        <v>0</v>
      </c>
      <c r="IB19" s="43">
        <f>SUMIF($E$7:IB7,"&gt;="&amp; DATE(YEAR(IB7),MONTH(IB7)-11,DAY(IB7)),$E$15:IB15)</f>
        <v>0</v>
      </c>
      <c r="IC19" s="43">
        <f>SUMIF($E$7:IC7,"&gt;="&amp; DATE(YEAR(IC7),MONTH(IC7)-11,DAY(IC7)),$E$15:IC15)</f>
        <v>0</v>
      </c>
      <c r="ID19" s="43">
        <f>SUMIF($E$7:ID7,"&gt;="&amp; DATE(YEAR(ID7),MONTH(ID7)-11,DAY(ID7)),$E$15:ID15)</f>
        <v>0</v>
      </c>
      <c r="IE19" s="43">
        <f>SUMIF($E$7:IE7,"&gt;="&amp; DATE(YEAR(IE7),MONTH(IE7)-11,DAY(IE7)),$E$15:IE15)</f>
        <v>0</v>
      </c>
      <c r="IF19" s="43">
        <f>SUMIF($E$7:IF7,"&gt;="&amp; DATE(YEAR(IF7),MONTH(IF7)-11,DAY(IF7)),$E$15:IF15)</f>
        <v>0</v>
      </c>
      <c r="IG19" s="43">
        <f>SUMIF($E$7:IG7,"&gt;="&amp; DATE(YEAR(IG7),MONTH(IG7)-11,DAY(IG7)),$E$15:IG15)</f>
        <v>0</v>
      </c>
      <c r="IH19" s="43">
        <f>SUMIF($E$7:IH7,"&gt;="&amp; DATE(YEAR(IH7),MONTH(IH7)-11,DAY(IH7)),$E$15:IH15)</f>
        <v>0</v>
      </c>
      <c r="II19" s="43">
        <f>SUMIF($E$7:II7,"&gt;="&amp; DATE(YEAR(II7),MONTH(II7)-11,DAY(II7)),$E$15:II15)</f>
        <v>0</v>
      </c>
      <c r="IJ19" s="43">
        <f>SUMIF($E$7:IJ7,"&gt;="&amp; DATE(YEAR(IJ7),MONTH(IJ7)-11,DAY(IJ7)),$E$15:IJ15)</f>
        <v>0</v>
      </c>
      <c r="IK19" s="43">
        <f>SUMIF($E$7:IK7,"&gt;="&amp; DATE(YEAR(IK7),MONTH(IK7)-11,DAY(IK7)),$E$15:IK15)</f>
        <v>0</v>
      </c>
      <c r="IL19" s="43">
        <f>SUMIF($E$7:IL7,"&gt;="&amp; DATE(YEAR(IL7),MONTH(IL7)-11,DAY(IL7)),$E$15:IL15)</f>
        <v>0</v>
      </c>
      <c r="IM19" s="43">
        <f>SUMIF($E$7:IM7,"&gt;="&amp; DATE(YEAR(IM7),MONTH(IM7)-11,DAY(IM7)),$E$15:IM15)</f>
        <v>0</v>
      </c>
      <c r="IN19" s="43">
        <f>SUMIF($E$7:IN7,"&gt;="&amp; DATE(YEAR(IN7),MONTH(IN7)-11,DAY(IN7)),$E$15:IN15)</f>
        <v>0</v>
      </c>
      <c r="IO19" s="43">
        <f>SUMIF($E$7:IO7,"&gt;="&amp; DATE(YEAR(IO7),MONTH(IO7)-11,DAY(IO7)),$E$15:IO15)</f>
        <v>0</v>
      </c>
      <c r="IP19" s="43">
        <f>SUMIF($E$7:IP7,"&gt;="&amp; DATE(YEAR(IP7),MONTH(IP7)-11,DAY(IP7)),$E$15:IP15)</f>
        <v>0</v>
      </c>
      <c r="IQ19" s="43">
        <f>SUMIF($E$7:IQ7,"&gt;="&amp; DATE(YEAR(IQ7),MONTH(IQ7)-11,DAY(IQ7)),$E$15:IQ15)</f>
        <v>0</v>
      </c>
      <c r="IR19" s="43">
        <f>SUMIF($E$7:IR7,"&gt;="&amp; DATE(YEAR(IR7),MONTH(IR7)-11,DAY(IR7)),$E$15:IR15)</f>
        <v>0</v>
      </c>
      <c r="IS19" s="43">
        <f>SUMIF($E$7:IS7,"&gt;="&amp; DATE(YEAR(IS7),MONTH(IS7)-11,DAY(IS7)),$E$15:IS15)</f>
        <v>0</v>
      </c>
      <c r="IT19" s="43">
        <f>SUMIF($E$7:IT7,"&gt;="&amp; DATE(YEAR(IT7),MONTH(IT7)-11,DAY(IT7)),$E$15:IT15)</f>
        <v>0</v>
      </c>
      <c r="IU19" s="43">
        <f>SUMIF($E$7:IU7,"&gt;="&amp; DATE(YEAR(IU7),MONTH(IU7)-11,DAY(IU7)),$E$15:IU15)</f>
        <v>0</v>
      </c>
      <c r="IV19" s="43">
        <f>SUMIF($E$7:IV7,"&gt;="&amp; DATE(YEAR(IV7),MONTH(IV7)-11,DAY(IV7)),$E$15:IV15)</f>
        <v>0</v>
      </c>
      <c r="IW19" s="43">
        <f>SUMIF($E$7:IW7,"&gt;="&amp; DATE(YEAR(IW7),MONTH(IW7)-11,DAY(IW7)),$E$15:IW15)</f>
        <v>0</v>
      </c>
      <c r="IX19" s="43">
        <f>SUMIF($E$7:IX7,"&gt;="&amp; DATE(YEAR(IX7),MONTH(IX7)-11,DAY(IX7)),$E$15:IX15)</f>
        <v>0</v>
      </c>
      <c r="IY19" s="43">
        <f>SUMIF($E$7:IY7,"&gt;="&amp; DATE(YEAR(IY7),MONTH(IY7)-11,DAY(IY7)),$E$15:IY15)</f>
        <v>0</v>
      </c>
      <c r="IZ19" s="43">
        <f>SUMIF($E$7:IZ7,"&gt;="&amp; DATE(YEAR(IZ7),MONTH(IZ7)-11,DAY(IZ7)),$E$15:IZ15)</f>
        <v>0</v>
      </c>
      <c r="JA19" s="43">
        <f>SUMIF($E$7:JA7,"&gt;="&amp; DATE(YEAR(JA7),MONTH(JA7)-11,DAY(JA7)),$E$15:JA15)</f>
        <v>0</v>
      </c>
      <c r="JB19" s="43">
        <f>SUMIF($E$7:JB7,"&gt;="&amp; DATE(YEAR(JB7),MONTH(JB7)-11,DAY(JB7)),$E$15:JB15)</f>
        <v>0</v>
      </c>
      <c r="JC19" s="43">
        <f>SUMIF($E$7:JC7,"&gt;="&amp; DATE(YEAR(JC7),MONTH(JC7)-11,DAY(JC7)),$E$15:JC15)</f>
        <v>0</v>
      </c>
      <c r="JD19" s="43">
        <f>SUMIF($E$7:JD7,"&gt;="&amp; DATE(YEAR(JD7),MONTH(JD7)-11,DAY(JD7)),$E$15:JD15)</f>
        <v>0</v>
      </c>
      <c r="JE19" s="43">
        <f>SUMIF($E$7:JE7,"&gt;="&amp; DATE(YEAR(JE7),MONTH(JE7)-11,DAY(JE7)),$E$15:JE15)</f>
        <v>0</v>
      </c>
      <c r="JF19" s="43">
        <f>SUMIF($E$7:JF7,"&gt;="&amp; DATE(YEAR(JF7),MONTH(JF7)-11,DAY(JF7)),$E$15:JF15)</f>
        <v>0</v>
      </c>
      <c r="JG19" s="43">
        <f>SUMIF($E$7:JG7,"&gt;="&amp; DATE(YEAR(JG7),MONTH(JG7)-11,DAY(JG7)),$E$15:JG15)</f>
        <v>0</v>
      </c>
      <c r="JH19" s="43">
        <f>SUMIF($E$7:JH7,"&gt;="&amp; DATE(YEAR(JH7),MONTH(JH7)-11,DAY(JH7)),$E$15:JH15)</f>
        <v>0</v>
      </c>
      <c r="JI19" s="43">
        <f>SUMIF($E$7:JI7,"&gt;="&amp; DATE(YEAR(JI7),MONTH(JI7)-11,DAY(JI7)),$E$15:JI15)</f>
        <v>0</v>
      </c>
      <c r="JJ19" s="43">
        <f>SUMIF($E$7:JJ7,"&gt;="&amp; DATE(YEAR(JJ7),MONTH(JJ7)-11,DAY(JJ7)),$E$15:JJ15)</f>
        <v>0</v>
      </c>
      <c r="JK19" s="43">
        <f>SUMIF($E$7:JK7,"&gt;="&amp; DATE(YEAR(JK7),MONTH(JK7)-11,DAY(JK7)),$E$15:JK15)</f>
        <v>0</v>
      </c>
      <c r="JL19" s="43">
        <f>SUMIF($E$7:JL7,"&gt;="&amp; DATE(YEAR(JL7),MONTH(JL7)-11,DAY(JL7)),$E$15:JL15)</f>
        <v>0</v>
      </c>
      <c r="JM19" s="43">
        <f>SUMIF($E$7:JM7,"&gt;="&amp; DATE(YEAR(JM7),MONTH(JM7)-11,DAY(JM7)),$E$15:JM15)</f>
        <v>0</v>
      </c>
      <c r="JN19" s="43">
        <f>SUMIF($E$7:JN7,"&gt;="&amp; DATE(YEAR(JN7),MONTH(JN7)-11,DAY(JN7)),$E$15:JN15)</f>
        <v>0</v>
      </c>
      <c r="JO19" s="43">
        <f>SUMIF($E$7:JO7,"&gt;="&amp; DATE(YEAR(JO7),MONTH(JO7)-11,DAY(JO7)),$E$15:JO15)</f>
        <v>0</v>
      </c>
      <c r="JP19" s="43">
        <f>SUMIF($E$7:JP7,"&gt;="&amp; DATE(YEAR(JP7),MONTH(JP7)-11,DAY(JP7)),$E$15:JP15)</f>
        <v>0</v>
      </c>
      <c r="JQ19" s="43">
        <f>SUMIF($E$7:JQ7,"&gt;="&amp; DATE(YEAR(JQ7),MONTH(JQ7)-11,DAY(JQ7)),$E$15:JQ15)</f>
        <v>0</v>
      </c>
      <c r="JR19" s="43">
        <f>SUMIF($E$7:JR7,"&gt;="&amp; DATE(YEAR(JR7),MONTH(JR7)-11,DAY(JR7)),$E$15:JR15)</f>
        <v>0</v>
      </c>
      <c r="JS19" s="43">
        <f>SUMIF($E$7:JS7,"&gt;="&amp; DATE(YEAR(JS7),MONTH(JS7)-11,DAY(JS7)),$E$15:JS15)</f>
        <v>0</v>
      </c>
      <c r="JT19" s="43">
        <f>SUMIF($E$7:JT7,"&gt;="&amp; DATE(YEAR(JT7),MONTH(JT7)-11,DAY(JT7)),$E$15:JT15)</f>
        <v>0</v>
      </c>
      <c r="JU19" s="43">
        <f>SUMIF($E$7:JU7,"&gt;="&amp; DATE(YEAR(JU7),MONTH(JU7)-11,DAY(JU7)),$E$15:JU15)</f>
        <v>0</v>
      </c>
      <c r="JV19" s="43">
        <f>SUMIF($E$7:JV7,"&gt;="&amp; DATE(YEAR(JV7),MONTH(JV7)-11,DAY(JV7)),$E$15:JV15)</f>
        <v>0</v>
      </c>
      <c r="JW19" s="43">
        <f>SUMIF($E$7:JW7,"&gt;="&amp; DATE(YEAR(JW7),MONTH(JW7)-11,DAY(JW7)),$E$15:JW15)</f>
        <v>0</v>
      </c>
      <c r="JX19" s="43">
        <f>SUMIF($E$7:JX7,"&gt;="&amp; DATE(YEAR(JX7),MONTH(JX7)-11,DAY(JX7)),$E$15:JX15)</f>
        <v>0</v>
      </c>
      <c r="JY19" s="43">
        <f>SUMIF($E$7:JY7,"&gt;="&amp; DATE(YEAR(JY7),MONTH(JY7)-11,DAY(JY7)),$E$15:JY15)</f>
        <v>0</v>
      </c>
      <c r="JZ19" s="43">
        <f>SUMIF($E$7:JZ7,"&gt;="&amp; DATE(YEAR(JZ7),MONTH(JZ7)-11,DAY(JZ7)),$E$15:JZ15)</f>
        <v>0</v>
      </c>
      <c r="KA19" s="43">
        <f>SUMIF($E$7:KA7,"&gt;="&amp; DATE(YEAR(KA7),MONTH(KA7)-11,DAY(KA7)),$E$15:KA15)</f>
        <v>0</v>
      </c>
      <c r="KB19" s="43">
        <f>SUMIF($E$7:KB7,"&gt;="&amp; DATE(YEAR(KB7),MONTH(KB7)-11,DAY(KB7)),$E$15:KB15)</f>
        <v>0</v>
      </c>
      <c r="KC19" s="43">
        <f>SUMIF($E$7:KC7,"&gt;="&amp; DATE(YEAR(KC7),MONTH(KC7)-11,DAY(KC7)),$E$15:KC15)</f>
        <v>0</v>
      </c>
      <c r="KD19" s="43">
        <f>SUMIF($E$7:KD7,"&gt;="&amp; DATE(YEAR(KD7),MONTH(KD7)-11,DAY(KD7)),$E$15:KD15)</f>
        <v>0</v>
      </c>
      <c r="KE19" s="43">
        <f>SUMIF($E$7:KE7,"&gt;="&amp; DATE(YEAR(KE7),MONTH(KE7)-11,DAY(KE7)),$E$15:KE15)</f>
        <v>0</v>
      </c>
      <c r="KF19" s="43">
        <f>SUMIF($E$7:KF7,"&gt;="&amp; DATE(YEAR(KF7),MONTH(KF7)-11,DAY(KF7)),$E$15:KF15)</f>
        <v>0</v>
      </c>
      <c r="KG19" s="43">
        <f>SUMIF($E$7:KG7,"&gt;="&amp; DATE(YEAR(KG7),MONTH(KG7)-11,DAY(KG7)),$E$15:KG15)</f>
        <v>0</v>
      </c>
      <c r="KH19" s="43">
        <f>SUMIF($E$7:KH7,"&gt;="&amp; DATE(YEAR(KH7),MONTH(KH7)-11,DAY(KH7)),$E$15:KH15)</f>
        <v>0</v>
      </c>
      <c r="KI19" s="43">
        <f>SUMIF($E$7:KI7,"&gt;="&amp; DATE(YEAR(KI7),MONTH(KI7)-11,DAY(KI7)),$E$15:KI15)</f>
        <v>0</v>
      </c>
      <c r="KJ19" s="43">
        <f>SUMIF($E$7:KJ7,"&gt;="&amp; DATE(YEAR(KJ7),MONTH(KJ7)-11,DAY(KJ7)),$E$15:KJ15)</f>
        <v>0</v>
      </c>
      <c r="KK19" s="43">
        <f>SUMIF($E$7:KK7,"&gt;="&amp; DATE(YEAR(KK7),MONTH(KK7)-11,DAY(KK7)),$E$15:KK15)</f>
        <v>0</v>
      </c>
      <c r="KL19" s="43">
        <f>SUMIF($E$7:KL7,"&gt;="&amp; DATE(YEAR(KL7),MONTH(KL7)-11,DAY(KL7)),$E$15:KL15)</f>
        <v>0</v>
      </c>
      <c r="KM19" s="43">
        <f>SUMIF($E$7:KM7,"&gt;="&amp; DATE(YEAR(KM7),MONTH(KM7)-11,DAY(KM7)),$E$15:KM15)</f>
        <v>0</v>
      </c>
      <c r="KN19" s="43">
        <f>SUMIF($E$7:KN7,"&gt;="&amp; DATE(YEAR(KN7),MONTH(KN7)-11,DAY(KN7)),$E$15:KN15)</f>
        <v>0</v>
      </c>
      <c r="KO19" s="43">
        <f>SUMIF($E$7:KO7,"&gt;="&amp; DATE(YEAR(KO7),MONTH(KO7)-11,DAY(KO7)),$E$15:KO15)</f>
        <v>0</v>
      </c>
      <c r="KP19" s="43">
        <f>SUMIF($E$7:KP7,"&gt;="&amp; DATE(YEAR(KP7),MONTH(KP7)-11,DAY(KP7)),$E$15:KP15)</f>
        <v>0</v>
      </c>
      <c r="KQ19" s="43">
        <f>SUMIF($E$7:KQ7,"&gt;="&amp; DATE(YEAR(KQ7),MONTH(KQ7)-11,DAY(KQ7)),$E$15:KQ15)</f>
        <v>0</v>
      </c>
      <c r="KR19" s="43">
        <f>SUMIF($E$7:KR7,"&gt;="&amp; DATE(YEAR(KR7),MONTH(KR7)-11,DAY(KR7)),$E$15:KR15)</f>
        <v>0</v>
      </c>
      <c r="KS19" s="43">
        <f>SUMIF($E$7:KS7,"&gt;="&amp; DATE(YEAR(KS7),MONTH(KS7)-11,DAY(KS7)),$E$15:KS15)</f>
        <v>0</v>
      </c>
      <c r="KT19" s="43">
        <f>SUMIF($E$7:KT7,"&gt;="&amp; DATE(YEAR(KT7),MONTH(KT7)-11,DAY(KT7)),$E$15:KT15)</f>
        <v>0</v>
      </c>
      <c r="KU19" s="43">
        <f>SUMIF($E$7:KU7,"&gt;="&amp; DATE(YEAR(KU7),MONTH(KU7)-11,DAY(KU7)),$E$15:KU15)</f>
        <v>0</v>
      </c>
      <c r="KV19" s="43">
        <f>SUMIF($E$7:KV7,"&gt;="&amp; DATE(YEAR(KV7),MONTH(KV7)-11,DAY(KV7)),$E$15:KV15)</f>
        <v>0</v>
      </c>
      <c r="KW19" s="43">
        <f>SUMIF($E$7:KW7,"&gt;="&amp; DATE(YEAR(KW7),MONTH(KW7)-11,DAY(KW7)),$E$15:KW15)</f>
        <v>0</v>
      </c>
      <c r="KX19" s="43">
        <f>SUMIF($E$7:KX7,"&gt;="&amp; DATE(YEAR(KX7),MONTH(KX7)-11,DAY(KX7)),$E$15:KX15)</f>
        <v>0</v>
      </c>
      <c r="KY19" s="43">
        <f>SUMIF($E$7:KY7,"&gt;="&amp; DATE(YEAR(KY7),MONTH(KY7)-11,DAY(KY7)),$E$15:KY15)</f>
        <v>0</v>
      </c>
      <c r="KZ19" s="43">
        <f>SUMIF($E$7:KZ7,"&gt;="&amp; DATE(YEAR(KZ7),MONTH(KZ7)-11,DAY(KZ7)),$E$15:KZ15)</f>
        <v>0</v>
      </c>
      <c r="LA19" s="43">
        <f>SUMIF($E$7:LA7,"&gt;="&amp; DATE(YEAR(LA7),MONTH(LA7)-11,DAY(LA7)),$E$15:LA15)</f>
        <v>0</v>
      </c>
      <c r="LB19" s="43">
        <f>SUMIF($E$7:LB7,"&gt;="&amp; DATE(YEAR(LB7),MONTH(LB7)-11,DAY(LB7)),$E$15:LB15)</f>
        <v>0</v>
      </c>
      <c r="LC19" s="43">
        <f>SUMIF($E$7:LC7,"&gt;="&amp; DATE(YEAR(LC7),MONTH(LC7)-11,DAY(LC7)),$E$15:LC15)</f>
        <v>0</v>
      </c>
      <c r="LD19" s="43">
        <f>SUMIF($E$7:LD7,"&gt;="&amp; DATE(YEAR(LD7),MONTH(LD7)-11,DAY(LD7)),$E$15:LD15)</f>
        <v>0</v>
      </c>
      <c r="LE19" s="43">
        <f>SUMIF($E$7:LE7,"&gt;="&amp; DATE(YEAR(LE7),MONTH(LE7)-11,DAY(LE7)),$E$15:LE15)</f>
        <v>0</v>
      </c>
      <c r="LF19" s="43">
        <f>SUMIF($E$7:LF7,"&gt;="&amp; DATE(YEAR(LF7),MONTH(LF7)-11,DAY(LF7)),$E$15:LF15)</f>
        <v>0</v>
      </c>
      <c r="LG19" s="43">
        <f>SUMIF($E$7:LG7,"&gt;="&amp; DATE(YEAR(LG7),MONTH(LG7)-11,DAY(LG7)),$E$15:LG15)</f>
        <v>0</v>
      </c>
      <c r="LH19" s="43">
        <f>SUMIF($E$7:LH7,"&gt;="&amp; DATE(YEAR(LH7),MONTH(LH7)-11,DAY(LH7)),$E$15:LH15)</f>
        <v>0</v>
      </c>
      <c r="LI19" s="43">
        <f>SUMIF($E$7:LI7,"&gt;="&amp; DATE(YEAR(LI7),MONTH(LI7)-11,DAY(LI7)),$E$15:LI15)</f>
        <v>0</v>
      </c>
      <c r="LJ19" s="43">
        <f>SUMIF($E$7:LJ7,"&gt;="&amp; DATE(YEAR(LJ7),MONTH(LJ7)-11,DAY(LJ7)),$E$15:LJ15)</f>
        <v>0</v>
      </c>
      <c r="LK19" s="43">
        <f>SUMIF($E$7:LK7,"&gt;="&amp; DATE(YEAR(LK7),MONTH(LK7)-11,DAY(LK7)),$E$15:LK15)</f>
        <v>0</v>
      </c>
      <c r="LL19" s="43">
        <f>SUMIF($E$7:LL7,"&gt;="&amp; DATE(YEAR(LL7),MONTH(LL7)-11,DAY(LL7)),$E$15:LL15)</f>
        <v>0</v>
      </c>
      <c r="LM19" s="43">
        <f>SUMIF($E$7:LM7,"&gt;="&amp; DATE(YEAR(LM7),MONTH(LM7)-11,DAY(LM7)),$E$15:LM15)</f>
        <v>0</v>
      </c>
      <c r="LN19" s="43">
        <f>SUMIF($E$7:LN7,"&gt;="&amp; DATE(YEAR(LN7),MONTH(LN7)-11,DAY(LN7)),$E$15:LN15)</f>
        <v>0</v>
      </c>
      <c r="LO19" s="43">
        <f>SUMIF($E$7:LO7,"&gt;="&amp; DATE(YEAR(LO7),MONTH(LO7)-11,DAY(LO7)),$E$15:LO15)</f>
        <v>0</v>
      </c>
      <c r="LP19" s="43">
        <f>SUMIF($E$7:LP7,"&gt;="&amp; DATE(YEAR(LP7),MONTH(LP7)-11,DAY(LP7)),$E$15:LP15)</f>
        <v>0</v>
      </c>
      <c r="LQ19" s="43">
        <f>SUMIF($E$7:LQ7,"&gt;="&amp; DATE(YEAR(LQ7),MONTH(LQ7)-11,DAY(LQ7)),$E$15:LQ15)</f>
        <v>0</v>
      </c>
      <c r="LR19" s="43">
        <f>SUMIF($E$7:LR7,"&gt;="&amp; DATE(YEAR(LR7),MONTH(LR7)-11,DAY(LR7)),$E$15:LR15)</f>
        <v>0</v>
      </c>
      <c r="LS19" s="43">
        <f>SUMIF($E$7:LS7,"&gt;="&amp; DATE(YEAR(LS7),MONTH(LS7)-11,DAY(LS7)),$E$15:LS15)</f>
        <v>0</v>
      </c>
      <c r="LT19" s="43">
        <f>SUMIF($E$7:LT7,"&gt;="&amp; DATE(YEAR(LT7),MONTH(LT7)-11,DAY(LT7)),$E$15:LT15)</f>
        <v>0</v>
      </c>
      <c r="LU19" s="43">
        <f>SUMIF($E$7:LU7,"&gt;="&amp; DATE(YEAR(LU7),MONTH(LU7)-11,DAY(LU7)),$E$15:LU15)</f>
        <v>0</v>
      </c>
      <c r="LV19" s="43">
        <f>SUMIF($E$7:LV7,"&gt;="&amp; DATE(YEAR(LV7),MONTH(LV7)-11,DAY(LV7)),$E$15:LV15)</f>
        <v>0</v>
      </c>
      <c r="LW19" s="43">
        <f>SUMIF($E$7:LW7,"&gt;="&amp; DATE(YEAR(LW7),MONTH(LW7)-11,DAY(LW7)),$E$15:LW15)</f>
        <v>0</v>
      </c>
      <c r="LX19" s="43">
        <f>SUMIF($E$7:LX7,"&gt;="&amp; DATE(YEAR(LX7),MONTH(LX7)-11,DAY(LX7)),$E$15:LX15)</f>
        <v>0</v>
      </c>
      <c r="LY19" s="43">
        <f>SUMIF($E$7:LY7,"&gt;="&amp; DATE(YEAR(LY7),MONTH(LY7)-11,DAY(LY7)),$E$15:LY15)</f>
        <v>0</v>
      </c>
      <c r="MA19" s="6"/>
    </row>
    <row r="20" spans="2:339">
      <c r="B20" s="148"/>
      <c r="C20" s="42" t="s">
        <v>50</v>
      </c>
      <c r="E20" s="1" t="str">
        <f>IFERROR((((E19*1000000)/E13)*E4),"-")</f>
        <v>-</v>
      </c>
      <c r="F20" s="1" t="str">
        <f t="shared" ref="F20:Q20" si="355">IFERROR((((F19*1000000)/F13)*F4),"-")</f>
        <v>-</v>
      </c>
      <c r="G20" s="1" t="str">
        <f t="shared" si="355"/>
        <v>-</v>
      </c>
      <c r="H20" s="1" t="str">
        <f t="shared" si="355"/>
        <v>-</v>
      </c>
      <c r="I20" s="1" t="str">
        <f t="shared" si="355"/>
        <v>-</v>
      </c>
      <c r="J20" s="1" t="str">
        <f t="shared" si="355"/>
        <v>-</v>
      </c>
      <c r="K20" s="1" t="str">
        <f t="shared" si="355"/>
        <v>-</v>
      </c>
      <c r="L20" s="1" t="str">
        <f t="shared" si="355"/>
        <v>-</v>
      </c>
      <c r="M20" s="1" t="str">
        <f t="shared" si="355"/>
        <v>-</v>
      </c>
      <c r="N20" s="1" t="str">
        <f t="shared" si="355"/>
        <v>-</v>
      </c>
      <c r="O20" s="1" t="str">
        <f t="shared" si="355"/>
        <v>-</v>
      </c>
      <c r="P20" s="1" t="str">
        <f t="shared" si="355"/>
        <v>-</v>
      </c>
      <c r="Q20" s="1" t="str">
        <f t="shared" si="355"/>
        <v>-</v>
      </c>
      <c r="R20" s="1" t="str">
        <f t="shared" ref="R20" si="356">IFERROR((((R19*1000000)/R13)*R4),"-")</f>
        <v>-</v>
      </c>
      <c r="S20" s="1" t="str">
        <f t="shared" ref="S20" si="357">IFERROR((((S19*1000000)/S13)*S4),"-")</f>
        <v>-</v>
      </c>
      <c r="T20" s="1" t="str">
        <f t="shared" ref="T20" si="358">IFERROR((((T19*1000000)/T13)*T4),"-")</f>
        <v>-</v>
      </c>
      <c r="U20" s="1" t="str">
        <f t="shared" ref="U20" si="359">IFERROR((((U19*1000000)/U13)*U4),"-")</f>
        <v>-</v>
      </c>
      <c r="V20" s="1" t="str">
        <f t="shared" ref="V20" si="360">IFERROR((((V19*1000000)/V13)*V4),"-")</f>
        <v>-</v>
      </c>
      <c r="W20" s="1" t="str">
        <f t="shared" ref="W20" si="361">IFERROR((((W19*1000000)/W13)*W4),"-")</f>
        <v>-</v>
      </c>
      <c r="X20" s="1" t="str">
        <f t="shared" ref="X20" si="362">IFERROR((((X19*1000000)/X13)*X4),"-")</f>
        <v>-</v>
      </c>
      <c r="Y20" s="1" t="str">
        <f t="shared" ref="Y20" si="363">IFERROR((((Y19*1000000)/Y13)*Y4),"-")</f>
        <v>-</v>
      </c>
      <c r="Z20" s="1" t="str">
        <f t="shared" ref="Z20" si="364">IFERROR((((Z19*1000000)/Z13)*Z4),"-")</f>
        <v>-</v>
      </c>
      <c r="AA20" s="1" t="str">
        <f t="shared" ref="AA20" si="365">IFERROR((((AA19*1000000)/AA13)*AA4),"-")</f>
        <v>-</v>
      </c>
      <c r="AB20" s="1" t="str">
        <f t="shared" ref="AB20" si="366">IFERROR((((AB19*1000000)/AB13)*AB4),"-")</f>
        <v>-</v>
      </c>
      <c r="AC20" s="1" t="str">
        <f t="shared" ref="AC20" si="367">IFERROR((((AC19*1000000)/AC13)*AC4),"-")</f>
        <v>-</v>
      </c>
      <c r="AD20" s="1" t="str">
        <f t="shared" ref="AD20" si="368">IFERROR((((AD19*1000000)/AD13)*AD4),"-")</f>
        <v>-</v>
      </c>
      <c r="AE20" s="1" t="str">
        <f t="shared" ref="AE20" si="369">IFERROR((((AE19*1000000)/AE13)*AE4),"-")</f>
        <v>-</v>
      </c>
      <c r="AF20" s="1" t="str">
        <f t="shared" ref="AF20" si="370">IFERROR((((AF19*1000000)/AF13)*AF4),"-")</f>
        <v>-</v>
      </c>
      <c r="AG20" s="1" t="str">
        <f t="shared" ref="AG20" si="371">IFERROR((((AG19*1000000)/AG13)*AG4),"-")</f>
        <v>-</v>
      </c>
      <c r="AH20" s="1" t="str">
        <f t="shared" ref="AH20" si="372">IFERROR((((AH19*1000000)/AH13)*AH4),"-")</f>
        <v>-</v>
      </c>
      <c r="AI20" s="1" t="str">
        <f t="shared" ref="AI20" si="373">IFERROR((((AI19*1000000)/AI13)*AI4),"-")</f>
        <v>-</v>
      </c>
      <c r="AJ20" s="1" t="str">
        <f t="shared" ref="AJ20" si="374">IFERROR((((AJ19*1000000)/AJ13)*AJ4),"-")</f>
        <v>-</v>
      </c>
      <c r="AK20" s="1" t="str">
        <f t="shared" ref="AK20" si="375">IFERROR((((AK19*1000000)/AK13)*AK4),"-")</f>
        <v>-</v>
      </c>
      <c r="AL20" s="1" t="str">
        <f t="shared" ref="AL20" si="376">IFERROR((((AL19*1000000)/AL13)*AL4),"-")</f>
        <v>-</v>
      </c>
      <c r="AM20" s="1" t="str">
        <f t="shared" ref="AM20" si="377">IFERROR((((AM19*1000000)/AM13)*AM4),"-")</f>
        <v>-</v>
      </c>
      <c r="AN20" s="1" t="str">
        <f t="shared" ref="AN20" si="378">IFERROR((((AN19*1000000)/AN13)*AN4),"-")</f>
        <v>-</v>
      </c>
      <c r="AO20" s="1" t="str">
        <f t="shared" ref="AO20" si="379">IFERROR((((AO19*1000000)/AO13)*AO4),"-")</f>
        <v>-</v>
      </c>
      <c r="AP20" s="1" t="str">
        <f t="shared" ref="AP20" si="380">IFERROR((((AP19*1000000)/AP13)*AP4),"-")</f>
        <v>-</v>
      </c>
      <c r="AQ20" s="1" t="str">
        <f t="shared" ref="AQ20" si="381">IFERROR((((AQ19*1000000)/AQ13)*AQ4),"-")</f>
        <v>-</v>
      </c>
      <c r="AR20" s="1" t="str">
        <f t="shared" ref="AR20" si="382">IFERROR((((AR19*1000000)/AR13)*AR4),"-")</f>
        <v>-</v>
      </c>
      <c r="AS20" s="1" t="str">
        <f t="shared" ref="AS20" si="383">IFERROR((((AS19*1000000)/AS13)*AS4),"-")</f>
        <v>-</v>
      </c>
      <c r="AT20" s="1" t="str">
        <f t="shared" ref="AT20" si="384">IFERROR((((AT19*1000000)/AT13)*AT4),"-")</f>
        <v>-</v>
      </c>
      <c r="AU20" s="1" t="str">
        <f t="shared" ref="AU20" si="385">IFERROR((((AU19*1000000)/AU13)*AU4),"-")</f>
        <v>-</v>
      </c>
      <c r="AV20" s="1" t="str">
        <f t="shared" ref="AV20" si="386">IFERROR((((AV19*1000000)/AV13)*AV4),"-")</f>
        <v>-</v>
      </c>
      <c r="AW20" s="1" t="str">
        <f t="shared" ref="AW20" si="387">IFERROR((((AW19*1000000)/AW13)*AW4),"-")</f>
        <v>-</v>
      </c>
      <c r="AX20" s="1" t="str">
        <f t="shared" ref="AX20" si="388">IFERROR((((AX19*1000000)/AX13)*AX4),"-")</f>
        <v>-</v>
      </c>
      <c r="AY20" s="1" t="str">
        <f t="shared" ref="AY20" si="389">IFERROR((((AY19*1000000)/AY13)*AY4),"-")</f>
        <v>-</v>
      </c>
      <c r="AZ20" s="1" t="str">
        <f t="shared" ref="AZ20" si="390">IFERROR((((AZ19*1000000)/AZ13)*AZ4),"-")</f>
        <v>-</v>
      </c>
      <c r="BA20" s="1" t="str">
        <f t="shared" ref="BA20" si="391">IFERROR((((BA19*1000000)/BA13)*BA4),"-")</f>
        <v>-</v>
      </c>
      <c r="BB20" s="1" t="str">
        <f t="shared" ref="BB20" si="392">IFERROR((((BB19*1000000)/BB13)*BB4),"-")</f>
        <v>-</v>
      </c>
      <c r="BC20" s="1" t="str">
        <f t="shared" ref="BC20" si="393">IFERROR((((BC19*1000000)/BC13)*BC4),"-")</f>
        <v>-</v>
      </c>
      <c r="BD20" s="1" t="str">
        <f t="shared" ref="BD20" si="394">IFERROR((((BD19*1000000)/BD13)*BD4),"-")</f>
        <v>-</v>
      </c>
      <c r="BE20" s="1" t="str">
        <f t="shared" ref="BE20" si="395">IFERROR((((BE19*1000000)/BE13)*BE4),"-")</f>
        <v>-</v>
      </c>
      <c r="BF20" s="1" t="str">
        <f t="shared" ref="BF20" si="396">IFERROR((((BF19*1000000)/BF13)*BF4),"-")</f>
        <v>-</v>
      </c>
      <c r="BG20" s="1" t="str">
        <f t="shared" ref="BG20" si="397">IFERROR((((BG19*1000000)/BG13)*BG4),"-")</f>
        <v>-</v>
      </c>
      <c r="BH20" s="1" t="str">
        <f t="shared" ref="BH20" si="398">IFERROR((((BH19*1000000)/BH13)*BH4),"-")</f>
        <v>-</v>
      </c>
      <c r="BI20" s="1" t="str">
        <f t="shared" ref="BI20" si="399">IFERROR((((BI19*1000000)/BI13)*BI4),"-")</f>
        <v>-</v>
      </c>
      <c r="BJ20" s="1" t="str">
        <f t="shared" ref="BJ20" si="400">IFERROR((((BJ19*1000000)/BJ13)*BJ4),"-")</f>
        <v>-</v>
      </c>
      <c r="BK20" s="1" t="str">
        <f t="shared" ref="BK20" si="401">IFERROR((((BK19*1000000)/BK13)*BK4),"-")</f>
        <v>-</v>
      </c>
      <c r="BL20" s="1" t="str">
        <f t="shared" ref="BL20" si="402">IFERROR((((BL19*1000000)/BL13)*BL4),"-")</f>
        <v>-</v>
      </c>
      <c r="BM20" s="1" t="str">
        <f t="shared" ref="BM20" si="403">IFERROR((((BM19*1000000)/BM13)*BM4),"-")</f>
        <v>-</v>
      </c>
      <c r="BN20" s="1" t="str">
        <f t="shared" ref="BN20" si="404">IFERROR((((BN19*1000000)/BN13)*BN4),"-")</f>
        <v>-</v>
      </c>
      <c r="BO20" s="1" t="str">
        <f t="shared" ref="BO20" si="405">IFERROR((((BO19*1000000)/BO13)*BO4),"-")</f>
        <v>-</v>
      </c>
      <c r="BP20" s="1" t="str">
        <f t="shared" ref="BP20" si="406">IFERROR((((BP19*1000000)/BP13)*BP4),"-")</f>
        <v>-</v>
      </c>
      <c r="BQ20" s="1" t="str">
        <f t="shared" ref="BQ20" si="407">IFERROR((((BQ19*1000000)/BQ13)*BQ4),"-")</f>
        <v>-</v>
      </c>
      <c r="BR20" s="1" t="str">
        <f t="shared" ref="BR20" si="408">IFERROR((((BR19*1000000)/BR13)*BR4),"-")</f>
        <v>-</v>
      </c>
      <c r="BS20" s="1" t="str">
        <f t="shared" ref="BS20" si="409">IFERROR((((BS19*1000000)/BS13)*BS4),"-")</f>
        <v>-</v>
      </c>
      <c r="BT20" s="1" t="str">
        <f t="shared" ref="BT20" si="410">IFERROR((((BT19*1000000)/BT13)*BT4),"-")</f>
        <v>-</v>
      </c>
      <c r="BU20" s="1" t="str">
        <f t="shared" ref="BU20" si="411">IFERROR((((BU19*1000000)/BU13)*BU4),"-")</f>
        <v>-</v>
      </c>
      <c r="BV20" s="1" t="str">
        <f t="shared" ref="BV20" si="412">IFERROR((((BV19*1000000)/BV13)*BV4),"-")</f>
        <v>-</v>
      </c>
      <c r="BW20" s="1" t="str">
        <f t="shared" ref="BW20" si="413">IFERROR((((BW19*1000000)/BW13)*BW4),"-")</f>
        <v>-</v>
      </c>
      <c r="BX20" s="1" t="str">
        <f t="shared" ref="BX20" si="414">IFERROR((((BX19*1000000)/BX13)*BX4),"-")</f>
        <v>-</v>
      </c>
      <c r="BY20" s="1" t="str">
        <f t="shared" ref="BY20" si="415">IFERROR((((BY19*1000000)/BY13)*BY4),"-")</f>
        <v>-</v>
      </c>
      <c r="BZ20" s="1" t="str">
        <f t="shared" ref="BZ20" si="416">IFERROR((((BZ19*1000000)/BZ13)*BZ4),"-")</f>
        <v>-</v>
      </c>
      <c r="CA20" s="1" t="str">
        <f t="shared" ref="CA20" si="417">IFERROR((((CA19*1000000)/CA13)*CA4),"-")</f>
        <v>-</v>
      </c>
      <c r="CB20" s="1" t="str">
        <f t="shared" ref="CB20" si="418">IFERROR((((CB19*1000000)/CB13)*CB4),"-")</f>
        <v>-</v>
      </c>
      <c r="CC20" s="1" t="str">
        <f t="shared" ref="CC20" si="419">IFERROR((((CC19*1000000)/CC13)*CC4),"-")</f>
        <v>-</v>
      </c>
      <c r="CD20" s="1" t="str">
        <f t="shared" ref="CD20" si="420">IFERROR((((CD19*1000000)/CD13)*CD4),"-")</f>
        <v>-</v>
      </c>
      <c r="CE20" s="1" t="str">
        <f t="shared" ref="CE20" si="421">IFERROR((((CE19*1000000)/CE13)*CE4),"-")</f>
        <v>-</v>
      </c>
      <c r="CF20" s="1" t="str">
        <f t="shared" ref="CF20" si="422">IFERROR((((CF19*1000000)/CF13)*CF4),"-")</f>
        <v>-</v>
      </c>
      <c r="CG20" s="1" t="str">
        <f t="shared" ref="CG20" si="423">IFERROR((((CG19*1000000)/CG13)*CG4),"-")</f>
        <v>-</v>
      </c>
      <c r="CH20" s="1" t="str">
        <f t="shared" ref="CH20" si="424">IFERROR((((CH19*1000000)/CH13)*CH4),"-")</f>
        <v>-</v>
      </c>
      <c r="CI20" s="1" t="str">
        <f t="shared" ref="CI20" si="425">IFERROR((((CI19*1000000)/CI13)*CI4),"-")</f>
        <v>-</v>
      </c>
      <c r="CJ20" s="1" t="str">
        <f t="shared" ref="CJ20" si="426">IFERROR((((CJ19*1000000)/CJ13)*CJ4),"-")</f>
        <v>-</v>
      </c>
      <c r="CK20" s="1" t="str">
        <f t="shared" ref="CK20" si="427">IFERROR((((CK19*1000000)/CK13)*CK4),"-")</f>
        <v>-</v>
      </c>
      <c r="CL20" s="1" t="str">
        <f t="shared" ref="CL20" si="428">IFERROR((((CL19*1000000)/CL13)*CL4),"-")</f>
        <v>-</v>
      </c>
      <c r="CM20" s="1" t="str">
        <f t="shared" ref="CM20" si="429">IFERROR((((CM19*1000000)/CM13)*CM4),"-")</f>
        <v>-</v>
      </c>
      <c r="CN20" s="1" t="str">
        <f t="shared" ref="CN20" si="430">IFERROR((((CN19*1000000)/CN13)*CN4),"-")</f>
        <v>-</v>
      </c>
      <c r="CO20" s="1" t="str">
        <f t="shared" ref="CO20" si="431">IFERROR((((CO19*1000000)/CO13)*CO4),"-")</f>
        <v>-</v>
      </c>
      <c r="CP20" s="1" t="str">
        <f t="shared" ref="CP20" si="432">IFERROR((((CP19*1000000)/CP13)*CP4),"-")</f>
        <v>-</v>
      </c>
      <c r="CQ20" s="1" t="str">
        <f t="shared" ref="CQ20" si="433">IFERROR((((CQ19*1000000)/CQ13)*CQ4),"-")</f>
        <v>-</v>
      </c>
      <c r="CR20" s="1" t="str">
        <f t="shared" ref="CR20" si="434">IFERROR((((CR19*1000000)/CR13)*CR4),"-")</f>
        <v>-</v>
      </c>
      <c r="CS20" s="1" t="str">
        <f t="shared" ref="CS20" si="435">IFERROR((((CS19*1000000)/CS13)*CS4),"-")</f>
        <v>-</v>
      </c>
      <c r="CT20" s="1" t="str">
        <f t="shared" ref="CT20" si="436">IFERROR((((CT19*1000000)/CT13)*CT4),"-")</f>
        <v>-</v>
      </c>
      <c r="CU20" s="1" t="str">
        <f t="shared" ref="CU20" si="437">IFERROR((((CU19*1000000)/CU13)*CU4),"-")</f>
        <v>-</v>
      </c>
      <c r="CV20" s="1" t="str">
        <f t="shared" ref="CV20" si="438">IFERROR((((CV19*1000000)/CV13)*CV4),"-")</f>
        <v>-</v>
      </c>
      <c r="CW20" s="1" t="str">
        <f t="shared" ref="CW20" si="439">IFERROR((((CW19*1000000)/CW13)*CW4),"-")</f>
        <v>-</v>
      </c>
      <c r="CX20" s="1" t="str">
        <f t="shared" ref="CX20" si="440">IFERROR((((CX19*1000000)/CX13)*CX4),"-")</f>
        <v>-</v>
      </c>
      <c r="CY20" s="1" t="str">
        <f t="shared" ref="CY20" si="441">IFERROR((((CY19*1000000)/CY13)*CY4),"-")</f>
        <v>-</v>
      </c>
      <c r="CZ20" s="1" t="str">
        <f t="shared" ref="CZ20" si="442">IFERROR((((CZ19*1000000)/CZ13)*CZ4),"-")</f>
        <v>-</v>
      </c>
      <c r="DA20" s="1" t="str">
        <f t="shared" ref="DA20" si="443">IFERROR((((DA19*1000000)/DA13)*DA4),"-")</f>
        <v>-</v>
      </c>
      <c r="DB20" s="1" t="str">
        <f t="shared" ref="DB20" si="444">IFERROR((((DB19*1000000)/DB13)*DB4),"-")</f>
        <v>-</v>
      </c>
      <c r="DC20" s="1" t="str">
        <f t="shared" ref="DC20" si="445">IFERROR((((DC19*1000000)/DC13)*DC4),"-")</f>
        <v>-</v>
      </c>
      <c r="DD20" s="1" t="str">
        <f t="shared" ref="DD20" si="446">IFERROR((((DD19*1000000)/DD13)*DD4),"-")</f>
        <v>-</v>
      </c>
      <c r="DE20" s="1" t="str">
        <f t="shared" ref="DE20" si="447">IFERROR((((DE19*1000000)/DE13)*DE4),"-")</f>
        <v>-</v>
      </c>
      <c r="DF20" s="1" t="str">
        <f t="shared" ref="DF20" si="448">IFERROR((((DF19*1000000)/DF13)*DF4),"-")</f>
        <v>-</v>
      </c>
      <c r="DG20" s="1" t="str">
        <f t="shared" ref="DG20" si="449">IFERROR((((DG19*1000000)/DG13)*DG4),"-")</f>
        <v>-</v>
      </c>
      <c r="DH20" s="1" t="str">
        <f t="shared" ref="DH20" si="450">IFERROR((((DH19*1000000)/DH13)*DH4),"-")</f>
        <v>-</v>
      </c>
      <c r="DI20" s="1" t="str">
        <f t="shared" ref="DI20" si="451">IFERROR((((DI19*1000000)/DI13)*DI4),"-")</f>
        <v>-</v>
      </c>
      <c r="DJ20" s="1" t="str">
        <f t="shared" ref="DJ20" si="452">IFERROR((((DJ19*1000000)/DJ13)*DJ4),"-")</f>
        <v>-</v>
      </c>
      <c r="DK20" s="1" t="str">
        <f t="shared" ref="DK20" si="453">IFERROR((((DK19*1000000)/DK13)*DK4),"-")</f>
        <v>-</v>
      </c>
      <c r="DL20" s="1" t="str">
        <f t="shared" ref="DL20" si="454">IFERROR((((DL19*1000000)/DL13)*DL4),"-")</f>
        <v>-</v>
      </c>
      <c r="DM20" s="1" t="str">
        <f t="shared" ref="DM20" si="455">IFERROR((((DM19*1000000)/DM13)*DM4),"-")</f>
        <v>-</v>
      </c>
      <c r="DN20" s="1" t="str">
        <f t="shared" ref="DN20" si="456">IFERROR((((DN19*1000000)/DN13)*DN4),"-")</f>
        <v>-</v>
      </c>
      <c r="DO20" s="1" t="str">
        <f t="shared" ref="DO20" si="457">IFERROR((((DO19*1000000)/DO13)*DO4),"-")</f>
        <v>-</v>
      </c>
      <c r="DP20" s="1" t="str">
        <f t="shared" ref="DP20" si="458">IFERROR((((DP19*1000000)/DP13)*DP4),"-")</f>
        <v>-</v>
      </c>
      <c r="DQ20" s="1" t="str">
        <f t="shared" ref="DQ20" si="459">IFERROR((((DQ19*1000000)/DQ13)*DQ4),"-")</f>
        <v>-</v>
      </c>
      <c r="DR20" s="1" t="str">
        <f t="shared" ref="DR20" si="460">IFERROR((((DR19*1000000)/DR13)*DR4),"-")</f>
        <v>-</v>
      </c>
      <c r="DS20" s="1" t="str">
        <f t="shared" ref="DS20" si="461">IFERROR((((DS19*1000000)/DS13)*DS4),"-")</f>
        <v>-</v>
      </c>
      <c r="DT20" s="1" t="str">
        <f t="shared" ref="DT20" si="462">IFERROR((((DT19*1000000)/DT13)*DT4),"-")</f>
        <v>-</v>
      </c>
      <c r="DU20" s="1" t="str">
        <f t="shared" ref="DU20" si="463">IFERROR((((DU19*1000000)/DU13)*DU4),"-")</f>
        <v>-</v>
      </c>
      <c r="DV20" s="1" t="str">
        <f t="shared" ref="DV20" si="464">IFERROR((((DV19*1000000)/DV13)*DV4),"-")</f>
        <v>-</v>
      </c>
      <c r="DW20" s="1" t="str">
        <f t="shared" ref="DW20" si="465">IFERROR((((DW19*1000000)/DW13)*DW4),"-")</f>
        <v>-</v>
      </c>
      <c r="DX20" s="1" t="str">
        <f t="shared" ref="DX20" si="466">IFERROR((((DX19*1000000)/DX13)*DX4),"-")</f>
        <v>-</v>
      </c>
      <c r="DY20" s="1" t="str">
        <f t="shared" ref="DY20" si="467">IFERROR((((DY19*1000000)/DY13)*DY4),"-")</f>
        <v>-</v>
      </c>
      <c r="DZ20" s="1" t="str">
        <f t="shared" ref="DZ20" si="468">IFERROR((((DZ19*1000000)/DZ13)*DZ4),"-")</f>
        <v>-</v>
      </c>
      <c r="EA20" s="1" t="str">
        <f t="shared" ref="EA20" si="469">IFERROR((((EA19*1000000)/EA13)*EA4),"-")</f>
        <v>-</v>
      </c>
      <c r="EB20" s="1" t="str">
        <f t="shared" ref="EB20" si="470">IFERROR((((EB19*1000000)/EB13)*EB4),"-")</f>
        <v>-</v>
      </c>
      <c r="EC20" s="1" t="str">
        <f t="shared" ref="EC20" si="471">IFERROR((((EC19*1000000)/EC13)*EC4),"-")</f>
        <v>-</v>
      </c>
      <c r="ED20" s="1" t="str">
        <f t="shared" ref="ED20" si="472">IFERROR((((ED19*1000000)/ED13)*ED4),"-")</f>
        <v>-</v>
      </c>
      <c r="EE20" s="1" t="str">
        <f t="shared" ref="EE20" si="473">IFERROR((((EE19*1000000)/EE13)*EE4),"-")</f>
        <v>-</v>
      </c>
      <c r="EF20" s="1" t="str">
        <f t="shared" ref="EF20" si="474">IFERROR((((EF19*1000000)/EF13)*EF4),"-")</f>
        <v>-</v>
      </c>
      <c r="EG20" s="1" t="str">
        <f t="shared" ref="EG20" si="475">IFERROR((((EG19*1000000)/EG13)*EG4),"-")</f>
        <v>-</v>
      </c>
      <c r="EH20" s="1" t="str">
        <f t="shared" ref="EH20" si="476">IFERROR((((EH19*1000000)/EH13)*EH4),"-")</f>
        <v>-</v>
      </c>
      <c r="EI20" s="1" t="str">
        <f t="shared" ref="EI20" si="477">IFERROR((((EI19*1000000)/EI13)*EI4),"-")</f>
        <v>-</v>
      </c>
      <c r="EJ20" s="1" t="str">
        <f t="shared" ref="EJ20" si="478">IFERROR((((EJ19*1000000)/EJ13)*EJ4),"-")</f>
        <v>-</v>
      </c>
      <c r="EK20" s="1" t="str">
        <f t="shared" ref="EK20" si="479">IFERROR((((EK19*1000000)/EK13)*EK4),"-")</f>
        <v>-</v>
      </c>
      <c r="EL20" s="1" t="str">
        <f t="shared" ref="EL20" si="480">IFERROR((((EL19*1000000)/EL13)*EL4),"-")</f>
        <v>-</v>
      </c>
      <c r="EM20" s="1" t="str">
        <f t="shared" ref="EM20" si="481">IFERROR((((EM19*1000000)/EM13)*EM4),"-")</f>
        <v>-</v>
      </c>
      <c r="EN20" s="1" t="str">
        <f t="shared" ref="EN20" si="482">IFERROR((((EN19*1000000)/EN13)*EN4),"-")</f>
        <v>-</v>
      </c>
      <c r="EO20" s="1" t="str">
        <f t="shared" ref="EO20" si="483">IFERROR((((EO19*1000000)/EO13)*EO4),"-")</f>
        <v>-</v>
      </c>
      <c r="EP20" s="1" t="str">
        <f t="shared" ref="EP20" si="484">IFERROR((((EP19*1000000)/EP13)*EP4),"-")</f>
        <v>-</v>
      </c>
      <c r="EQ20" s="1" t="str">
        <f t="shared" ref="EQ20" si="485">IFERROR((((EQ19*1000000)/EQ13)*EQ4),"-")</f>
        <v>-</v>
      </c>
      <c r="ER20" s="1" t="str">
        <f t="shared" ref="ER20" si="486">IFERROR((((ER19*1000000)/ER13)*ER4),"-")</f>
        <v>-</v>
      </c>
      <c r="ES20" s="1" t="str">
        <f t="shared" ref="ES20" si="487">IFERROR((((ES19*1000000)/ES13)*ES4),"-")</f>
        <v>-</v>
      </c>
      <c r="ET20" s="1" t="str">
        <f t="shared" ref="ET20" si="488">IFERROR((((ET19*1000000)/ET13)*ET4),"-")</f>
        <v>-</v>
      </c>
      <c r="EU20" s="1" t="str">
        <f t="shared" ref="EU20" si="489">IFERROR((((EU19*1000000)/EU13)*EU4),"-")</f>
        <v>-</v>
      </c>
      <c r="EV20" s="1" t="str">
        <f t="shared" ref="EV20:HG20" si="490">IFERROR((((EV19*1000000)/EV13)*EV4),"-")</f>
        <v>-</v>
      </c>
      <c r="EW20" s="1" t="str">
        <f t="shared" si="490"/>
        <v>-</v>
      </c>
      <c r="EX20" s="1" t="str">
        <f t="shared" si="490"/>
        <v>-</v>
      </c>
      <c r="EY20" s="1" t="str">
        <f t="shared" si="490"/>
        <v>-</v>
      </c>
      <c r="EZ20" s="1" t="str">
        <f t="shared" si="490"/>
        <v>-</v>
      </c>
      <c r="FA20" s="1" t="str">
        <f t="shared" si="490"/>
        <v>-</v>
      </c>
      <c r="FB20" s="1" t="str">
        <f t="shared" si="490"/>
        <v>-</v>
      </c>
      <c r="FC20" s="1" t="str">
        <f t="shared" si="490"/>
        <v>-</v>
      </c>
      <c r="FD20" s="1" t="str">
        <f t="shared" si="490"/>
        <v>-</v>
      </c>
      <c r="FE20" s="1" t="str">
        <f t="shared" si="490"/>
        <v>-</v>
      </c>
      <c r="FF20" s="1" t="str">
        <f t="shared" si="490"/>
        <v>-</v>
      </c>
      <c r="FG20" s="1" t="str">
        <f t="shared" si="490"/>
        <v>-</v>
      </c>
      <c r="FH20" s="1" t="str">
        <f t="shared" si="490"/>
        <v>-</v>
      </c>
      <c r="FI20" s="1" t="str">
        <f t="shared" si="490"/>
        <v>-</v>
      </c>
      <c r="FJ20" s="1" t="str">
        <f t="shared" si="490"/>
        <v>-</v>
      </c>
      <c r="FK20" s="1" t="str">
        <f t="shared" si="490"/>
        <v>-</v>
      </c>
      <c r="FL20" s="1" t="str">
        <f t="shared" si="490"/>
        <v>-</v>
      </c>
      <c r="FM20" s="1" t="str">
        <f t="shared" si="490"/>
        <v>-</v>
      </c>
      <c r="FN20" s="1" t="str">
        <f t="shared" si="490"/>
        <v>-</v>
      </c>
      <c r="FO20" s="1" t="str">
        <f t="shared" si="490"/>
        <v>-</v>
      </c>
      <c r="FP20" s="1" t="str">
        <f t="shared" si="490"/>
        <v>-</v>
      </c>
      <c r="FQ20" s="1" t="str">
        <f t="shared" si="490"/>
        <v>-</v>
      </c>
      <c r="FR20" s="1" t="str">
        <f t="shared" si="490"/>
        <v>-</v>
      </c>
      <c r="FS20" s="1" t="str">
        <f t="shared" si="490"/>
        <v>-</v>
      </c>
      <c r="FT20" s="1" t="str">
        <f t="shared" si="490"/>
        <v>-</v>
      </c>
      <c r="FU20" s="1" t="str">
        <f t="shared" si="490"/>
        <v>-</v>
      </c>
      <c r="FV20" s="1" t="str">
        <f t="shared" si="490"/>
        <v>-</v>
      </c>
      <c r="FW20" s="1" t="str">
        <f t="shared" si="490"/>
        <v>-</v>
      </c>
      <c r="FX20" s="1" t="str">
        <f t="shared" si="490"/>
        <v>-</v>
      </c>
      <c r="FY20" s="1" t="str">
        <f t="shared" si="490"/>
        <v>-</v>
      </c>
      <c r="FZ20" s="1" t="str">
        <f t="shared" si="490"/>
        <v>-</v>
      </c>
      <c r="GA20" s="1" t="str">
        <f t="shared" si="490"/>
        <v>-</v>
      </c>
      <c r="GB20" s="1" t="str">
        <f t="shared" si="490"/>
        <v>-</v>
      </c>
      <c r="GC20" s="1" t="str">
        <f t="shared" si="490"/>
        <v>-</v>
      </c>
      <c r="GD20" s="1" t="str">
        <f t="shared" si="490"/>
        <v>-</v>
      </c>
      <c r="GE20" s="1" t="str">
        <f t="shared" si="490"/>
        <v>-</v>
      </c>
      <c r="GF20" s="1" t="str">
        <f t="shared" si="490"/>
        <v>-</v>
      </c>
      <c r="GG20" s="1" t="str">
        <f t="shared" si="490"/>
        <v>-</v>
      </c>
      <c r="GH20" s="1" t="str">
        <f t="shared" si="490"/>
        <v>-</v>
      </c>
      <c r="GI20" s="1" t="str">
        <f t="shared" si="490"/>
        <v>-</v>
      </c>
      <c r="GJ20" s="1" t="str">
        <f t="shared" si="490"/>
        <v>-</v>
      </c>
      <c r="GK20" s="1" t="str">
        <f t="shared" si="490"/>
        <v>-</v>
      </c>
      <c r="GL20" s="1" t="str">
        <f t="shared" si="490"/>
        <v>-</v>
      </c>
      <c r="GM20" s="1" t="str">
        <f t="shared" si="490"/>
        <v>-</v>
      </c>
      <c r="GN20" s="1" t="str">
        <f t="shared" si="490"/>
        <v>-</v>
      </c>
      <c r="GO20" s="1" t="str">
        <f t="shared" si="490"/>
        <v>-</v>
      </c>
      <c r="GP20" s="1" t="str">
        <f t="shared" si="490"/>
        <v>-</v>
      </c>
      <c r="GQ20" s="1" t="str">
        <f t="shared" si="490"/>
        <v>-</v>
      </c>
      <c r="GR20" s="1" t="str">
        <f t="shared" si="490"/>
        <v>-</v>
      </c>
      <c r="GS20" s="1" t="str">
        <f t="shared" si="490"/>
        <v>-</v>
      </c>
      <c r="GT20" s="1" t="str">
        <f t="shared" si="490"/>
        <v>-</v>
      </c>
      <c r="GU20" s="1" t="str">
        <f t="shared" si="490"/>
        <v>-</v>
      </c>
      <c r="GV20" s="1" t="str">
        <f t="shared" si="490"/>
        <v>-</v>
      </c>
      <c r="GW20" s="1" t="str">
        <f t="shared" si="490"/>
        <v>-</v>
      </c>
      <c r="GX20" s="1" t="str">
        <f t="shared" si="490"/>
        <v>-</v>
      </c>
      <c r="GY20" s="1" t="str">
        <f t="shared" si="490"/>
        <v>-</v>
      </c>
      <c r="GZ20" s="1" t="str">
        <f t="shared" si="490"/>
        <v>-</v>
      </c>
      <c r="HA20" s="1" t="str">
        <f t="shared" si="490"/>
        <v>-</v>
      </c>
      <c r="HB20" s="1" t="str">
        <f t="shared" si="490"/>
        <v>-</v>
      </c>
      <c r="HC20" s="1" t="str">
        <f t="shared" si="490"/>
        <v>-</v>
      </c>
      <c r="HD20" s="1" t="str">
        <f t="shared" si="490"/>
        <v>-</v>
      </c>
      <c r="HE20" s="1" t="str">
        <f t="shared" si="490"/>
        <v>-</v>
      </c>
      <c r="HF20" s="1" t="str">
        <f t="shared" si="490"/>
        <v>-</v>
      </c>
      <c r="HG20" s="1" t="str">
        <f t="shared" si="490"/>
        <v>-</v>
      </c>
      <c r="HH20" s="1" t="str">
        <f t="shared" ref="HH20:JS20" si="491">IFERROR((((HH19*1000000)/HH13)*HH4),"-")</f>
        <v>-</v>
      </c>
      <c r="HI20" s="1" t="str">
        <f t="shared" si="491"/>
        <v>-</v>
      </c>
      <c r="HJ20" s="1" t="str">
        <f t="shared" si="491"/>
        <v>-</v>
      </c>
      <c r="HK20" s="1" t="str">
        <f t="shared" si="491"/>
        <v>-</v>
      </c>
      <c r="HL20" s="1" t="str">
        <f t="shared" si="491"/>
        <v>-</v>
      </c>
      <c r="HM20" s="1" t="str">
        <f t="shared" si="491"/>
        <v>-</v>
      </c>
      <c r="HN20" s="1" t="str">
        <f t="shared" si="491"/>
        <v>-</v>
      </c>
      <c r="HO20" s="1" t="str">
        <f t="shared" si="491"/>
        <v>-</v>
      </c>
      <c r="HP20" s="1" t="str">
        <f t="shared" si="491"/>
        <v>-</v>
      </c>
      <c r="HQ20" s="1" t="str">
        <f t="shared" si="491"/>
        <v>-</v>
      </c>
      <c r="HR20" s="1" t="str">
        <f t="shared" si="491"/>
        <v>-</v>
      </c>
      <c r="HS20" s="1" t="str">
        <f t="shared" si="491"/>
        <v>-</v>
      </c>
      <c r="HT20" s="1" t="str">
        <f t="shared" si="491"/>
        <v>-</v>
      </c>
      <c r="HU20" s="1" t="str">
        <f t="shared" si="491"/>
        <v>-</v>
      </c>
      <c r="HV20" s="1" t="str">
        <f t="shared" si="491"/>
        <v>-</v>
      </c>
      <c r="HW20" s="1" t="str">
        <f t="shared" si="491"/>
        <v>-</v>
      </c>
      <c r="HX20" s="1" t="str">
        <f t="shared" si="491"/>
        <v>-</v>
      </c>
      <c r="HY20" s="1" t="str">
        <f t="shared" si="491"/>
        <v>-</v>
      </c>
      <c r="HZ20" s="1" t="str">
        <f t="shared" si="491"/>
        <v>-</v>
      </c>
      <c r="IA20" s="1" t="str">
        <f t="shared" si="491"/>
        <v>-</v>
      </c>
      <c r="IB20" s="1" t="str">
        <f t="shared" si="491"/>
        <v>-</v>
      </c>
      <c r="IC20" s="1" t="str">
        <f t="shared" si="491"/>
        <v>-</v>
      </c>
      <c r="ID20" s="1" t="str">
        <f t="shared" si="491"/>
        <v>-</v>
      </c>
      <c r="IE20" s="1" t="str">
        <f t="shared" si="491"/>
        <v>-</v>
      </c>
      <c r="IF20" s="1" t="str">
        <f t="shared" si="491"/>
        <v>-</v>
      </c>
      <c r="IG20" s="1" t="str">
        <f t="shared" si="491"/>
        <v>-</v>
      </c>
      <c r="IH20" s="1" t="str">
        <f t="shared" si="491"/>
        <v>-</v>
      </c>
      <c r="II20" s="1" t="str">
        <f t="shared" si="491"/>
        <v>-</v>
      </c>
      <c r="IJ20" s="1" t="str">
        <f t="shared" si="491"/>
        <v>-</v>
      </c>
      <c r="IK20" s="1" t="str">
        <f t="shared" si="491"/>
        <v>-</v>
      </c>
      <c r="IL20" s="1" t="str">
        <f t="shared" si="491"/>
        <v>-</v>
      </c>
      <c r="IM20" s="1" t="str">
        <f t="shared" si="491"/>
        <v>-</v>
      </c>
      <c r="IN20" s="1" t="str">
        <f t="shared" si="491"/>
        <v>-</v>
      </c>
      <c r="IO20" s="1" t="str">
        <f t="shared" si="491"/>
        <v>-</v>
      </c>
      <c r="IP20" s="1" t="str">
        <f t="shared" si="491"/>
        <v>-</v>
      </c>
      <c r="IQ20" s="1" t="str">
        <f t="shared" si="491"/>
        <v>-</v>
      </c>
      <c r="IR20" s="1" t="str">
        <f t="shared" si="491"/>
        <v>-</v>
      </c>
      <c r="IS20" s="1" t="str">
        <f t="shared" si="491"/>
        <v>-</v>
      </c>
      <c r="IT20" s="1" t="str">
        <f t="shared" si="491"/>
        <v>-</v>
      </c>
      <c r="IU20" s="1" t="str">
        <f t="shared" si="491"/>
        <v>-</v>
      </c>
      <c r="IV20" s="1" t="str">
        <f t="shared" si="491"/>
        <v>-</v>
      </c>
      <c r="IW20" s="1" t="str">
        <f t="shared" si="491"/>
        <v>-</v>
      </c>
      <c r="IX20" s="1" t="str">
        <f t="shared" si="491"/>
        <v>-</v>
      </c>
      <c r="IY20" s="1" t="str">
        <f t="shared" si="491"/>
        <v>-</v>
      </c>
      <c r="IZ20" s="1" t="str">
        <f t="shared" si="491"/>
        <v>-</v>
      </c>
      <c r="JA20" s="1" t="str">
        <f t="shared" si="491"/>
        <v>-</v>
      </c>
      <c r="JB20" s="1" t="str">
        <f t="shared" si="491"/>
        <v>-</v>
      </c>
      <c r="JC20" s="1" t="str">
        <f t="shared" si="491"/>
        <v>-</v>
      </c>
      <c r="JD20" s="1" t="str">
        <f t="shared" si="491"/>
        <v>-</v>
      </c>
      <c r="JE20" s="1" t="str">
        <f t="shared" si="491"/>
        <v>-</v>
      </c>
      <c r="JF20" s="1" t="str">
        <f t="shared" si="491"/>
        <v>-</v>
      </c>
      <c r="JG20" s="1" t="str">
        <f t="shared" si="491"/>
        <v>-</v>
      </c>
      <c r="JH20" s="1" t="str">
        <f t="shared" si="491"/>
        <v>-</v>
      </c>
      <c r="JI20" s="1" t="str">
        <f t="shared" si="491"/>
        <v>-</v>
      </c>
      <c r="JJ20" s="1" t="str">
        <f t="shared" si="491"/>
        <v>-</v>
      </c>
      <c r="JK20" s="1" t="str">
        <f t="shared" si="491"/>
        <v>-</v>
      </c>
      <c r="JL20" s="1" t="str">
        <f t="shared" si="491"/>
        <v>-</v>
      </c>
      <c r="JM20" s="1" t="str">
        <f t="shared" si="491"/>
        <v>-</v>
      </c>
      <c r="JN20" s="1" t="str">
        <f t="shared" si="491"/>
        <v>-</v>
      </c>
      <c r="JO20" s="1" t="str">
        <f t="shared" si="491"/>
        <v>-</v>
      </c>
      <c r="JP20" s="1" t="str">
        <f t="shared" si="491"/>
        <v>-</v>
      </c>
      <c r="JQ20" s="1" t="str">
        <f t="shared" si="491"/>
        <v>-</v>
      </c>
      <c r="JR20" s="1" t="str">
        <f t="shared" si="491"/>
        <v>-</v>
      </c>
      <c r="JS20" s="1" t="str">
        <f t="shared" si="491"/>
        <v>-</v>
      </c>
      <c r="JT20" s="1" t="str">
        <f t="shared" ref="JT20:LX20" si="492">IFERROR((((JT19*1000000)/JT13)*JT4),"-")</f>
        <v>-</v>
      </c>
      <c r="JU20" s="1" t="str">
        <f t="shared" si="492"/>
        <v>-</v>
      </c>
      <c r="JV20" s="1" t="str">
        <f t="shared" si="492"/>
        <v>-</v>
      </c>
      <c r="JW20" s="1" t="str">
        <f t="shared" si="492"/>
        <v>-</v>
      </c>
      <c r="JX20" s="1" t="str">
        <f t="shared" si="492"/>
        <v>-</v>
      </c>
      <c r="JY20" s="1" t="str">
        <f t="shared" si="492"/>
        <v>-</v>
      </c>
      <c r="JZ20" s="1" t="str">
        <f t="shared" si="492"/>
        <v>-</v>
      </c>
      <c r="KA20" s="1" t="str">
        <f t="shared" si="492"/>
        <v>-</v>
      </c>
      <c r="KB20" s="1" t="str">
        <f t="shared" si="492"/>
        <v>-</v>
      </c>
      <c r="KC20" s="1" t="str">
        <f t="shared" si="492"/>
        <v>-</v>
      </c>
      <c r="KD20" s="1" t="str">
        <f t="shared" si="492"/>
        <v>-</v>
      </c>
      <c r="KE20" s="1" t="str">
        <f t="shared" si="492"/>
        <v>-</v>
      </c>
      <c r="KF20" s="1" t="str">
        <f t="shared" si="492"/>
        <v>-</v>
      </c>
      <c r="KG20" s="1" t="str">
        <f t="shared" si="492"/>
        <v>-</v>
      </c>
      <c r="KH20" s="1" t="str">
        <f t="shared" si="492"/>
        <v>-</v>
      </c>
      <c r="KI20" s="1" t="str">
        <f t="shared" si="492"/>
        <v>-</v>
      </c>
      <c r="KJ20" s="1" t="str">
        <f t="shared" si="492"/>
        <v>-</v>
      </c>
      <c r="KK20" s="1" t="str">
        <f t="shared" si="492"/>
        <v>-</v>
      </c>
      <c r="KL20" s="1" t="str">
        <f t="shared" si="492"/>
        <v>-</v>
      </c>
      <c r="KM20" s="1" t="str">
        <f t="shared" si="492"/>
        <v>-</v>
      </c>
      <c r="KN20" s="1" t="str">
        <f t="shared" si="492"/>
        <v>-</v>
      </c>
      <c r="KO20" s="1" t="str">
        <f t="shared" si="492"/>
        <v>-</v>
      </c>
      <c r="KP20" s="1" t="str">
        <f t="shared" si="492"/>
        <v>-</v>
      </c>
      <c r="KQ20" s="1" t="str">
        <f t="shared" si="492"/>
        <v>-</v>
      </c>
      <c r="KR20" s="1" t="str">
        <f t="shared" si="492"/>
        <v>-</v>
      </c>
      <c r="KS20" s="1" t="str">
        <f t="shared" si="492"/>
        <v>-</v>
      </c>
      <c r="KT20" s="1" t="str">
        <f t="shared" si="492"/>
        <v>-</v>
      </c>
      <c r="KU20" s="1" t="str">
        <f t="shared" si="492"/>
        <v>-</v>
      </c>
      <c r="KV20" s="1" t="str">
        <f t="shared" si="492"/>
        <v>-</v>
      </c>
      <c r="KW20" s="1" t="str">
        <f t="shared" si="492"/>
        <v>-</v>
      </c>
      <c r="KX20" s="1" t="str">
        <f t="shared" si="492"/>
        <v>-</v>
      </c>
      <c r="KY20" s="1" t="str">
        <f t="shared" si="492"/>
        <v>-</v>
      </c>
      <c r="KZ20" s="1" t="str">
        <f t="shared" si="492"/>
        <v>-</v>
      </c>
      <c r="LA20" s="1" t="str">
        <f t="shared" si="492"/>
        <v>-</v>
      </c>
      <c r="LB20" s="1" t="str">
        <f t="shared" si="492"/>
        <v>-</v>
      </c>
      <c r="LC20" s="1" t="str">
        <f t="shared" si="492"/>
        <v>-</v>
      </c>
      <c r="LD20" s="1" t="str">
        <f t="shared" si="492"/>
        <v>-</v>
      </c>
      <c r="LE20" s="1" t="str">
        <f t="shared" si="492"/>
        <v>-</v>
      </c>
      <c r="LF20" s="1" t="str">
        <f t="shared" si="492"/>
        <v>-</v>
      </c>
      <c r="LG20" s="1" t="str">
        <f t="shared" si="492"/>
        <v>-</v>
      </c>
      <c r="LH20" s="1" t="str">
        <f t="shared" si="492"/>
        <v>-</v>
      </c>
      <c r="LI20" s="1" t="str">
        <f t="shared" si="492"/>
        <v>-</v>
      </c>
      <c r="LJ20" s="1" t="str">
        <f t="shared" si="492"/>
        <v>-</v>
      </c>
      <c r="LK20" s="1" t="str">
        <f t="shared" si="492"/>
        <v>-</v>
      </c>
      <c r="LL20" s="1" t="str">
        <f t="shared" si="492"/>
        <v>-</v>
      </c>
      <c r="LM20" s="1" t="str">
        <f t="shared" si="492"/>
        <v>-</v>
      </c>
      <c r="LN20" s="1" t="str">
        <f t="shared" si="492"/>
        <v>-</v>
      </c>
      <c r="LO20" s="1" t="str">
        <f t="shared" si="492"/>
        <v>-</v>
      </c>
      <c r="LP20" s="1" t="str">
        <f t="shared" si="492"/>
        <v>-</v>
      </c>
      <c r="LQ20" s="1" t="str">
        <f t="shared" si="492"/>
        <v>-</v>
      </c>
      <c r="LR20" s="1" t="str">
        <f t="shared" si="492"/>
        <v>-</v>
      </c>
      <c r="LS20" s="1" t="str">
        <f t="shared" si="492"/>
        <v>-</v>
      </c>
      <c r="LT20" s="1" t="str">
        <f t="shared" si="492"/>
        <v>-</v>
      </c>
      <c r="LU20" s="1" t="str">
        <f t="shared" si="492"/>
        <v>-</v>
      </c>
      <c r="LV20" s="1" t="str">
        <f t="shared" si="492"/>
        <v>-</v>
      </c>
      <c r="LW20" s="1" t="str">
        <f t="shared" si="492"/>
        <v>-</v>
      </c>
      <c r="LX20" s="1" t="str">
        <f t="shared" si="492"/>
        <v>-</v>
      </c>
      <c r="LY20" s="1" t="str">
        <f t="shared" ref="LY20" si="493">IFERROR((((LY19*1000000)/LY13)*LY4),"-")</f>
        <v>-</v>
      </c>
      <c r="MA20" s="6"/>
    </row>
    <row r="21" spans="2:339">
      <c r="B21" s="146" t="s">
        <v>4</v>
      </c>
      <c r="C21" s="40" t="s">
        <v>30</v>
      </c>
      <c r="E21" s="43">
        <f>SUM(E38:E42)</f>
        <v>0</v>
      </c>
      <c r="F21" s="43">
        <f t="shared" ref="F21:Q21" si="494">SUM(F38:F42)</f>
        <v>0</v>
      </c>
      <c r="G21" s="43">
        <f t="shared" si="494"/>
        <v>0</v>
      </c>
      <c r="H21" s="43">
        <f t="shared" si="494"/>
        <v>0</v>
      </c>
      <c r="I21" s="43">
        <f t="shared" si="494"/>
        <v>0</v>
      </c>
      <c r="J21" s="43">
        <f t="shared" si="494"/>
        <v>0</v>
      </c>
      <c r="K21" s="43">
        <f t="shared" si="494"/>
        <v>0</v>
      </c>
      <c r="L21" s="43">
        <f t="shared" si="494"/>
        <v>0</v>
      </c>
      <c r="M21" s="43">
        <f t="shared" si="494"/>
        <v>0</v>
      </c>
      <c r="N21" s="43">
        <f t="shared" si="494"/>
        <v>0</v>
      </c>
      <c r="O21" s="43">
        <f t="shared" si="494"/>
        <v>0</v>
      </c>
      <c r="P21" s="43">
        <f t="shared" si="494"/>
        <v>0</v>
      </c>
      <c r="Q21" s="43">
        <f t="shared" si="494"/>
        <v>0</v>
      </c>
      <c r="R21" s="43">
        <f t="shared" ref="R21:AG21" si="495">SUM(R38:R42)</f>
        <v>0</v>
      </c>
      <c r="S21" s="43">
        <f t="shared" si="495"/>
        <v>0</v>
      </c>
      <c r="T21" s="43">
        <f t="shared" si="495"/>
        <v>0</v>
      </c>
      <c r="U21" s="43">
        <f t="shared" si="495"/>
        <v>0</v>
      </c>
      <c r="V21" s="43">
        <f t="shared" si="495"/>
        <v>0</v>
      </c>
      <c r="W21" s="43">
        <f t="shared" si="495"/>
        <v>0</v>
      </c>
      <c r="X21" s="43">
        <f t="shared" si="495"/>
        <v>0</v>
      </c>
      <c r="Y21" s="43">
        <f t="shared" si="495"/>
        <v>0</v>
      </c>
      <c r="Z21" s="43">
        <f t="shared" si="495"/>
        <v>0</v>
      </c>
      <c r="AA21" s="43">
        <f t="shared" si="495"/>
        <v>0</v>
      </c>
      <c r="AB21" s="43">
        <f t="shared" si="495"/>
        <v>0</v>
      </c>
      <c r="AC21" s="43">
        <f t="shared" si="495"/>
        <v>0</v>
      </c>
      <c r="AD21" s="43">
        <f t="shared" si="495"/>
        <v>0</v>
      </c>
      <c r="AE21" s="43">
        <f t="shared" si="495"/>
        <v>0</v>
      </c>
      <c r="AF21" s="43">
        <f t="shared" si="495"/>
        <v>0</v>
      </c>
      <c r="AG21" s="43">
        <f t="shared" si="495"/>
        <v>0</v>
      </c>
      <c r="AH21" s="43">
        <f t="shared" ref="AH21:CE21" si="496">SUM(AH38:AH42)</f>
        <v>0</v>
      </c>
      <c r="AI21" s="43">
        <f t="shared" si="496"/>
        <v>0</v>
      </c>
      <c r="AJ21" s="43">
        <f t="shared" si="496"/>
        <v>0</v>
      </c>
      <c r="AK21" s="43">
        <f t="shared" si="496"/>
        <v>0</v>
      </c>
      <c r="AL21" s="43">
        <f t="shared" si="496"/>
        <v>0</v>
      </c>
      <c r="AM21" s="43">
        <f t="shared" si="496"/>
        <v>0</v>
      </c>
      <c r="AN21" s="43">
        <f t="shared" si="496"/>
        <v>0</v>
      </c>
      <c r="AO21" s="43">
        <f t="shared" si="496"/>
        <v>0</v>
      </c>
      <c r="AP21" s="43">
        <f t="shared" si="496"/>
        <v>0</v>
      </c>
      <c r="AQ21" s="43">
        <f t="shared" si="496"/>
        <v>0</v>
      </c>
      <c r="AR21" s="43">
        <f t="shared" si="496"/>
        <v>0</v>
      </c>
      <c r="AS21" s="43">
        <f t="shared" si="496"/>
        <v>0</v>
      </c>
      <c r="AT21" s="43">
        <f t="shared" si="496"/>
        <v>0</v>
      </c>
      <c r="AU21" s="43">
        <f t="shared" si="496"/>
        <v>0</v>
      </c>
      <c r="AV21" s="43">
        <f t="shared" si="496"/>
        <v>0</v>
      </c>
      <c r="AW21" s="43">
        <f t="shared" si="496"/>
        <v>0</v>
      </c>
      <c r="AX21" s="43">
        <f t="shared" si="496"/>
        <v>0</v>
      </c>
      <c r="AY21" s="43">
        <f t="shared" si="496"/>
        <v>0</v>
      </c>
      <c r="AZ21" s="43">
        <f t="shared" si="496"/>
        <v>0</v>
      </c>
      <c r="BA21" s="43">
        <f t="shared" si="496"/>
        <v>0</v>
      </c>
      <c r="BB21" s="43">
        <f t="shared" si="496"/>
        <v>0</v>
      </c>
      <c r="BC21" s="43">
        <f t="shared" si="496"/>
        <v>0</v>
      </c>
      <c r="BD21" s="43">
        <f t="shared" si="496"/>
        <v>0</v>
      </c>
      <c r="BE21" s="43">
        <f t="shared" si="496"/>
        <v>0</v>
      </c>
      <c r="BF21" s="43">
        <f t="shared" si="496"/>
        <v>0</v>
      </c>
      <c r="BG21" s="43">
        <f t="shared" si="496"/>
        <v>0</v>
      </c>
      <c r="BH21" s="43">
        <f t="shared" si="496"/>
        <v>0</v>
      </c>
      <c r="BI21" s="43">
        <f t="shared" si="496"/>
        <v>0</v>
      </c>
      <c r="BJ21" s="43">
        <f t="shared" si="496"/>
        <v>0</v>
      </c>
      <c r="BK21" s="43">
        <f t="shared" si="496"/>
        <v>0</v>
      </c>
      <c r="BL21" s="43">
        <f t="shared" si="496"/>
        <v>0</v>
      </c>
      <c r="BM21" s="43">
        <f t="shared" si="496"/>
        <v>0</v>
      </c>
      <c r="BN21" s="43">
        <f t="shared" si="496"/>
        <v>0</v>
      </c>
      <c r="BO21" s="43">
        <f t="shared" si="496"/>
        <v>0</v>
      </c>
      <c r="BP21" s="43">
        <f t="shared" si="496"/>
        <v>0</v>
      </c>
      <c r="BQ21" s="43">
        <f t="shared" si="496"/>
        <v>0</v>
      </c>
      <c r="BR21" s="43">
        <f t="shared" si="496"/>
        <v>0</v>
      </c>
      <c r="BS21" s="43">
        <f t="shared" si="496"/>
        <v>0</v>
      </c>
      <c r="BT21" s="43">
        <f t="shared" si="496"/>
        <v>0</v>
      </c>
      <c r="BU21" s="43">
        <f t="shared" si="496"/>
        <v>0</v>
      </c>
      <c r="BV21" s="43">
        <f t="shared" si="496"/>
        <v>0</v>
      </c>
      <c r="BW21" s="43">
        <f t="shared" si="496"/>
        <v>0</v>
      </c>
      <c r="BX21" s="43">
        <f t="shared" si="496"/>
        <v>0</v>
      </c>
      <c r="BY21" s="43">
        <f t="shared" si="496"/>
        <v>0</v>
      </c>
      <c r="BZ21" s="43">
        <f t="shared" si="496"/>
        <v>0</v>
      </c>
      <c r="CA21" s="43">
        <f t="shared" si="496"/>
        <v>0</v>
      </c>
      <c r="CB21" s="43">
        <f t="shared" si="496"/>
        <v>0</v>
      </c>
      <c r="CC21" s="43">
        <f t="shared" si="496"/>
        <v>0</v>
      </c>
      <c r="CD21" s="43">
        <f t="shared" si="496"/>
        <v>0</v>
      </c>
      <c r="CE21" s="43">
        <f t="shared" si="496"/>
        <v>0</v>
      </c>
      <c r="CF21" s="43">
        <f t="shared" ref="CF21:EQ21" si="497">SUM(CF38:CF42)</f>
        <v>0</v>
      </c>
      <c r="CG21" s="43">
        <f t="shared" si="497"/>
        <v>0</v>
      </c>
      <c r="CH21" s="43">
        <f t="shared" si="497"/>
        <v>0</v>
      </c>
      <c r="CI21" s="43">
        <f t="shared" si="497"/>
        <v>0</v>
      </c>
      <c r="CJ21" s="43">
        <f t="shared" si="497"/>
        <v>0</v>
      </c>
      <c r="CK21" s="43">
        <f t="shared" si="497"/>
        <v>0</v>
      </c>
      <c r="CL21" s="43">
        <f t="shared" si="497"/>
        <v>0</v>
      </c>
      <c r="CM21" s="43">
        <f t="shared" si="497"/>
        <v>0</v>
      </c>
      <c r="CN21" s="43">
        <f t="shared" si="497"/>
        <v>0</v>
      </c>
      <c r="CO21" s="43">
        <f t="shared" si="497"/>
        <v>0</v>
      </c>
      <c r="CP21" s="43">
        <f t="shared" si="497"/>
        <v>0</v>
      </c>
      <c r="CQ21" s="43">
        <f t="shared" si="497"/>
        <v>0</v>
      </c>
      <c r="CR21" s="43">
        <f t="shared" si="497"/>
        <v>0</v>
      </c>
      <c r="CS21" s="43">
        <f t="shared" si="497"/>
        <v>0</v>
      </c>
      <c r="CT21" s="43">
        <f t="shared" si="497"/>
        <v>0</v>
      </c>
      <c r="CU21" s="43">
        <f t="shared" si="497"/>
        <v>0</v>
      </c>
      <c r="CV21" s="43">
        <f t="shared" si="497"/>
        <v>0</v>
      </c>
      <c r="CW21" s="43">
        <f t="shared" si="497"/>
        <v>0</v>
      </c>
      <c r="CX21" s="43">
        <f t="shared" si="497"/>
        <v>0</v>
      </c>
      <c r="CY21" s="43">
        <f t="shared" si="497"/>
        <v>0</v>
      </c>
      <c r="CZ21" s="43">
        <f t="shared" si="497"/>
        <v>0</v>
      </c>
      <c r="DA21" s="43">
        <f t="shared" si="497"/>
        <v>0</v>
      </c>
      <c r="DB21" s="43">
        <f t="shared" si="497"/>
        <v>0</v>
      </c>
      <c r="DC21" s="43">
        <f t="shared" si="497"/>
        <v>0</v>
      </c>
      <c r="DD21" s="43">
        <f t="shared" si="497"/>
        <v>0</v>
      </c>
      <c r="DE21" s="43">
        <f t="shared" si="497"/>
        <v>0</v>
      </c>
      <c r="DF21" s="43">
        <f t="shared" si="497"/>
        <v>0</v>
      </c>
      <c r="DG21" s="43">
        <f t="shared" si="497"/>
        <v>0</v>
      </c>
      <c r="DH21" s="43">
        <f t="shared" si="497"/>
        <v>0</v>
      </c>
      <c r="DI21" s="43">
        <f t="shared" si="497"/>
        <v>0</v>
      </c>
      <c r="DJ21" s="43">
        <f t="shared" si="497"/>
        <v>0</v>
      </c>
      <c r="DK21" s="43">
        <f t="shared" si="497"/>
        <v>0</v>
      </c>
      <c r="DL21" s="43">
        <f t="shared" si="497"/>
        <v>0</v>
      </c>
      <c r="DM21" s="43">
        <f t="shared" si="497"/>
        <v>0</v>
      </c>
      <c r="DN21" s="43">
        <f t="shared" si="497"/>
        <v>0</v>
      </c>
      <c r="DO21" s="43">
        <f t="shared" si="497"/>
        <v>0</v>
      </c>
      <c r="DP21" s="43">
        <f t="shared" si="497"/>
        <v>0</v>
      </c>
      <c r="DQ21" s="43">
        <f t="shared" si="497"/>
        <v>0</v>
      </c>
      <c r="DR21" s="43">
        <f t="shared" si="497"/>
        <v>0</v>
      </c>
      <c r="DS21" s="43">
        <f t="shared" si="497"/>
        <v>0</v>
      </c>
      <c r="DT21" s="43">
        <f t="shared" si="497"/>
        <v>0</v>
      </c>
      <c r="DU21" s="43">
        <f t="shared" si="497"/>
        <v>0</v>
      </c>
      <c r="DV21" s="43">
        <f t="shared" si="497"/>
        <v>0</v>
      </c>
      <c r="DW21" s="43">
        <f t="shared" si="497"/>
        <v>0</v>
      </c>
      <c r="DX21" s="43">
        <f t="shared" si="497"/>
        <v>0</v>
      </c>
      <c r="DY21" s="43">
        <f t="shared" si="497"/>
        <v>0</v>
      </c>
      <c r="DZ21" s="43">
        <f t="shared" si="497"/>
        <v>0</v>
      </c>
      <c r="EA21" s="43">
        <f t="shared" si="497"/>
        <v>0</v>
      </c>
      <c r="EB21" s="43">
        <f t="shared" si="497"/>
        <v>0</v>
      </c>
      <c r="EC21" s="43">
        <f t="shared" si="497"/>
        <v>0</v>
      </c>
      <c r="ED21" s="43">
        <f t="shared" si="497"/>
        <v>0</v>
      </c>
      <c r="EE21" s="43">
        <f t="shared" si="497"/>
        <v>0</v>
      </c>
      <c r="EF21" s="43">
        <f t="shared" si="497"/>
        <v>0</v>
      </c>
      <c r="EG21" s="43">
        <f t="shared" si="497"/>
        <v>0</v>
      </c>
      <c r="EH21" s="43">
        <f t="shared" si="497"/>
        <v>0</v>
      </c>
      <c r="EI21" s="43">
        <f t="shared" si="497"/>
        <v>0</v>
      </c>
      <c r="EJ21" s="43">
        <f t="shared" si="497"/>
        <v>0</v>
      </c>
      <c r="EK21" s="43">
        <f t="shared" si="497"/>
        <v>0</v>
      </c>
      <c r="EL21" s="43">
        <f t="shared" si="497"/>
        <v>0</v>
      </c>
      <c r="EM21" s="43">
        <f t="shared" si="497"/>
        <v>0</v>
      </c>
      <c r="EN21" s="43">
        <f t="shared" si="497"/>
        <v>0</v>
      </c>
      <c r="EO21" s="43">
        <f t="shared" si="497"/>
        <v>0</v>
      </c>
      <c r="EP21" s="43">
        <f t="shared" si="497"/>
        <v>0</v>
      </c>
      <c r="EQ21" s="43">
        <f t="shared" si="497"/>
        <v>0</v>
      </c>
      <c r="ER21" s="43">
        <f t="shared" ref="ER21:LY21" si="498">SUM(ER38:ER42)</f>
        <v>0</v>
      </c>
      <c r="ES21" s="43">
        <f t="shared" si="498"/>
        <v>0</v>
      </c>
      <c r="ET21" s="43">
        <f t="shared" si="498"/>
        <v>0</v>
      </c>
      <c r="EU21" s="43">
        <f t="shared" si="498"/>
        <v>0</v>
      </c>
      <c r="EV21" s="43">
        <f t="shared" si="498"/>
        <v>0</v>
      </c>
      <c r="EW21" s="43">
        <f t="shared" ref="EW21:HH21" si="499">SUM(EW38:EW42)</f>
        <v>0</v>
      </c>
      <c r="EX21" s="43">
        <f t="shared" si="499"/>
        <v>0</v>
      </c>
      <c r="EY21" s="43">
        <f t="shared" si="499"/>
        <v>0</v>
      </c>
      <c r="EZ21" s="43">
        <f t="shared" si="499"/>
        <v>0</v>
      </c>
      <c r="FA21" s="43">
        <f t="shared" si="499"/>
        <v>0</v>
      </c>
      <c r="FB21" s="43">
        <f t="shared" si="499"/>
        <v>0</v>
      </c>
      <c r="FC21" s="43">
        <f t="shared" si="499"/>
        <v>0</v>
      </c>
      <c r="FD21" s="43">
        <f t="shared" si="499"/>
        <v>0</v>
      </c>
      <c r="FE21" s="43">
        <f t="shared" si="499"/>
        <v>0</v>
      </c>
      <c r="FF21" s="43">
        <f t="shared" si="499"/>
        <v>0</v>
      </c>
      <c r="FG21" s="43">
        <f t="shared" si="499"/>
        <v>0</v>
      </c>
      <c r="FH21" s="43">
        <f t="shared" si="499"/>
        <v>0</v>
      </c>
      <c r="FI21" s="43">
        <f t="shared" si="499"/>
        <v>0</v>
      </c>
      <c r="FJ21" s="43">
        <f t="shared" si="499"/>
        <v>0</v>
      </c>
      <c r="FK21" s="43">
        <f t="shared" si="499"/>
        <v>0</v>
      </c>
      <c r="FL21" s="43">
        <f t="shared" si="499"/>
        <v>0</v>
      </c>
      <c r="FM21" s="43">
        <f t="shared" si="499"/>
        <v>0</v>
      </c>
      <c r="FN21" s="43">
        <f t="shared" si="499"/>
        <v>0</v>
      </c>
      <c r="FO21" s="43">
        <f t="shared" si="499"/>
        <v>0</v>
      </c>
      <c r="FP21" s="43">
        <f t="shared" si="499"/>
        <v>0</v>
      </c>
      <c r="FQ21" s="43">
        <f t="shared" si="499"/>
        <v>0</v>
      </c>
      <c r="FR21" s="43">
        <f t="shared" si="499"/>
        <v>0</v>
      </c>
      <c r="FS21" s="43">
        <f t="shared" si="499"/>
        <v>0</v>
      </c>
      <c r="FT21" s="43">
        <f t="shared" si="499"/>
        <v>0</v>
      </c>
      <c r="FU21" s="43">
        <f t="shared" si="499"/>
        <v>0</v>
      </c>
      <c r="FV21" s="43">
        <f t="shared" si="499"/>
        <v>0</v>
      </c>
      <c r="FW21" s="43">
        <f t="shared" si="499"/>
        <v>0</v>
      </c>
      <c r="FX21" s="43">
        <f t="shared" si="499"/>
        <v>0</v>
      </c>
      <c r="FY21" s="43">
        <f t="shared" si="499"/>
        <v>0</v>
      </c>
      <c r="FZ21" s="43">
        <f t="shared" si="499"/>
        <v>0</v>
      </c>
      <c r="GA21" s="43">
        <f t="shared" si="499"/>
        <v>0</v>
      </c>
      <c r="GB21" s="43">
        <f t="shared" si="499"/>
        <v>0</v>
      </c>
      <c r="GC21" s="43">
        <f t="shared" si="499"/>
        <v>0</v>
      </c>
      <c r="GD21" s="43">
        <f t="shared" si="499"/>
        <v>0</v>
      </c>
      <c r="GE21" s="43">
        <f t="shared" si="499"/>
        <v>0</v>
      </c>
      <c r="GF21" s="43">
        <f t="shared" si="499"/>
        <v>0</v>
      </c>
      <c r="GG21" s="43">
        <f t="shared" si="499"/>
        <v>0</v>
      </c>
      <c r="GH21" s="43">
        <f t="shared" si="499"/>
        <v>0</v>
      </c>
      <c r="GI21" s="43">
        <f t="shared" si="499"/>
        <v>0</v>
      </c>
      <c r="GJ21" s="43">
        <f t="shared" si="499"/>
        <v>0</v>
      </c>
      <c r="GK21" s="43">
        <f t="shared" si="499"/>
        <v>0</v>
      </c>
      <c r="GL21" s="43">
        <f t="shared" si="499"/>
        <v>0</v>
      </c>
      <c r="GM21" s="43">
        <f t="shared" si="499"/>
        <v>0</v>
      </c>
      <c r="GN21" s="43">
        <f t="shared" si="499"/>
        <v>0</v>
      </c>
      <c r="GO21" s="43">
        <f t="shared" si="499"/>
        <v>0</v>
      </c>
      <c r="GP21" s="43">
        <f t="shared" si="499"/>
        <v>0</v>
      </c>
      <c r="GQ21" s="43">
        <f t="shared" si="499"/>
        <v>0</v>
      </c>
      <c r="GR21" s="43">
        <f t="shared" si="499"/>
        <v>0</v>
      </c>
      <c r="GS21" s="43">
        <f t="shared" si="499"/>
        <v>0</v>
      </c>
      <c r="GT21" s="43">
        <f t="shared" si="499"/>
        <v>0</v>
      </c>
      <c r="GU21" s="43">
        <f t="shared" si="499"/>
        <v>0</v>
      </c>
      <c r="GV21" s="43">
        <f t="shared" si="499"/>
        <v>0</v>
      </c>
      <c r="GW21" s="43">
        <f t="shared" si="499"/>
        <v>0</v>
      </c>
      <c r="GX21" s="43">
        <f t="shared" si="499"/>
        <v>0</v>
      </c>
      <c r="GY21" s="43">
        <f t="shared" si="499"/>
        <v>0</v>
      </c>
      <c r="GZ21" s="43">
        <f t="shared" si="499"/>
        <v>0</v>
      </c>
      <c r="HA21" s="43">
        <f t="shared" si="499"/>
        <v>0</v>
      </c>
      <c r="HB21" s="43">
        <f t="shared" si="499"/>
        <v>0</v>
      </c>
      <c r="HC21" s="43">
        <f t="shared" si="499"/>
        <v>0</v>
      </c>
      <c r="HD21" s="43">
        <f t="shared" si="499"/>
        <v>0</v>
      </c>
      <c r="HE21" s="43">
        <f t="shared" si="499"/>
        <v>0</v>
      </c>
      <c r="HF21" s="43">
        <f t="shared" si="499"/>
        <v>0</v>
      </c>
      <c r="HG21" s="43">
        <f t="shared" si="499"/>
        <v>0</v>
      </c>
      <c r="HH21" s="43">
        <f t="shared" si="499"/>
        <v>0</v>
      </c>
      <c r="HI21" s="43">
        <f t="shared" ref="HI21:JT21" si="500">SUM(HI38:HI42)</f>
        <v>0</v>
      </c>
      <c r="HJ21" s="43">
        <f t="shared" si="500"/>
        <v>0</v>
      </c>
      <c r="HK21" s="43">
        <f t="shared" si="500"/>
        <v>0</v>
      </c>
      <c r="HL21" s="43">
        <f t="shared" si="500"/>
        <v>0</v>
      </c>
      <c r="HM21" s="43">
        <f t="shared" si="500"/>
        <v>0</v>
      </c>
      <c r="HN21" s="43">
        <f t="shared" si="500"/>
        <v>0</v>
      </c>
      <c r="HO21" s="43">
        <f t="shared" si="500"/>
        <v>0</v>
      </c>
      <c r="HP21" s="43">
        <f t="shared" si="500"/>
        <v>0</v>
      </c>
      <c r="HQ21" s="43">
        <f t="shared" si="500"/>
        <v>0</v>
      </c>
      <c r="HR21" s="43">
        <f t="shared" si="500"/>
        <v>0</v>
      </c>
      <c r="HS21" s="43">
        <f t="shared" si="500"/>
        <v>0</v>
      </c>
      <c r="HT21" s="43">
        <f t="shared" si="500"/>
        <v>0</v>
      </c>
      <c r="HU21" s="43">
        <f t="shared" si="500"/>
        <v>0</v>
      </c>
      <c r="HV21" s="43">
        <f t="shared" si="500"/>
        <v>0</v>
      </c>
      <c r="HW21" s="43">
        <f t="shared" si="500"/>
        <v>0</v>
      </c>
      <c r="HX21" s="43">
        <f t="shared" si="500"/>
        <v>0</v>
      </c>
      <c r="HY21" s="43">
        <f t="shared" si="500"/>
        <v>0</v>
      </c>
      <c r="HZ21" s="43">
        <f t="shared" si="500"/>
        <v>0</v>
      </c>
      <c r="IA21" s="43">
        <f t="shared" si="500"/>
        <v>0</v>
      </c>
      <c r="IB21" s="43">
        <f t="shared" si="500"/>
        <v>0</v>
      </c>
      <c r="IC21" s="43">
        <f t="shared" si="500"/>
        <v>0</v>
      </c>
      <c r="ID21" s="43">
        <f t="shared" si="500"/>
        <v>0</v>
      </c>
      <c r="IE21" s="43">
        <f t="shared" si="500"/>
        <v>0</v>
      </c>
      <c r="IF21" s="43">
        <f t="shared" si="500"/>
        <v>0</v>
      </c>
      <c r="IG21" s="43">
        <f t="shared" si="500"/>
        <v>0</v>
      </c>
      <c r="IH21" s="43">
        <f t="shared" si="500"/>
        <v>0</v>
      </c>
      <c r="II21" s="43">
        <f t="shared" si="500"/>
        <v>0</v>
      </c>
      <c r="IJ21" s="43">
        <f t="shared" si="500"/>
        <v>0</v>
      </c>
      <c r="IK21" s="43">
        <f t="shared" si="500"/>
        <v>0</v>
      </c>
      <c r="IL21" s="43">
        <f t="shared" si="500"/>
        <v>0</v>
      </c>
      <c r="IM21" s="43">
        <f t="shared" si="500"/>
        <v>0</v>
      </c>
      <c r="IN21" s="43">
        <f t="shared" si="500"/>
        <v>0</v>
      </c>
      <c r="IO21" s="43">
        <f t="shared" si="500"/>
        <v>0</v>
      </c>
      <c r="IP21" s="43">
        <f t="shared" si="500"/>
        <v>0</v>
      </c>
      <c r="IQ21" s="43">
        <f t="shared" si="500"/>
        <v>0</v>
      </c>
      <c r="IR21" s="43">
        <f t="shared" si="500"/>
        <v>0</v>
      </c>
      <c r="IS21" s="43">
        <f t="shared" si="500"/>
        <v>0</v>
      </c>
      <c r="IT21" s="43">
        <f t="shared" si="500"/>
        <v>0</v>
      </c>
      <c r="IU21" s="43">
        <f t="shared" si="500"/>
        <v>0</v>
      </c>
      <c r="IV21" s="43">
        <f t="shared" si="500"/>
        <v>0</v>
      </c>
      <c r="IW21" s="43">
        <f t="shared" si="500"/>
        <v>0</v>
      </c>
      <c r="IX21" s="43">
        <f t="shared" si="500"/>
        <v>0</v>
      </c>
      <c r="IY21" s="43">
        <f t="shared" si="500"/>
        <v>0</v>
      </c>
      <c r="IZ21" s="43">
        <f t="shared" si="500"/>
        <v>0</v>
      </c>
      <c r="JA21" s="43">
        <f t="shared" si="500"/>
        <v>0</v>
      </c>
      <c r="JB21" s="43">
        <f t="shared" si="500"/>
        <v>0</v>
      </c>
      <c r="JC21" s="43">
        <f t="shared" si="500"/>
        <v>0</v>
      </c>
      <c r="JD21" s="43">
        <f t="shared" si="500"/>
        <v>0</v>
      </c>
      <c r="JE21" s="43">
        <f t="shared" si="500"/>
        <v>0</v>
      </c>
      <c r="JF21" s="43">
        <f t="shared" si="500"/>
        <v>0</v>
      </c>
      <c r="JG21" s="43">
        <f t="shared" si="500"/>
        <v>0</v>
      </c>
      <c r="JH21" s="43">
        <f t="shared" si="500"/>
        <v>0</v>
      </c>
      <c r="JI21" s="43">
        <f t="shared" si="500"/>
        <v>0</v>
      </c>
      <c r="JJ21" s="43">
        <f t="shared" si="500"/>
        <v>0</v>
      </c>
      <c r="JK21" s="43">
        <f t="shared" si="500"/>
        <v>0</v>
      </c>
      <c r="JL21" s="43">
        <f t="shared" si="500"/>
        <v>0</v>
      </c>
      <c r="JM21" s="43">
        <f t="shared" si="500"/>
        <v>0</v>
      </c>
      <c r="JN21" s="43">
        <f t="shared" si="500"/>
        <v>0</v>
      </c>
      <c r="JO21" s="43">
        <f t="shared" si="500"/>
        <v>0</v>
      </c>
      <c r="JP21" s="43">
        <f t="shared" si="500"/>
        <v>0</v>
      </c>
      <c r="JQ21" s="43">
        <f t="shared" si="500"/>
        <v>0</v>
      </c>
      <c r="JR21" s="43">
        <f t="shared" si="500"/>
        <v>0</v>
      </c>
      <c r="JS21" s="43">
        <f t="shared" si="500"/>
        <v>0</v>
      </c>
      <c r="JT21" s="43">
        <f t="shared" si="500"/>
        <v>0</v>
      </c>
      <c r="JU21" s="43">
        <f t="shared" ref="JU21:LX21" si="501">SUM(JU38:JU42)</f>
        <v>0</v>
      </c>
      <c r="JV21" s="43">
        <f t="shared" si="501"/>
        <v>0</v>
      </c>
      <c r="JW21" s="43">
        <f t="shared" si="501"/>
        <v>0</v>
      </c>
      <c r="JX21" s="43">
        <f t="shared" si="501"/>
        <v>0</v>
      </c>
      <c r="JY21" s="43">
        <f t="shared" si="501"/>
        <v>0</v>
      </c>
      <c r="JZ21" s="43">
        <f t="shared" si="501"/>
        <v>0</v>
      </c>
      <c r="KA21" s="43">
        <f t="shared" si="501"/>
        <v>0</v>
      </c>
      <c r="KB21" s="43">
        <f t="shared" si="501"/>
        <v>0</v>
      </c>
      <c r="KC21" s="43">
        <f t="shared" si="501"/>
        <v>0</v>
      </c>
      <c r="KD21" s="43">
        <f t="shared" si="501"/>
        <v>0</v>
      </c>
      <c r="KE21" s="43">
        <f t="shared" si="501"/>
        <v>0</v>
      </c>
      <c r="KF21" s="43">
        <f t="shared" si="501"/>
        <v>0</v>
      </c>
      <c r="KG21" s="43">
        <f t="shared" si="501"/>
        <v>0</v>
      </c>
      <c r="KH21" s="43">
        <f t="shared" si="501"/>
        <v>0</v>
      </c>
      <c r="KI21" s="43">
        <f t="shared" si="501"/>
        <v>0</v>
      </c>
      <c r="KJ21" s="43">
        <f t="shared" si="501"/>
        <v>0</v>
      </c>
      <c r="KK21" s="43">
        <f t="shared" si="501"/>
        <v>0</v>
      </c>
      <c r="KL21" s="43">
        <f t="shared" si="501"/>
        <v>0</v>
      </c>
      <c r="KM21" s="43">
        <f t="shared" si="501"/>
        <v>0</v>
      </c>
      <c r="KN21" s="43">
        <f t="shared" si="501"/>
        <v>0</v>
      </c>
      <c r="KO21" s="43">
        <f t="shared" si="501"/>
        <v>0</v>
      </c>
      <c r="KP21" s="43">
        <f t="shared" si="501"/>
        <v>0</v>
      </c>
      <c r="KQ21" s="43">
        <f t="shared" si="501"/>
        <v>0</v>
      </c>
      <c r="KR21" s="43">
        <f t="shared" si="501"/>
        <v>0</v>
      </c>
      <c r="KS21" s="43">
        <f t="shared" si="501"/>
        <v>0</v>
      </c>
      <c r="KT21" s="43">
        <f t="shared" si="501"/>
        <v>0</v>
      </c>
      <c r="KU21" s="43">
        <f t="shared" si="501"/>
        <v>0</v>
      </c>
      <c r="KV21" s="43">
        <f t="shared" si="501"/>
        <v>0</v>
      </c>
      <c r="KW21" s="43">
        <f t="shared" si="501"/>
        <v>0</v>
      </c>
      <c r="KX21" s="43">
        <f t="shared" si="501"/>
        <v>0</v>
      </c>
      <c r="KY21" s="43">
        <f t="shared" si="501"/>
        <v>0</v>
      </c>
      <c r="KZ21" s="43">
        <f t="shared" si="501"/>
        <v>0</v>
      </c>
      <c r="LA21" s="43">
        <f t="shared" si="501"/>
        <v>0</v>
      </c>
      <c r="LB21" s="43">
        <f t="shared" si="501"/>
        <v>0</v>
      </c>
      <c r="LC21" s="43">
        <f t="shared" si="501"/>
        <v>0</v>
      </c>
      <c r="LD21" s="43">
        <f t="shared" si="501"/>
        <v>0</v>
      </c>
      <c r="LE21" s="43">
        <f t="shared" si="501"/>
        <v>0</v>
      </c>
      <c r="LF21" s="43">
        <f t="shared" si="501"/>
        <v>0</v>
      </c>
      <c r="LG21" s="43">
        <f t="shared" si="501"/>
        <v>0</v>
      </c>
      <c r="LH21" s="43">
        <f t="shared" si="501"/>
        <v>0</v>
      </c>
      <c r="LI21" s="43">
        <f t="shared" si="501"/>
        <v>0</v>
      </c>
      <c r="LJ21" s="43">
        <f t="shared" si="501"/>
        <v>0</v>
      </c>
      <c r="LK21" s="43">
        <f t="shared" si="501"/>
        <v>0</v>
      </c>
      <c r="LL21" s="43">
        <f t="shared" si="501"/>
        <v>0</v>
      </c>
      <c r="LM21" s="43">
        <f t="shared" si="501"/>
        <v>0</v>
      </c>
      <c r="LN21" s="43">
        <f t="shared" si="501"/>
        <v>0</v>
      </c>
      <c r="LO21" s="43">
        <f t="shared" si="501"/>
        <v>0</v>
      </c>
      <c r="LP21" s="43">
        <f t="shared" si="501"/>
        <v>0</v>
      </c>
      <c r="LQ21" s="43">
        <f t="shared" si="501"/>
        <v>0</v>
      </c>
      <c r="LR21" s="43">
        <f t="shared" si="501"/>
        <v>0</v>
      </c>
      <c r="LS21" s="43">
        <f t="shared" si="501"/>
        <v>0</v>
      </c>
      <c r="LT21" s="43">
        <f t="shared" si="501"/>
        <v>0</v>
      </c>
      <c r="LU21" s="43">
        <f t="shared" si="501"/>
        <v>0</v>
      </c>
      <c r="LV21" s="43">
        <f t="shared" si="501"/>
        <v>0</v>
      </c>
      <c r="LW21" s="43">
        <f t="shared" si="501"/>
        <v>0</v>
      </c>
      <c r="LX21" s="43">
        <f t="shared" si="501"/>
        <v>0</v>
      </c>
      <c r="LY21" s="43">
        <f t="shared" si="498"/>
        <v>0</v>
      </c>
      <c r="MA21" s="2">
        <f>SUM(E21:LY21)</f>
        <v>0</v>
      </c>
    </row>
    <row r="22" spans="2:339">
      <c r="B22" s="147"/>
      <c r="C22" s="51" t="s">
        <v>29</v>
      </c>
      <c r="E22" s="1" t="str">
        <f>IFERROR(((E21/E11)*1000000*E4),"-")</f>
        <v>-</v>
      </c>
      <c r="F22" s="1" t="str">
        <f t="shared" ref="F22:Q22" si="502">IFERROR(((F21/F11)*1000000*F4),"-")</f>
        <v>-</v>
      </c>
      <c r="G22" s="1" t="str">
        <f t="shared" si="502"/>
        <v>-</v>
      </c>
      <c r="H22" s="1" t="str">
        <f t="shared" si="502"/>
        <v>-</v>
      </c>
      <c r="I22" s="1" t="str">
        <f t="shared" si="502"/>
        <v>-</v>
      </c>
      <c r="J22" s="1" t="str">
        <f t="shared" si="502"/>
        <v>-</v>
      </c>
      <c r="K22" s="1" t="str">
        <f t="shared" si="502"/>
        <v>-</v>
      </c>
      <c r="L22" s="1" t="str">
        <f t="shared" si="502"/>
        <v>-</v>
      </c>
      <c r="M22" s="1" t="str">
        <f t="shared" si="502"/>
        <v>-</v>
      </c>
      <c r="N22" s="1" t="str">
        <f t="shared" si="502"/>
        <v>-</v>
      </c>
      <c r="O22" s="1" t="str">
        <f t="shared" si="502"/>
        <v>-</v>
      </c>
      <c r="P22" s="1" t="str">
        <f t="shared" si="502"/>
        <v>-</v>
      </c>
      <c r="Q22" s="1" t="str">
        <f t="shared" si="502"/>
        <v>-</v>
      </c>
      <c r="R22" s="1" t="str">
        <f t="shared" ref="R22" si="503">IFERROR(((R21/R11)*1000000*R4),"-")</f>
        <v>-</v>
      </c>
      <c r="S22" s="1" t="str">
        <f t="shared" ref="S22" si="504">IFERROR(((S21/S11)*1000000*S4),"-")</f>
        <v>-</v>
      </c>
      <c r="T22" s="1" t="str">
        <f t="shared" ref="T22" si="505">IFERROR(((T21/T11)*1000000*T4),"-")</f>
        <v>-</v>
      </c>
      <c r="U22" s="1" t="str">
        <f t="shared" ref="U22" si="506">IFERROR(((U21/U11)*1000000*U4),"-")</f>
        <v>-</v>
      </c>
      <c r="V22" s="1" t="str">
        <f t="shared" ref="V22" si="507">IFERROR(((V21/V11)*1000000*V4),"-")</f>
        <v>-</v>
      </c>
      <c r="W22" s="1" t="str">
        <f t="shared" ref="W22" si="508">IFERROR(((W21/W11)*1000000*W4),"-")</f>
        <v>-</v>
      </c>
      <c r="X22" s="1" t="str">
        <f t="shared" ref="X22" si="509">IFERROR(((X21/X11)*1000000*X4),"-")</f>
        <v>-</v>
      </c>
      <c r="Y22" s="1" t="str">
        <f t="shared" ref="Y22" si="510">IFERROR(((Y21/Y11)*1000000*Y4),"-")</f>
        <v>-</v>
      </c>
      <c r="Z22" s="1" t="str">
        <f t="shared" ref="Z22" si="511">IFERROR(((Z21/Z11)*1000000*Z4),"-")</f>
        <v>-</v>
      </c>
      <c r="AA22" s="1" t="str">
        <f t="shared" ref="AA22" si="512">IFERROR(((AA21/AA11)*1000000*AA4),"-")</f>
        <v>-</v>
      </c>
      <c r="AB22" s="1" t="str">
        <f t="shared" ref="AB22" si="513">IFERROR(((AB21/AB11)*1000000*AB4),"-")</f>
        <v>-</v>
      </c>
      <c r="AC22" s="1" t="str">
        <f t="shared" ref="AC22" si="514">IFERROR(((AC21/AC11)*1000000*AC4),"-")</f>
        <v>-</v>
      </c>
      <c r="AD22" s="1" t="str">
        <f t="shared" ref="AD22" si="515">IFERROR(((AD21/AD11)*1000000*AD4),"-")</f>
        <v>-</v>
      </c>
      <c r="AE22" s="1" t="str">
        <f t="shared" ref="AE22" si="516">IFERROR(((AE21/AE11)*1000000*AE4),"-")</f>
        <v>-</v>
      </c>
      <c r="AF22" s="1" t="str">
        <f t="shared" ref="AF22" si="517">IFERROR(((AF21/AF11)*1000000*AF4),"-")</f>
        <v>-</v>
      </c>
      <c r="AG22" s="1" t="str">
        <f t="shared" ref="AG22" si="518">IFERROR(((AG21/AG11)*1000000*AG4),"-")</f>
        <v>-</v>
      </c>
      <c r="AH22" s="1" t="str">
        <f t="shared" ref="AH22" si="519">IFERROR(((AH21/AH11)*1000000*AH4),"-")</f>
        <v>-</v>
      </c>
      <c r="AI22" s="1" t="str">
        <f t="shared" ref="AI22" si="520">IFERROR(((AI21/AI11)*1000000*AI4),"-")</f>
        <v>-</v>
      </c>
      <c r="AJ22" s="1" t="str">
        <f t="shared" ref="AJ22" si="521">IFERROR(((AJ21/AJ11)*1000000*AJ4),"-")</f>
        <v>-</v>
      </c>
      <c r="AK22" s="1" t="str">
        <f t="shared" ref="AK22" si="522">IFERROR(((AK21/AK11)*1000000*AK4),"-")</f>
        <v>-</v>
      </c>
      <c r="AL22" s="1" t="str">
        <f t="shared" ref="AL22" si="523">IFERROR(((AL21/AL11)*1000000*AL4),"-")</f>
        <v>-</v>
      </c>
      <c r="AM22" s="1" t="str">
        <f t="shared" ref="AM22" si="524">IFERROR(((AM21/AM11)*1000000*AM4),"-")</f>
        <v>-</v>
      </c>
      <c r="AN22" s="1" t="str">
        <f t="shared" ref="AN22" si="525">IFERROR(((AN21/AN11)*1000000*AN4),"-")</f>
        <v>-</v>
      </c>
      <c r="AO22" s="1" t="str">
        <f t="shared" ref="AO22" si="526">IFERROR(((AO21/AO11)*1000000*AO4),"-")</f>
        <v>-</v>
      </c>
      <c r="AP22" s="1" t="str">
        <f t="shared" ref="AP22" si="527">IFERROR(((AP21/AP11)*1000000*AP4),"-")</f>
        <v>-</v>
      </c>
      <c r="AQ22" s="1" t="str">
        <f t="shared" ref="AQ22" si="528">IFERROR(((AQ21/AQ11)*1000000*AQ4),"-")</f>
        <v>-</v>
      </c>
      <c r="AR22" s="1" t="str">
        <f t="shared" ref="AR22" si="529">IFERROR(((AR21/AR11)*1000000*AR4),"-")</f>
        <v>-</v>
      </c>
      <c r="AS22" s="1" t="str">
        <f t="shared" ref="AS22" si="530">IFERROR(((AS21/AS11)*1000000*AS4),"-")</f>
        <v>-</v>
      </c>
      <c r="AT22" s="1" t="str">
        <f t="shared" ref="AT22" si="531">IFERROR(((AT21/AT11)*1000000*AT4),"-")</f>
        <v>-</v>
      </c>
      <c r="AU22" s="1" t="str">
        <f t="shared" ref="AU22" si="532">IFERROR(((AU21/AU11)*1000000*AU4),"-")</f>
        <v>-</v>
      </c>
      <c r="AV22" s="1" t="str">
        <f t="shared" ref="AV22" si="533">IFERROR(((AV21/AV11)*1000000*AV4),"-")</f>
        <v>-</v>
      </c>
      <c r="AW22" s="1" t="str">
        <f t="shared" ref="AW22" si="534">IFERROR(((AW21/AW11)*1000000*AW4),"-")</f>
        <v>-</v>
      </c>
      <c r="AX22" s="1" t="str">
        <f t="shared" ref="AX22" si="535">IFERROR(((AX21/AX11)*1000000*AX4),"-")</f>
        <v>-</v>
      </c>
      <c r="AY22" s="1" t="str">
        <f t="shared" ref="AY22" si="536">IFERROR(((AY21/AY11)*1000000*AY4),"-")</f>
        <v>-</v>
      </c>
      <c r="AZ22" s="1" t="str">
        <f t="shared" ref="AZ22" si="537">IFERROR(((AZ21/AZ11)*1000000*AZ4),"-")</f>
        <v>-</v>
      </c>
      <c r="BA22" s="1" t="str">
        <f t="shared" ref="BA22" si="538">IFERROR(((BA21/BA11)*1000000*BA4),"-")</f>
        <v>-</v>
      </c>
      <c r="BB22" s="1" t="str">
        <f t="shared" ref="BB22" si="539">IFERROR(((BB21/BB11)*1000000*BB4),"-")</f>
        <v>-</v>
      </c>
      <c r="BC22" s="1" t="str">
        <f t="shared" ref="BC22" si="540">IFERROR(((BC21/BC11)*1000000*BC4),"-")</f>
        <v>-</v>
      </c>
      <c r="BD22" s="1" t="str">
        <f t="shared" ref="BD22" si="541">IFERROR(((BD21/BD11)*1000000*BD4),"-")</f>
        <v>-</v>
      </c>
      <c r="BE22" s="1" t="str">
        <f t="shared" ref="BE22" si="542">IFERROR(((BE21/BE11)*1000000*BE4),"-")</f>
        <v>-</v>
      </c>
      <c r="BF22" s="1" t="str">
        <f t="shared" ref="BF22" si="543">IFERROR(((BF21/BF11)*1000000*BF4),"-")</f>
        <v>-</v>
      </c>
      <c r="BG22" s="1" t="str">
        <f t="shared" ref="BG22" si="544">IFERROR(((BG21/BG11)*1000000*BG4),"-")</f>
        <v>-</v>
      </c>
      <c r="BH22" s="1" t="str">
        <f t="shared" ref="BH22" si="545">IFERROR(((BH21/BH11)*1000000*BH4),"-")</f>
        <v>-</v>
      </c>
      <c r="BI22" s="1" t="str">
        <f t="shared" ref="BI22" si="546">IFERROR(((BI21/BI11)*1000000*BI4),"-")</f>
        <v>-</v>
      </c>
      <c r="BJ22" s="1" t="str">
        <f t="shared" ref="BJ22" si="547">IFERROR(((BJ21/BJ11)*1000000*BJ4),"-")</f>
        <v>-</v>
      </c>
      <c r="BK22" s="1" t="str">
        <f t="shared" ref="BK22" si="548">IFERROR(((BK21/BK11)*1000000*BK4),"-")</f>
        <v>-</v>
      </c>
      <c r="BL22" s="1" t="str">
        <f t="shared" ref="BL22" si="549">IFERROR(((BL21/BL11)*1000000*BL4),"-")</f>
        <v>-</v>
      </c>
      <c r="BM22" s="1" t="str">
        <f t="shared" ref="BM22" si="550">IFERROR(((BM21/BM11)*1000000*BM4),"-")</f>
        <v>-</v>
      </c>
      <c r="BN22" s="1" t="str">
        <f t="shared" ref="BN22" si="551">IFERROR(((BN21/BN11)*1000000*BN4),"-")</f>
        <v>-</v>
      </c>
      <c r="BO22" s="1" t="str">
        <f t="shared" ref="BO22" si="552">IFERROR(((BO21/BO11)*1000000*BO4),"-")</f>
        <v>-</v>
      </c>
      <c r="BP22" s="1" t="str">
        <f t="shared" ref="BP22" si="553">IFERROR(((BP21/BP11)*1000000*BP4),"-")</f>
        <v>-</v>
      </c>
      <c r="BQ22" s="1" t="str">
        <f t="shared" ref="BQ22" si="554">IFERROR(((BQ21/BQ11)*1000000*BQ4),"-")</f>
        <v>-</v>
      </c>
      <c r="BR22" s="1" t="str">
        <f t="shared" ref="BR22" si="555">IFERROR(((BR21/BR11)*1000000*BR4),"-")</f>
        <v>-</v>
      </c>
      <c r="BS22" s="1" t="str">
        <f t="shared" ref="BS22" si="556">IFERROR(((BS21/BS11)*1000000*BS4),"-")</f>
        <v>-</v>
      </c>
      <c r="BT22" s="1" t="str">
        <f t="shared" ref="BT22" si="557">IFERROR(((BT21/BT11)*1000000*BT4),"-")</f>
        <v>-</v>
      </c>
      <c r="BU22" s="1" t="str">
        <f t="shared" ref="BU22" si="558">IFERROR(((BU21/BU11)*1000000*BU4),"-")</f>
        <v>-</v>
      </c>
      <c r="BV22" s="1" t="str">
        <f t="shared" ref="BV22" si="559">IFERROR(((BV21/BV11)*1000000*BV4),"-")</f>
        <v>-</v>
      </c>
      <c r="BW22" s="1" t="str">
        <f t="shared" ref="BW22" si="560">IFERROR(((BW21/BW11)*1000000*BW4),"-")</f>
        <v>-</v>
      </c>
      <c r="BX22" s="1" t="str">
        <f t="shared" ref="BX22" si="561">IFERROR(((BX21/BX11)*1000000*BX4),"-")</f>
        <v>-</v>
      </c>
      <c r="BY22" s="1" t="str">
        <f t="shared" ref="BY22" si="562">IFERROR(((BY21/BY11)*1000000*BY4),"-")</f>
        <v>-</v>
      </c>
      <c r="BZ22" s="1" t="str">
        <f t="shared" ref="BZ22" si="563">IFERROR(((BZ21/BZ11)*1000000*BZ4),"-")</f>
        <v>-</v>
      </c>
      <c r="CA22" s="1" t="str">
        <f t="shared" ref="CA22" si="564">IFERROR(((CA21/CA11)*1000000*CA4),"-")</f>
        <v>-</v>
      </c>
      <c r="CB22" s="1" t="str">
        <f t="shared" ref="CB22" si="565">IFERROR(((CB21/CB11)*1000000*CB4),"-")</f>
        <v>-</v>
      </c>
      <c r="CC22" s="1" t="str">
        <f t="shared" ref="CC22" si="566">IFERROR(((CC21/CC11)*1000000*CC4),"-")</f>
        <v>-</v>
      </c>
      <c r="CD22" s="1" t="str">
        <f t="shared" ref="CD22" si="567">IFERROR(((CD21/CD11)*1000000*CD4),"-")</f>
        <v>-</v>
      </c>
      <c r="CE22" s="1" t="str">
        <f t="shared" ref="CE22" si="568">IFERROR(((CE21/CE11)*1000000*CE4),"-")</f>
        <v>-</v>
      </c>
      <c r="CF22" s="1" t="str">
        <f t="shared" ref="CF22" si="569">IFERROR(((CF21/CF11)*1000000*CF4),"-")</f>
        <v>-</v>
      </c>
      <c r="CG22" s="1" t="str">
        <f t="shared" ref="CG22" si="570">IFERROR(((CG21/CG11)*1000000*CG4),"-")</f>
        <v>-</v>
      </c>
      <c r="CH22" s="1" t="str">
        <f t="shared" ref="CH22" si="571">IFERROR(((CH21/CH11)*1000000*CH4),"-")</f>
        <v>-</v>
      </c>
      <c r="CI22" s="1" t="str">
        <f t="shared" ref="CI22" si="572">IFERROR(((CI21/CI11)*1000000*CI4),"-")</f>
        <v>-</v>
      </c>
      <c r="CJ22" s="1" t="str">
        <f t="shared" ref="CJ22" si="573">IFERROR(((CJ21/CJ11)*1000000*CJ4),"-")</f>
        <v>-</v>
      </c>
      <c r="CK22" s="1" t="str">
        <f t="shared" ref="CK22" si="574">IFERROR(((CK21/CK11)*1000000*CK4),"-")</f>
        <v>-</v>
      </c>
      <c r="CL22" s="1" t="str">
        <f t="shared" ref="CL22" si="575">IFERROR(((CL21/CL11)*1000000*CL4),"-")</f>
        <v>-</v>
      </c>
      <c r="CM22" s="1" t="str">
        <f t="shared" ref="CM22" si="576">IFERROR(((CM21/CM11)*1000000*CM4),"-")</f>
        <v>-</v>
      </c>
      <c r="CN22" s="1" t="str">
        <f t="shared" ref="CN22" si="577">IFERROR(((CN21/CN11)*1000000*CN4),"-")</f>
        <v>-</v>
      </c>
      <c r="CO22" s="1" t="str">
        <f t="shared" ref="CO22" si="578">IFERROR(((CO21/CO11)*1000000*CO4),"-")</f>
        <v>-</v>
      </c>
      <c r="CP22" s="1" t="str">
        <f t="shared" ref="CP22" si="579">IFERROR(((CP21/CP11)*1000000*CP4),"-")</f>
        <v>-</v>
      </c>
      <c r="CQ22" s="1" t="str">
        <f t="shared" ref="CQ22" si="580">IFERROR(((CQ21/CQ11)*1000000*CQ4),"-")</f>
        <v>-</v>
      </c>
      <c r="CR22" s="1" t="str">
        <f t="shared" ref="CR22" si="581">IFERROR(((CR21/CR11)*1000000*CR4),"-")</f>
        <v>-</v>
      </c>
      <c r="CS22" s="1" t="str">
        <f t="shared" ref="CS22" si="582">IFERROR(((CS21/CS11)*1000000*CS4),"-")</f>
        <v>-</v>
      </c>
      <c r="CT22" s="1" t="str">
        <f t="shared" ref="CT22" si="583">IFERROR(((CT21/CT11)*1000000*CT4),"-")</f>
        <v>-</v>
      </c>
      <c r="CU22" s="1" t="str">
        <f t="shared" ref="CU22" si="584">IFERROR(((CU21/CU11)*1000000*CU4),"-")</f>
        <v>-</v>
      </c>
      <c r="CV22" s="1" t="str">
        <f t="shared" ref="CV22" si="585">IFERROR(((CV21/CV11)*1000000*CV4),"-")</f>
        <v>-</v>
      </c>
      <c r="CW22" s="1" t="str">
        <f t="shared" ref="CW22" si="586">IFERROR(((CW21/CW11)*1000000*CW4),"-")</f>
        <v>-</v>
      </c>
      <c r="CX22" s="1" t="str">
        <f t="shared" ref="CX22" si="587">IFERROR(((CX21/CX11)*1000000*CX4),"-")</f>
        <v>-</v>
      </c>
      <c r="CY22" s="1" t="str">
        <f t="shared" ref="CY22" si="588">IFERROR(((CY21/CY11)*1000000*CY4),"-")</f>
        <v>-</v>
      </c>
      <c r="CZ22" s="1" t="str">
        <f t="shared" ref="CZ22" si="589">IFERROR(((CZ21/CZ11)*1000000*CZ4),"-")</f>
        <v>-</v>
      </c>
      <c r="DA22" s="1" t="str">
        <f t="shared" ref="DA22" si="590">IFERROR(((DA21/DA11)*1000000*DA4),"-")</f>
        <v>-</v>
      </c>
      <c r="DB22" s="1" t="str">
        <f t="shared" ref="DB22" si="591">IFERROR(((DB21/DB11)*1000000*DB4),"-")</f>
        <v>-</v>
      </c>
      <c r="DC22" s="1" t="str">
        <f t="shared" ref="DC22" si="592">IFERROR(((DC21/DC11)*1000000*DC4),"-")</f>
        <v>-</v>
      </c>
      <c r="DD22" s="1" t="str">
        <f t="shared" ref="DD22" si="593">IFERROR(((DD21/DD11)*1000000*DD4),"-")</f>
        <v>-</v>
      </c>
      <c r="DE22" s="1" t="str">
        <f t="shared" ref="DE22" si="594">IFERROR(((DE21/DE11)*1000000*DE4),"-")</f>
        <v>-</v>
      </c>
      <c r="DF22" s="1" t="str">
        <f t="shared" ref="DF22" si="595">IFERROR(((DF21/DF11)*1000000*DF4),"-")</f>
        <v>-</v>
      </c>
      <c r="DG22" s="1" t="str">
        <f t="shared" ref="DG22" si="596">IFERROR(((DG21/DG11)*1000000*DG4),"-")</f>
        <v>-</v>
      </c>
      <c r="DH22" s="1" t="str">
        <f t="shared" ref="DH22" si="597">IFERROR(((DH21/DH11)*1000000*DH4),"-")</f>
        <v>-</v>
      </c>
      <c r="DI22" s="1" t="str">
        <f t="shared" ref="DI22" si="598">IFERROR(((DI21/DI11)*1000000*DI4),"-")</f>
        <v>-</v>
      </c>
      <c r="DJ22" s="1" t="str">
        <f t="shared" ref="DJ22" si="599">IFERROR(((DJ21/DJ11)*1000000*DJ4),"-")</f>
        <v>-</v>
      </c>
      <c r="DK22" s="1" t="str">
        <f t="shared" ref="DK22" si="600">IFERROR(((DK21/DK11)*1000000*DK4),"-")</f>
        <v>-</v>
      </c>
      <c r="DL22" s="1" t="str">
        <f t="shared" ref="DL22" si="601">IFERROR(((DL21/DL11)*1000000*DL4),"-")</f>
        <v>-</v>
      </c>
      <c r="DM22" s="1" t="str">
        <f t="shared" ref="DM22" si="602">IFERROR(((DM21/DM11)*1000000*DM4),"-")</f>
        <v>-</v>
      </c>
      <c r="DN22" s="1" t="str">
        <f t="shared" ref="DN22" si="603">IFERROR(((DN21/DN11)*1000000*DN4),"-")</f>
        <v>-</v>
      </c>
      <c r="DO22" s="1" t="str">
        <f t="shared" ref="DO22" si="604">IFERROR(((DO21/DO11)*1000000*DO4),"-")</f>
        <v>-</v>
      </c>
      <c r="DP22" s="1" t="str">
        <f t="shared" ref="DP22" si="605">IFERROR(((DP21/DP11)*1000000*DP4),"-")</f>
        <v>-</v>
      </c>
      <c r="DQ22" s="1" t="str">
        <f t="shared" ref="DQ22" si="606">IFERROR(((DQ21/DQ11)*1000000*DQ4),"-")</f>
        <v>-</v>
      </c>
      <c r="DR22" s="1" t="str">
        <f t="shared" ref="DR22" si="607">IFERROR(((DR21/DR11)*1000000*DR4),"-")</f>
        <v>-</v>
      </c>
      <c r="DS22" s="1" t="str">
        <f t="shared" ref="DS22" si="608">IFERROR(((DS21/DS11)*1000000*DS4),"-")</f>
        <v>-</v>
      </c>
      <c r="DT22" s="1" t="str">
        <f t="shared" ref="DT22" si="609">IFERROR(((DT21/DT11)*1000000*DT4),"-")</f>
        <v>-</v>
      </c>
      <c r="DU22" s="1" t="str">
        <f t="shared" ref="DU22" si="610">IFERROR(((DU21/DU11)*1000000*DU4),"-")</f>
        <v>-</v>
      </c>
      <c r="DV22" s="1" t="str">
        <f t="shared" ref="DV22" si="611">IFERROR(((DV21/DV11)*1000000*DV4),"-")</f>
        <v>-</v>
      </c>
      <c r="DW22" s="1" t="str">
        <f t="shared" ref="DW22" si="612">IFERROR(((DW21/DW11)*1000000*DW4),"-")</f>
        <v>-</v>
      </c>
      <c r="DX22" s="1" t="str">
        <f t="shared" ref="DX22" si="613">IFERROR(((DX21/DX11)*1000000*DX4),"-")</f>
        <v>-</v>
      </c>
      <c r="DY22" s="1" t="str">
        <f t="shared" ref="DY22" si="614">IFERROR(((DY21/DY11)*1000000*DY4),"-")</f>
        <v>-</v>
      </c>
      <c r="DZ22" s="1" t="str">
        <f t="shared" ref="DZ22" si="615">IFERROR(((DZ21/DZ11)*1000000*DZ4),"-")</f>
        <v>-</v>
      </c>
      <c r="EA22" s="1" t="str">
        <f t="shared" ref="EA22" si="616">IFERROR(((EA21/EA11)*1000000*EA4),"-")</f>
        <v>-</v>
      </c>
      <c r="EB22" s="1" t="str">
        <f t="shared" ref="EB22" si="617">IFERROR(((EB21/EB11)*1000000*EB4),"-")</f>
        <v>-</v>
      </c>
      <c r="EC22" s="1" t="str">
        <f t="shared" ref="EC22" si="618">IFERROR(((EC21/EC11)*1000000*EC4),"-")</f>
        <v>-</v>
      </c>
      <c r="ED22" s="1" t="str">
        <f t="shared" ref="ED22" si="619">IFERROR(((ED21/ED11)*1000000*ED4),"-")</f>
        <v>-</v>
      </c>
      <c r="EE22" s="1" t="str">
        <f t="shared" ref="EE22" si="620">IFERROR(((EE21/EE11)*1000000*EE4),"-")</f>
        <v>-</v>
      </c>
      <c r="EF22" s="1" t="str">
        <f t="shared" ref="EF22" si="621">IFERROR(((EF21/EF11)*1000000*EF4),"-")</f>
        <v>-</v>
      </c>
      <c r="EG22" s="1" t="str">
        <f t="shared" ref="EG22" si="622">IFERROR(((EG21/EG11)*1000000*EG4),"-")</f>
        <v>-</v>
      </c>
      <c r="EH22" s="1" t="str">
        <f t="shared" ref="EH22" si="623">IFERROR(((EH21/EH11)*1000000*EH4),"-")</f>
        <v>-</v>
      </c>
      <c r="EI22" s="1" t="str">
        <f t="shared" ref="EI22" si="624">IFERROR(((EI21/EI11)*1000000*EI4),"-")</f>
        <v>-</v>
      </c>
      <c r="EJ22" s="1" t="str">
        <f t="shared" ref="EJ22" si="625">IFERROR(((EJ21/EJ11)*1000000*EJ4),"-")</f>
        <v>-</v>
      </c>
      <c r="EK22" s="1" t="str">
        <f t="shared" ref="EK22" si="626">IFERROR(((EK21/EK11)*1000000*EK4),"-")</f>
        <v>-</v>
      </c>
      <c r="EL22" s="1" t="str">
        <f t="shared" ref="EL22" si="627">IFERROR(((EL21/EL11)*1000000*EL4),"-")</f>
        <v>-</v>
      </c>
      <c r="EM22" s="1" t="str">
        <f t="shared" ref="EM22" si="628">IFERROR(((EM21/EM11)*1000000*EM4),"-")</f>
        <v>-</v>
      </c>
      <c r="EN22" s="1" t="str">
        <f t="shared" ref="EN22" si="629">IFERROR(((EN21/EN11)*1000000*EN4),"-")</f>
        <v>-</v>
      </c>
      <c r="EO22" s="1" t="str">
        <f t="shared" ref="EO22" si="630">IFERROR(((EO21/EO11)*1000000*EO4),"-")</f>
        <v>-</v>
      </c>
      <c r="EP22" s="1" t="str">
        <f t="shared" ref="EP22" si="631">IFERROR(((EP21/EP11)*1000000*EP4),"-")</f>
        <v>-</v>
      </c>
      <c r="EQ22" s="1" t="str">
        <f t="shared" ref="EQ22" si="632">IFERROR(((EQ21/EQ11)*1000000*EQ4),"-")</f>
        <v>-</v>
      </c>
      <c r="ER22" s="1" t="str">
        <f t="shared" ref="ER22" si="633">IFERROR(((ER21/ER11)*1000000*ER4),"-")</f>
        <v>-</v>
      </c>
      <c r="ES22" s="1" t="str">
        <f t="shared" ref="ES22" si="634">IFERROR(((ES21/ES11)*1000000*ES4),"-")</f>
        <v>-</v>
      </c>
      <c r="ET22" s="1" t="str">
        <f t="shared" ref="ET22" si="635">IFERROR(((ET21/ET11)*1000000*ET4),"-")</f>
        <v>-</v>
      </c>
      <c r="EU22" s="1" t="str">
        <f t="shared" ref="EU22" si="636">IFERROR(((EU21/EU11)*1000000*EU4),"-")</f>
        <v>-</v>
      </c>
      <c r="EV22" s="1" t="str">
        <f t="shared" ref="EV22:HG22" si="637">IFERROR(((EV21/EV11)*1000000*EV4),"-")</f>
        <v>-</v>
      </c>
      <c r="EW22" s="1" t="str">
        <f t="shared" si="637"/>
        <v>-</v>
      </c>
      <c r="EX22" s="1" t="str">
        <f t="shared" si="637"/>
        <v>-</v>
      </c>
      <c r="EY22" s="1" t="str">
        <f t="shared" si="637"/>
        <v>-</v>
      </c>
      <c r="EZ22" s="1" t="str">
        <f t="shared" si="637"/>
        <v>-</v>
      </c>
      <c r="FA22" s="1" t="str">
        <f t="shared" si="637"/>
        <v>-</v>
      </c>
      <c r="FB22" s="1" t="str">
        <f t="shared" si="637"/>
        <v>-</v>
      </c>
      <c r="FC22" s="1" t="str">
        <f t="shared" si="637"/>
        <v>-</v>
      </c>
      <c r="FD22" s="1" t="str">
        <f t="shared" si="637"/>
        <v>-</v>
      </c>
      <c r="FE22" s="1" t="str">
        <f t="shared" si="637"/>
        <v>-</v>
      </c>
      <c r="FF22" s="1" t="str">
        <f t="shared" si="637"/>
        <v>-</v>
      </c>
      <c r="FG22" s="1" t="str">
        <f t="shared" si="637"/>
        <v>-</v>
      </c>
      <c r="FH22" s="1" t="str">
        <f t="shared" si="637"/>
        <v>-</v>
      </c>
      <c r="FI22" s="1" t="str">
        <f t="shared" si="637"/>
        <v>-</v>
      </c>
      <c r="FJ22" s="1" t="str">
        <f t="shared" si="637"/>
        <v>-</v>
      </c>
      <c r="FK22" s="1" t="str">
        <f t="shared" si="637"/>
        <v>-</v>
      </c>
      <c r="FL22" s="1" t="str">
        <f t="shared" si="637"/>
        <v>-</v>
      </c>
      <c r="FM22" s="1" t="str">
        <f t="shared" si="637"/>
        <v>-</v>
      </c>
      <c r="FN22" s="1" t="str">
        <f t="shared" si="637"/>
        <v>-</v>
      </c>
      <c r="FO22" s="1" t="str">
        <f t="shared" si="637"/>
        <v>-</v>
      </c>
      <c r="FP22" s="1" t="str">
        <f t="shared" si="637"/>
        <v>-</v>
      </c>
      <c r="FQ22" s="1" t="str">
        <f t="shared" si="637"/>
        <v>-</v>
      </c>
      <c r="FR22" s="1" t="str">
        <f t="shared" si="637"/>
        <v>-</v>
      </c>
      <c r="FS22" s="1" t="str">
        <f t="shared" si="637"/>
        <v>-</v>
      </c>
      <c r="FT22" s="1" t="str">
        <f t="shared" si="637"/>
        <v>-</v>
      </c>
      <c r="FU22" s="1" t="str">
        <f t="shared" si="637"/>
        <v>-</v>
      </c>
      <c r="FV22" s="1" t="str">
        <f t="shared" si="637"/>
        <v>-</v>
      </c>
      <c r="FW22" s="1" t="str">
        <f t="shared" si="637"/>
        <v>-</v>
      </c>
      <c r="FX22" s="1" t="str">
        <f t="shared" si="637"/>
        <v>-</v>
      </c>
      <c r="FY22" s="1" t="str">
        <f t="shared" si="637"/>
        <v>-</v>
      </c>
      <c r="FZ22" s="1" t="str">
        <f t="shared" si="637"/>
        <v>-</v>
      </c>
      <c r="GA22" s="1" t="str">
        <f t="shared" si="637"/>
        <v>-</v>
      </c>
      <c r="GB22" s="1" t="str">
        <f t="shared" si="637"/>
        <v>-</v>
      </c>
      <c r="GC22" s="1" t="str">
        <f t="shared" si="637"/>
        <v>-</v>
      </c>
      <c r="GD22" s="1" t="str">
        <f t="shared" si="637"/>
        <v>-</v>
      </c>
      <c r="GE22" s="1" t="str">
        <f t="shared" si="637"/>
        <v>-</v>
      </c>
      <c r="GF22" s="1" t="str">
        <f t="shared" si="637"/>
        <v>-</v>
      </c>
      <c r="GG22" s="1" t="str">
        <f t="shared" si="637"/>
        <v>-</v>
      </c>
      <c r="GH22" s="1" t="str">
        <f t="shared" si="637"/>
        <v>-</v>
      </c>
      <c r="GI22" s="1" t="str">
        <f t="shared" si="637"/>
        <v>-</v>
      </c>
      <c r="GJ22" s="1" t="str">
        <f t="shared" si="637"/>
        <v>-</v>
      </c>
      <c r="GK22" s="1" t="str">
        <f t="shared" si="637"/>
        <v>-</v>
      </c>
      <c r="GL22" s="1" t="str">
        <f t="shared" si="637"/>
        <v>-</v>
      </c>
      <c r="GM22" s="1" t="str">
        <f t="shared" si="637"/>
        <v>-</v>
      </c>
      <c r="GN22" s="1" t="str">
        <f t="shared" si="637"/>
        <v>-</v>
      </c>
      <c r="GO22" s="1" t="str">
        <f t="shared" si="637"/>
        <v>-</v>
      </c>
      <c r="GP22" s="1" t="str">
        <f t="shared" si="637"/>
        <v>-</v>
      </c>
      <c r="GQ22" s="1" t="str">
        <f t="shared" si="637"/>
        <v>-</v>
      </c>
      <c r="GR22" s="1" t="str">
        <f t="shared" si="637"/>
        <v>-</v>
      </c>
      <c r="GS22" s="1" t="str">
        <f t="shared" si="637"/>
        <v>-</v>
      </c>
      <c r="GT22" s="1" t="str">
        <f t="shared" si="637"/>
        <v>-</v>
      </c>
      <c r="GU22" s="1" t="str">
        <f t="shared" si="637"/>
        <v>-</v>
      </c>
      <c r="GV22" s="1" t="str">
        <f t="shared" si="637"/>
        <v>-</v>
      </c>
      <c r="GW22" s="1" t="str">
        <f t="shared" si="637"/>
        <v>-</v>
      </c>
      <c r="GX22" s="1" t="str">
        <f t="shared" si="637"/>
        <v>-</v>
      </c>
      <c r="GY22" s="1" t="str">
        <f t="shared" si="637"/>
        <v>-</v>
      </c>
      <c r="GZ22" s="1" t="str">
        <f t="shared" si="637"/>
        <v>-</v>
      </c>
      <c r="HA22" s="1" t="str">
        <f t="shared" si="637"/>
        <v>-</v>
      </c>
      <c r="HB22" s="1" t="str">
        <f t="shared" si="637"/>
        <v>-</v>
      </c>
      <c r="HC22" s="1" t="str">
        <f t="shared" si="637"/>
        <v>-</v>
      </c>
      <c r="HD22" s="1" t="str">
        <f t="shared" si="637"/>
        <v>-</v>
      </c>
      <c r="HE22" s="1" t="str">
        <f t="shared" si="637"/>
        <v>-</v>
      </c>
      <c r="HF22" s="1" t="str">
        <f t="shared" si="637"/>
        <v>-</v>
      </c>
      <c r="HG22" s="1" t="str">
        <f t="shared" si="637"/>
        <v>-</v>
      </c>
      <c r="HH22" s="1" t="str">
        <f t="shared" ref="HH22:JS22" si="638">IFERROR(((HH21/HH11)*1000000*HH4),"-")</f>
        <v>-</v>
      </c>
      <c r="HI22" s="1" t="str">
        <f t="shared" si="638"/>
        <v>-</v>
      </c>
      <c r="HJ22" s="1" t="str">
        <f t="shared" si="638"/>
        <v>-</v>
      </c>
      <c r="HK22" s="1" t="str">
        <f t="shared" si="638"/>
        <v>-</v>
      </c>
      <c r="HL22" s="1" t="str">
        <f t="shared" si="638"/>
        <v>-</v>
      </c>
      <c r="HM22" s="1" t="str">
        <f t="shared" si="638"/>
        <v>-</v>
      </c>
      <c r="HN22" s="1" t="str">
        <f t="shared" si="638"/>
        <v>-</v>
      </c>
      <c r="HO22" s="1" t="str">
        <f t="shared" si="638"/>
        <v>-</v>
      </c>
      <c r="HP22" s="1" t="str">
        <f t="shared" si="638"/>
        <v>-</v>
      </c>
      <c r="HQ22" s="1" t="str">
        <f t="shared" si="638"/>
        <v>-</v>
      </c>
      <c r="HR22" s="1" t="str">
        <f t="shared" si="638"/>
        <v>-</v>
      </c>
      <c r="HS22" s="1" t="str">
        <f t="shared" si="638"/>
        <v>-</v>
      </c>
      <c r="HT22" s="1" t="str">
        <f t="shared" si="638"/>
        <v>-</v>
      </c>
      <c r="HU22" s="1" t="str">
        <f t="shared" si="638"/>
        <v>-</v>
      </c>
      <c r="HV22" s="1" t="str">
        <f t="shared" si="638"/>
        <v>-</v>
      </c>
      <c r="HW22" s="1" t="str">
        <f t="shared" si="638"/>
        <v>-</v>
      </c>
      <c r="HX22" s="1" t="str">
        <f t="shared" si="638"/>
        <v>-</v>
      </c>
      <c r="HY22" s="1" t="str">
        <f t="shared" si="638"/>
        <v>-</v>
      </c>
      <c r="HZ22" s="1" t="str">
        <f t="shared" si="638"/>
        <v>-</v>
      </c>
      <c r="IA22" s="1" t="str">
        <f t="shared" si="638"/>
        <v>-</v>
      </c>
      <c r="IB22" s="1" t="str">
        <f t="shared" si="638"/>
        <v>-</v>
      </c>
      <c r="IC22" s="1" t="str">
        <f t="shared" si="638"/>
        <v>-</v>
      </c>
      <c r="ID22" s="1" t="str">
        <f t="shared" si="638"/>
        <v>-</v>
      </c>
      <c r="IE22" s="1" t="str">
        <f t="shared" si="638"/>
        <v>-</v>
      </c>
      <c r="IF22" s="1" t="str">
        <f t="shared" si="638"/>
        <v>-</v>
      </c>
      <c r="IG22" s="1" t="str">
        <f t="shared" si="638"/>
        <v>-</v>
      </c>
      <c r="IH22" s="1" t="str">
        <f t="shared" si="638"/>
        <v>-</v>
      </c>
      <c r="II22" s="1" t="str">
        <f t="shared" si="638"/>
        <v>-</v>
      </c>
      <c r="IJ22" s="1" t="str">
        <f t="shared" si="638"/>
        <v>-</v>
      </c>
      <c r="IK22" s="1" t="str">
        <f t="shared" si="638"/>
        <v>-</v>
      </c>
      <c r="IL22" s="1" t="str">
        <f t="shared" si="638"/>
        <v>-</v>
      </c>
      <c r="IM22" s="1" t="str">
        <f t="shared" si="638"/>
        <v>-</v>
      </c>
      <c r="IN22" s="1" t="str">
        <f t="shared" si="638"/>
        <v>-</v>
      </c>
      <c r="IO22" s="1" t="str">
        <f t="shared" si="638"/>
        <v>-</v>
      </c>
      <c r="IP22" s="1" t="str">
        <f t="shared" si="638"/>
        <v>-</v>
      </c>
      <c r="IQ22" s="1" t="str">
        <f t="shared" si="638"/>
        <v>-</v>
      </c>
      <c r="IR22" s="1" t="str">
        <f t="shared" si="638"/>
        <v>-</v>
      </c>
      <c r="IS22" s="1" t="str">
        <f t="shared" si="638"/>
        <v>-</v>
      </c>
      <c r="IT22" s="1" t="str">
        <f t="shared" si="638"/>
        <v>-</v>
      </c>
      <c r="IU22" s="1" t="str">
        <f t="shared" si="638"/>
        <v>-</v>
      </c>
      <c r="IV22" s="1" t="str">
        <f t="shared" si="638"/>
        <v>-</v>
      </c>
      <c r="IW22" s="1" t="str">
        <f t="shared" si="638"/>
        <v>-</v>
      </c>
      <c r="IX22" s="1" t="str">
        <f t="shared" si="638"/>
        <v>-</v>
      </c>
      <c r="IY22" s="1" t="str">
        <f t="shared" si="638"/>
        <v>-</v>
      </c>
      <c r="IZ22" s="1" t="str">
        <f t="shared" si="638"/>
        <v>-</v>
      </c>
      <c r="JA22" s="1" t="str">
        <f t="shared" si="638"/>
        <v>-</v>
      </c>
      <c r="JB22" s="1" t="str">
        <f t="shared" si="638"/>
        <v>-</v>
      </c>
      <c r="JC22" s="1" t="str">
        <f t="shared" si="638"/>
        <v>-</v>
      </c>
      <c r="JD22" s="1" t="str">
        <f t="shared" si="638"/>
        <v>-</v>
      </c>
      <c r="JE22" s="1" t="str">
        <f t="shared" si="638"/>
        <v>-</v>
      </c>
      <c r="JF22" s="1" t="str">
        <f t="shared" si="638"/>
        <v>-</v>
      </c>
      <c r="JG22" s="1" t="str">
        <f t="shared" si="638"/>
        <v>-</v>
      </c>
      <c r="JH22" s="1" t="str">
        <f t="shared" si="638"/>
        <v>-</v>
      </c>
      <c r="JI22" s="1" t="str">
        <f t="shared" si="638"/>
        <v>-</v>
      </c>
      <c r="JJ22" s="1" t="str">
        <f t="shared" si="638"/>
        <v>-</v>
      </c>
      <c r="JK22" s="1" t="str">
        <f t="shared" si="638"/>
        <v>-</v>
      </c>
      <c r="JL22" s="1" t="str">
        <f t="shared" si="638"/>
        <v>-</v>
      </c>
      <c r="JM22" s="1" t="str">
        <f t="shared" si="638"/>
        <v>-</v>
      </c>
      <c r="JN22" s="1" t="str">
        <f t="shared" si="638"/>
        <v>-</v>
      </c>
      <c r="JO22" s="1" t="str">
        <f t="shared" si="638"/>
        <v>-</v>
      </c>
      <c r="JP22" s="1" t="str">
        <f t="shared" si="638"/>
        <v>-</v>
      </c>
      <c r="JQ22" s="1" t="str">
        <f t="shared" si="638"/>
        <v>-</v>
      </c>
      <c r="JR22" s="1" t="str">
        <f t="shared" si="638"/>
        <v>-</v>
      </c>
      <c r="JS22" s="1" t="str">
        <f t="shared" si="638"/>
        <v>-</v>
      </c>
      <c r="JT22" s="1" t="str">
        <f t="shared" ref="JT22:LX22" si="639">IFERROR(((JT21/JT11)*1000000*JT4),"-")</f>
        <v>-</v>
      </c>
      <c r="JU22" s="1" t="str">
        <f t="shared" si="639"/>
        <v>-</v>
      </c>
      <c r="JV22" s="1" t="str">
        <f t="shared" si="639"/>
        <v>-</v>
      </c>
      <c r="JW22" s="1" t="str">
        <f t="shared" si="639"/>
        <v>-</v>
      </c>
      <c r="JX22" s="1" t="str">
        <f t="shared" si="639"/>
        <v>-</v>
      </c>
      <c r="JY22" s="1" t="str">
        <f t="shared" si="639"/>
        <v>-</v>
      </c>
      <c r="JZ22" s="1" t="str">
        <f t="shared" si="639"/>
        <v>-</v>
      </c>
      <c r="KA22" s="1" t="str">
        <f t="shared" si="639"/>
        <v>-</v>
      </c>
      <c r="KB22" s="1" t="str">
        <f t="shared" si="639"/>
        <v>-</v>
      </c>
      <c r="KC22" s="1" t="str">
        <f t="shared" si="639"/>
        <v>-</v>
      </c>
      <c r="KD22" s="1" t="str">
        <f t="shared" si="639"/>
        <v>-</v>
      </c>
      <c r="KE22" s="1" t="str">
        <f t="shared" si="639"/>
        <v>-</v>
      </c>
      <c r="KF22" s="1" t="str">
        <f t="shared" si="639"/>
        <v>-</v>
      </c>
      <c r="KG22" s="1" t="str">
        <f t="shared" si="639"/>
        <v>-</v>
      </c>
      <c r="KH22" s="1" t="str">
        <f t="shared" si="639"/>
        <v>-</v>
      </c>
      <c r="KI22" s="1" t="str">
        <f t="shared" si="639"/>
        <v>-</v>
      </c>
      <c r="KJ22" s="1" t="str">
        <f t="shared" si="639"/>
        <v>-</v>
      </c>
      <c r="KK22" s="1" t="str">
        <f t="shared" si="639"/>
        <v>-</v>
      </c>
      <c r="KL22" s="1" t="str">
        <f t="shared" si="639"/>
        <v>-</v>
      </c>
      <c r="KM22" s="1" t="str">
        <f t="shared" si="639"/>
        <v>-</v>
      </c>
      <c r="KN22" s="1" t="str">
        <f t="shared" si="639"/>
        <v>-</v>
      </c>
      <c r="KO22" s="1" t="str">
        <f t="shared" si="639"/>
        <v>-</v>
      </c>
      <c r="KP22" s="1" t="str">
        <f t="shared" si="639"/>
        <v>-</v>
      </c>
      <c r="KQ22" s="1" t="str">
        <f t="shared" si="639"/>
        <v>-</v>
      </c>
      <c r="KR22" s="1" t="str">
        <f t="shared" si="639"/>
        <v>-</v>
      </c>
      <c r="KS22" s="1" t="str">
        <f t="shared" si="639"/>
        <v>-</v>
      </c>
      <c r="KT22" s="1" t="str">
        <f t="shared" si="639"/>
        <v>-</v>
      </c>
      <c r="KU22" s="1" t="str">
        <f t="shared" si="639"/>
        <v>-</v>
      </c>
      <c r="KV22" s="1" t="str">
        <f t="shared" si="639"/>
        <v>-</v>
      </c>
      <c r="KW22" s="1" t="str">
        <f t="shared" si="639"/>
        <v>-</v>
      </c>
      <c r="KX22" s="1" t="str">
        <f t="shared" si="639"/>
        <v>-</v>
      </c>
      <c r="KY22" s="1" t="str">
        <f t="shared" si="639"/>
        <v>-</v>
      </c>
      <c r="KZ22" s="1" t="str">
        <f t="shared" si="639"/>
        <v>-</v>
      </c>
      <c r="LA22" s="1" t="str">
        <f t="shared" si="639"/>
        <v>-</v>
      </c>
      <c r="LB22" s="1" t="str">
        <f t="shared" si="639"/>
        <v>-</v>
      </c>
      <c r="LC22" s="1" t="str">
        <f t="shared" si="639"/>
        <v>-</v>
      </c>
      <c r="LD22" s="1" t="str">
        <f t="shared" si="639"/>
        <v>-</v>
      </c>
      <c r="LE22" s="1" t="str">
        <f t="shared" si="639"/>
        <v>-</v>
      </c>
      <c r="LF22" s="1" t="str">
        <f t="shared" si="639"/>
        <v>-</v>
      </c>
      <c r="LG22" s="1" t="str">
        <f t="shared" si="639"/>
        <v>-</v>
      </c>
      <c r="LH22" s="1" t="str">
        <f t="shared" si="639"/>
        <v>-</v>
      </c>
      <c r="LI22" s="1" t="str">
        <f t="shared" si="639"/>
        <v>-</v>
      </c>
      <c r="LJ22" s="1" t="str">
        <f t="shared" si="639"/>
        <v>-</v>
      </c>
      <c r="LK22" s="1" t="str">
        <f t="shared" si="639"/>
        <v>-</v>
      </c>
      <c r="LL22" s="1" t="str">
        <f t="shared" si="639"/>
        <v>-</v>
      </c>
      <c r="LM22" s="1" t="str">
        <f t="shared" si="639"/>
        <v>-</v>
      </c>
      <c r="LN22" s="1" t="str">
        <f t="shared" si="639"/>
        <v>-</v>
      </c>
      <c r="LO22" s="1" t="str">
        <f t="shared" si="639"/>
        <v>-</v>
      </c>
      <c r="LP22" s="1" t="str">
        <f t="shared" si="639"/>
        <v>-</v>
      </c>
      <c r="LQ22" s="1" t="str">
        <f t="shared" si="639"/>
        <v>-</v>
      </c>
      <c r="LR22" s="1" t="str">
        <f t="shared" si="639"/>
        <v>-</v>
      </c>
      <c r="LS22" s="1" t="str">
        <f t="shared" si="639"/>
        <v>-</v>
      </c>
      <c r="LT22" s="1" t="str">
        <f t="shared" si="639"/>
        <v>-</v>
      </c>
      <c r="LU22" s="1" t="str">
        <f t="shared" si="639"/>
        <v>-</v>
      </c>
      <c r="LV22" s="1" t="str">
        <f t="shared" si="639"/>
        <v>-</v>
      </c>
      <c r="LW22" s="1" t="str">
        <f t="shared" si="639"/>
        <v>-</v>
      </c>
      <c r="LX22" s="1" t="str">
        <f t="shared" si="639"/>
        <v>-</v>
      </c>
      <c r="LY22" s="1" t="str">
        <f t="shared" ref="LY22" si="640">IFERROR(((LY21/LY11)*1000000*LY4),"-")</f>
        <v>-</v>
      </c>
      <c r="MA22" s="6" t="str">
        <f>IFERROR((MA21*1000000)/MA11,"-")</f>
        <v>-</v>
      </c>
    </row>
    <row r="23" spans="2:339">
      <c r="B23" s="147"/>
      <c r="C23" s="40" t="s">
        <v>53</v>
      </c>
      <c r="E23" s="45">
        <f>SUMIFS($D$21:E21,$D$6:E6,(KPI!E8-'Info Sheet'!$D$22)+1)</f>
        <v>0</v>
      </c>
      <c r="F23" s="45">
        <f>SUMIFS($D$21:F21,$D$6:F6,(KPI!F8-'Info Sheet'!$D$22)+1)</f>
        <v>0</v>
      </c>
      <c r="G23" s="45">
        <f>SUMIFS($D$21:G21,$D$6:G6,(KPI!G8-'Info Sheet'!$D$22)+1)</f>
        <v>0</v>
      </c>
      <c r="H23" s="45">
        <f>SUMIFS($D$21:H21,$D$6:H6,(KPI!H8-'Info Sheet'!$D$22)+1)</f>
        <v>0</v>
      </c>
      <c r="I23" s="45">
        <f>SUMIFS($D$21:I21,$D$6:I6,(KPI!I8-'Info Sheet'!$D$22)+1)</f>
        <v>0</v>
      </c>
      <c r="J23" s="45">
        <f>SUMIFS($D$21:J21,$D$6:J6,(KPI!J8-'Info Sheet'!$D$22)+1)</f>
        <v>0</v>
      </c>
      <c r="K23" s="45">
        <f>SUMIFS($D$21:K21,$D$6:K6,(KPI!K8-'Info Sheet'!$D$22)+1)</f>
        <v>0</v>
      </c>
      <c r="L23" s="45">
        <f>SUMIFS($D$21:L21,$D$6:L6,(KPI!L8-'Info Sheet'!$D$22)+1)</f>
        <v>0</v>
      </c>
      <c r="M23" s="45">
        <f>SUMIFS($D$21:M21,$D$6:M6,(KPI!M8-'Info Sheet'!$D$22)+1)</f>
        <v>0</v>
      </c>
      <c r="N23" s="45">
        <f>SUMIFS($D$21:N21,$D$6:N6,(KPI!N8-'Info Sheet'!$D$22)+1)</f>
        <v>0</v>
      </c>
      <c r="O23" s="45">
        <f>SUMIFS($D$21:O21,$D$6:O6,(KPI!O8-'Info Sheet'!$D$22)+1)</f>
        <v>0</v>
      </c>
      <c r="P23" s="45">
        <f>SUMIFS($D$21:P21,$D$6:P6,(KPI!P8-'Info Sheet'!$D$22)+1)</f>
        <v>0</v>
      </c>
      <c r="Q23" s="45">
        <f>SUMIFS($D$21:Q21,$D$6:Q6,(KPI!Q8-'Info Sheet'!$D$22)+1)</f>
        <v>0</v>
      </c>
      <c r="R23" s="45">
        <f>SUMIFS($D$21:R21,$D$6:R6,(KPI!R8-'Info Sheet'!$D$22)+1)</f>
        <v>0</v>
      </c>
      <c r="S23" s="45">
        <f>SUMIFS($D$21:S21,$D$6:S6,(KPI!S8-'Info Sheet'!$D$22)+1)</f>
        <v>0</v>
      </c>
      <c r="T23" s="45">
        <f>SUMIFS($D$21:T21,$D$6:T6,(KPI!T8-'Info Sheet'!$D$22)+1)</f>
        <v>0</v>
      </c>
      <c r="U23" s="45">
        <f>SUMIFS($D$21:U21,$D$6:U6,(KPI!U8-'Info Sheet'!$D$22)+1)</f>
        <v>0</v>
      </c>
      <c r="V23" s="45">
        <f>SUMIFS($D$21:V21,$D$6:V6,(KPI!V8-'Info Sheet'!$D$22)+1)</f>
        <v>0</v>
      </c>
      <c r="W23" s="45">
        <f>SUMIFS($D$21:W21,$D$6:W6,(KPI!W8-'Info Sheet'!$D$22)+1)</f>
        <v>0</v>
      </c>
      <c r="X23" s="45">
        <f>SUMIFS($D$21:X21,$D$6:X6,(KPI!X8-'Info Sheet'!$D$22)+1)</f>
        <v>0</v>
      </c>
      <c r="Y23" s="45">
        <f>SUMIFS($D$21:Y21,$D$6:Y6,(KPI!Y8-'Info Sheet'!$D$22)+1)</f>
        <v>0</v>
      </c>
      <c r="Z23" s="45">
        <f>SUMIFS($D$21:Z21,$D$6:Z6,(KPI!Z8-'Info Sheet'!$D$22)+1)</f>
        <v>0</v>
      </c>
      <c r="AA23" s="45">
        <f>SUMIFS($D$21:AA21,$D$6:AA6,(KPI!AA8-'Info Sheet'!$D$22)+1)</f>
        <v>0</v>
      </c>
      <c r="AB23" s="45">
        <f>SUMIFS($D$21:AB21,$D$6:AB6,(KPI!AB8-'Info Sheet'!$D$22)+1)</f>
        <v>0</v>
      </c>
      <c r="AC23" s="45">
        <f>SUMIFS($D$21:AC21,$D$6:AC6,(KPI!AC8-'Info Sheet'!$D$22)+1)</f>
        <v>0</v>
      </c>
      <c r="AD23" s="45">
        <f>SUMIFS($D$21:AD21,$D$6:AD6,(KPI!AD8-'Info Sheet'!$D$22)+1)</f>
        <v>0</v>
      </c>
      <c r="AE23" s="45">
        <f>SUMIFS($D$21:AE21,$D$6:AE6,(KPI!AE8-'Info Sheet'!$D$22)+1)</f>
        <v>0</v>
      </c>
      <c r="AF23" s="45">
        <f>SUMIFS($D$21:AF21,$D$6:AF6,(KPI!AF8-'Info Sheet'!$D$22)+1)</f>
        <v>0</v>
      </c>
      <c r="AG23" s="45">
        <f>SUMIFS($D$21:AG21,$D$6:AG6,(KPI!AG8-'Info Sheet'!$D$22)+1)</f>
        <v>0</v>
      </c>
      <c r="AH23" s="45">
        <f>SUMIFS($D$21:AH21,$D$6:AH6,(KPI!AH8-'Info Sheet'!$D$22)+1)</f>
        <v>0</v>
      </c>
      <c r="AI23" s="45">
        <f>SUMIFS($D$21:AI21,$D$6:AI6,(KPI!AI8-'Info Sheet'!$D$22)+1)</f>
        <v>0</v>
      </c>
      <c r="AJ23" s="45">
        <f>SUMIFS($D$21:AJ21,$D$6:AJ6,(KPI!AJ8-'Info Sheet'!$D$22)+1)</f>
        <v>0</v>
      </c>
      <c r="AK23" s="45">
        <f>SUMIFS($D$21:AK21,$D$6:AK6,(KPI!AK8-'Info Sheet'!$D$22)+1)</f>
        <v>0</v>
      </c>
      <c r="AL23" s="45">
        <f>SUMIFS($D$21:AL21,$D$6:AL6,(KPI!AL8-'Info Sheet'!$D$22)+1)</f>
        <v>0</v>
      </c>
      <c r="AM23" s="45">
        <f>SUMIFS($D$21:AM21,$D$6:AM6,(KPI!AM8-'Info Sheet'!$D$22)+1)</f>
        <v>0</v>
      </c>
      <c r="AN23" s="45">
        <f>SUMIFS($D$21:AN21,$D$6:AN6,(KPI!AN8-'Info Sheet'!$D$22)+1)</f>
        <v>0</v>
      </c>
      <c r="AO23" s="45">
        <f>SUMIFS($D$21:AO21,$D$6:AO6,(KPI!AO8-'Info Sheet'!$D$22)+1)</f>
        <v>0</v>
      </c>
      <c r="AP23" s="45">
        <f>SUMIFS($D$21:AP21,$D$6:AP6,(KPI!AP8-'Info Sheet'!$D$22)+1)</f>
        <v>0</v>
      </c>
      <c r="AQ23" s="45">
        <f>SUMIFS($D$21:AQ21,$D$6:AQ6,(KPI!AQ8-'Info Sheet'!$D$22)+1)</f>
        <v>0</v>
      </c>
      <c r="AR23" s="45">
        <f>SUMIFS($D$21:AR21,$D$6:AR6,(KPI!AR8-'Info Sheet'!$D$22)+1)</f>
        <v>0</v>
      </c>
      <c r="AS23" s="45">
        <f>SUMIFS($D$21:AS21,$D$6:AS6,(KPI!AS8-'Info Sheet'!$D$22)+1)</f>
        <v>0</v>
      </c>
      <c r="AT23" s="45">
        <f>SUMIFS($D$21:AT21,$D$6:AT6,(KPI!AT8-'Info Sheet'!$D$22)+1)</f>
        <v>0</v>
      </c>
      <c r="AU23" s="45">
        <f>SUMIFS($D$21:AU21,$D$6:AU6,(KPI!AU8-'Info Sheet'!$D$22)+1)</f>
        <v>0</v>
      </c>
      <c r="AV23" s="45">
        <f>SUMIFS($D$21:AV21,$D$6:AV6,(KPI!AV8-'Info Sheet'!$D$22)+1)</f>
        <v>0</v>
      </c>
      <c r="AW23" s="45">
        <f>SUMIFS($D$21:AW21,$D$6:AW6,(KPI!AW8-'Info Sheet'!$D$22)+1)</f>
        <v>0</v>
      </c>
      <c r="AX23" s="45">
        <f>SUMIFS($D$21:AX21,$D$6:AX6,(KPI!AX8-'Info Sheet'!$D$22)+1)</f>
        <v>0</v>
      </c>
      <c r="AY23" s="45">
        <f>SUMIFS($D$21:AY21,$D$6:AY6,(KPI!AY8-'Info Sheet'!$D$22)+1)</f>
        <v>0</v>
      </c>
      <c r="AZ23" s="45">
        <f>SUMIFS($D$21:AZ21,$D$6:AZ6,(KPI!AZ8-'Info Sheet'!$D$22)+1)</f>
        <v>0</v>
      </c>
      <c r="BA23" s="45">
        <f>SUMIFS($D$21:BA21,$D$6:BA6,(KPI!BA8-'Info Sheet'!$D$22)+1)</f>
        <v>0</v>
      </c>
      <c r="BB23" s="45">
        <f>SUMIFS($D$21:BB21,$D$6:BB6,(KPI!BB8-'Info Sheet'!$D$22)+1)</f>
        <v>0</v>
      </c>
      <c r="BC23" s="45">
        <f>SUMIFS($D$21:BC21,$D$6:BC6,(KPI!BC8-'Info Sheet'!$D$22)+1)</f>
        <v>0</v>
      </c>
      <c r="BD23" s="45">
        <f>SUMIFS($D$21:BD21,$D$6:BD6,(KPI!BD8-'Info Sheet'!$D$22)+1)</f>
        <v>0</v>
      </c>
      <c r="BE23" s="45">
        <f>SUMIFS($D$21:BE21,$D$6:BE6,(KPI!BE8-'Info Sheet'!$D$22)+1)</f>
        <v>0</v>
      </c>
      <c r="BF23" s="45">
        <f>SUMIFS($D$21:BF21,$D$6:BF6,(KPI!BF8-'Info Sheet'!$D$22)+1)</f>
        <v>0</v>
      </c>
      <c r="BG23" s="45">
        <f>SUMIFS($D$21:BG21,$D$6:BG6,(KPI!BG8-'Info Sheet'!$D$22)+1)</f>
        <v>0</v>
      </c>
      <c r="BH23" s="45">
        <f>SUMIFS($D$21:BH21,$D$6:BH6,(KPI!BH8-'Info Sheet'!$D$22)+1)</f>
        <v>0</v>
      </c>
      <c r="BI23" s="45">
        <f>SUMIFS($D$21:BI21,$D$6:BI6,(KPI!BI8-'Info Sheet'!$D$22)+1)</f>
        <v>0</v>
      </c>
      <c r="BJ23" s="45">
        <f>SUMIFS($D$21:BJ21,$D$6:BJ6,(KPI!BJ8-'Info Sheet'!$D$22)+1)</f>
        <v>0</v>
      </c>
      <c r="BK23" s="45">
        <f>SUMIFS($D$21:BK21,$D$6:BK6,(KPI!BK8-'Info Sheet'!$D$22)+1)</f>
        <v>0</v>
      </c>
      <c r="BL23" s="45">
        <f>SUMIFS($D$21:BL21,$D$6:BL6,(KPI!BL8-'Info Sheet'!$D$22)+1)</f>
        <v>0</v>
      </c>
      <c r="BM23" s="45">
        <f>SUMIFS($D$21:BM21,$D$6:BM6,(KPI!BM8-'Info Sheet'!$D$22)+1)</f>
        <v>0</v>
      </c>
      <c r="BN23" s="45">
        <f>SUMIFS($D$21:BN21,$D$6:BN6,(KPI!BN8-'Info Sheet'!$D$22)+1)</f>
        <v>0</v>
      </c>
      <c r="BO23" s="45">
        <f>SUMIFS($D$21:BO21,$D$6:BO6,(KPI!BO8-'Info Sheet'!$D$22)+1)</f>
        <v>0</v>
      </c>
      <c r="BP23" s="45">
        <f>SUMIFS($D$21:BP21,$D$6:BP6,(KPI!BP8-'Info Sheet'!$D$22)+1)</f>
        <v>0</v>
      </c>
      <c r="BQ23" s="45">
        <f>SUMIFS($D$21:BQ21,$D$6:BQ6,(KPI!BQ8-'Info Sheet'!$D$22)+1)</f>
        <v>0</v>
      </c>
      <c r="BR23" s="45">
        <f>SUMIFS($D$21:BR21,$D$6:BR6,(KPI!BR8-'Info Sheet'!$D$22)+1)</f>
        <v>0</v>
      </c>
      <c r="BS23" s="45">
        <f>SUMIFS($D$21:BS21,$D$6:BS6,(KPI!BS8-'Info Sheet'!$D$22)+1)</f>
        <v>0</v>
      </c>
      <c r="BT23" s="45">
        <f>SUMIFS($D$21:BT21,$D$6:BT6,(KPI!BT8-'Info Sheet'!$D$22)+1)</f>
        <v>0</v>
      </c>
      <c r="BU23" s="45">
        <f>SUMIFS($D$21:BU21,$D$6:BU6,(KPI!BU8-'Info Sheet'!$D$22)+1)</f>
        <v>0</v>
      </c>
      <c r="BV23" s="45">
        <f>SUMIFS($D$21:BV21,$D$6:BV6,(KPI!BV8-'Info Sheet'!$D$22)+1)</f>
        <v>0</v>
      </c>
      <c r="BW23" s="45">
        <f>SUMIFS($D$21:BW21,$D$6:BW6,(KPI!BW8-'Info Sheet'!$D$22)+1)</f>
        <v>0</v>
      </c>
      <c r="BX23" s="45">
        <f>SUMIFS($D$21:BX21,$D$6:BX6,(KPI!BX8-'Info Sheet'!$D$22)+1)</f>
        <v>0</v>
      </c>
      <c r="BY23" s="45">
        <f>SUMIFS($D$21:BY21,$D$6:BY6,(KPI!BY8-'Info Sheet'!$D$22)+1)</f>
        <v>0</v>
      </c>
      <c r="BZ23" s="45">
        <f>SUMIFS($D$21:BZ21,$D$6:BZ6,(KPI!BZ8-'Info Sheet'!$D$22)+1)</f>
        <v>0</v>
      </c>
      <c r="CA23" s="45">
        <f>SUMIFS($D$21:CA21,$D$6:CA6,(KPI!CA8-'Info Sheet'!$D$22)+1)</f>
        <v>0</v>
      </c>
      <c r="CB23" s="45">
        <f>SUMIFS($D$21:CB21,$D$6:CB6,(KPI!CB8-'Info Sheet'!$D$22)+1)</f>
        <v>0</v>
      </c>
      <c r="CC23" s="45">
        <f>SUMIFS($D$21:CC21,$D$6:CC6,(KPI!CC8-'Info Sheet'!$D$22)+1)</f>
        <v>0</v>
      </c>
      <c r="CD23" s="45">
        <f>SUMIFS($D$21:CD21,$D$6:CD6,(KPI!CD8-'Info Sheet'!$D$22)+1)</f>
        <v>0</v>
      </c>
      <c r="CE23" s="45">
        <f>SUMIFS($D$21:CE21,$D$6:CE6,(KPI!CE8-'Info Sheet'!$D$22)+1)</f>
        <v>0</v>
      </c>
      <c r="CF23" s="45">
        <f>SUMIFS($D$21:CF21,$D$6:CF6,(KPI!CF8-'Info Sheet'!$D$22)+1)</f>
        <v>0</v>
      </c>
      <c r="CG23" s="45">
        <f>SUMIFS($D$21:CG21,$D$6:CG6,(KPI!CG8-'Info Sheet'!$D$22)+1)</f>
        <v>0</v>
      </c>
      <c r="CH23" s="45">
        <f>SUMIFS($D$21:CH21,$D$6:CH6,(KPI!CH8-'Info Sheet'!$D$22)+1)</f>
        <v>0</v>
      </c>
      <c r="CI23" s="45">
        <f>SUMIFS($D$21:CI21,$D$6:CI6,(KPI!CI8-'Info Sheet'!$D$22)+1)</f>
        <v>0</v>
      </c>
      <c r="CJ23" s="45">
        <f>SUMIFS($D$21:CJ21,$D$6:CJ6,(KPI!CJ8-'Info Sheet'!$D$22)+1)</f>
        <v>0</v>
      </c>
      <c r="CK23" s="45">
        <f>SUMIFS($D$21:CK21,$D$6:CK6,(KPI!CK8-'Info Sheet'!$D$22)+1)</f>
        <v>0</v>
      </c>
      <c r="CL23" s="45">
        <f>SUMIFS($D$21:CL21,$D$6:CL6,(KPI!CL8-'Info Sheet'!$D$22)+1)</f>
        <v>0</v>
      </c>
      <c r="CM23" s="45">
        <f>SUMIFS($D$21:CM21,$D$6:CM6,(KPI!CM8-'Info Sheet'!$D$22)+1)</f>
        <v>0</v>
      </c>
      <c r="CN23" s="45">
        <f>SUMIFS($D$21:CN21,$D$6:CN6,(KPI!CN8-'Info Sheet'!$D$22)+1)</f>
        <v>0</v>
      </c>
      <c r="CO23" s="45">
        <f>SUMIFS($D$21:CO21,$D$6:CO6,(KPI!CO8-'Info Sheet'!$D$22)+1)</f>
        <v>0</v>
      </c>
      <c r="CP23" s="45">
        <f>SUMIFS($D$21:CP21,$D$6:CP6,(KPI!CP8-'Info Sheet'!$D$22)+1)</f>
        <v>0</v>
      </c>
      <c r="CQ23" s="45">
        <f>SUMIFS($D$21:CQ21,$D$6:CQ6,(KPI!CQ8-'Info Sheet'!$D$22)+1)</f>
        <v>0</v>
      </c>
      <c r="CR23" s="45">
        <f>SUMIFS($D$21:CR21,$D$6:CR6,(KPI!CR8-'Info Sheet'!$D$22)+1)</f>
        <v>0</v>
      </c>
      <c r="CS23" s="45">
        <f>SUMIFS($D$21:CS21,$D$6:CS6,(KPI!CS8-'Info Sheet'!$D$22)+1)</f>
        <v>0</v>
      </c>
      <c r="CT23" s="45">
        <f>SUMIFS($D$21:CT21,$D$6:CT6,(KPI!CT8-'Info Sheet'!$D$22)+1)</f>
        <v>0</v>
      </c>
      <c r="CU23" s="45">
        <f>SUMIFS($D$21:CU21,$D$6:CU6,(KPI!CU8-'Info Sheet'!$D$22)+1)</f>
        <v>0</v>
      </c>
      <c r="CV23" s="45">
        <f>SUMIFS($D$21:CV21,$D$6:CV6,(KPI!CV8-'Info Sheet'!$D$22)+1)</f>
        <v>0</v>
      </c>
      <c r="CW23" s="45">
        <f>SUMIFS($D$21:CW21,$D$6:CW6,(KPI!CW8-'Info Sheet'!$D$22)+1)</f>
        <v>0</v>
      </c>
      <c r="CX23" s="45">
        <f>SUMIFS($D$21:CX21,$D$6:CX6,(KPI!CX8-'Info Sheet'!$D$22)+1)</f>
        <v>0</v>
      </c>
      <c r="CY23" s="45">
        <f>SUMIFS($D$21:CY21,$D$6:CY6,(KPI!CY8-'Info Sheet'!$D$22)+1)</f>
        <v>0</v>
      </c>
      <c r="CZ23" s="45">
        <f>SUMIFS($D$21:CZ21,$D$6:CZ6,(KPI!CZ8-'Info Sheet'!$D$22)+1)</f>
        <v>0</v>
      </c>
      <c r="DA23" s="45">
        <f>SUMIFS($D$21:DA21,$D$6:DA6,(KPI!DA8-'Info Sheet'!$D$22)+1)</f>
        <v>0</v>
      </c>
      <c r="DB23" s="45">
        <f>SUMIFS($D$21:DB21,$D$6:DB6,(KPI!DB8-'Info Sheet'!$D$22)+1)</f>
        <v>0</v>
      </c>
      <c r="DC23" s="45">
        <f>SUMIFS($D$21:DC21,$D$6:DC6,(KPI!DC8-'Info Sheet'!$D$22)+1)</f>
        <v>0</v>
      </c>
      <c r="DD23" s="45">
        <f>SUMIFS($D$21:DD21,$D$6:DD6,(KPI!DD8-'Info Sheet'!$D$22)+1)</f>
        <v>0</v>
      </c>
      <c r="DE23" s="45">
        <f>SUMIFS($D$21:DE21,$D$6:DE6,(KPI!DE8-'Info Sheet'!$D$22)+1)</f>
        <v>0</v>
      </c>
      <c r="DF23" s="45">
        <f>SUMIFS($D$21:DF21,$D$6:DF6,(KPI!DF8-'Info Sheet'!$D$22)+1)</f>
        <v>0</v>
      </c>
      <c r="DG23" s="45">
        <f>SUMIFS($D$21:DG21,$D$6:DG6,(KPI!DG8-'Info Sheet'!$D$22)+1)</f>
        <v>0</v>
      </c>
      <c r="DH23" s="45">
        <f>SUMIFS($D$21:DH21,$D$6:DH6,(KPI!DH8-'Info Sheet'!$D$22)+1)</f>
        <v>0</v>
      </c>
      <c r="DI23" s="45">
        <f>SUMIFS($D$21:DI21,$D$6:DI6,(KPI!DI8-'Info Sheet'!$D$22)+1)</f>
        <v>0</v>
      </c>
      <c r="DJ23" s="45">
        <f>SUMIFS($D$21:DJ21,$D$6:DJ6,(KPI!DJ8-'Info Sheet'!$D$22)+1)</f>
        <v>0</v>
      </c>
      <c r="DK23" s="45">
        <f>SUMIFS($D$21:DK21,$D$6:DK6,(KPI!DK8-'Info Sheet'!$D$22)+1)</f>
        <v>0</v>
      </c>
      <c r="DL23" s="45">
        <f>SUMIFS($D$21:DL21,$D$6:DL6,(KPI!DL8-'Info Sheet'!$D$22)+1)</f>
        <v>0</v>
      </c>
      <c r="DM23" s="45">
        <f>SUMIFS($D$21:DM21,$D$6:DM6,(KPI!DM8-'Info Sheet'!$D$22)+1)</f>
        <v>0</v>
      </c>
      <c r="DN23" s="45">
        <f>SUMIFS($D$21:DN21,$D$6:DN6,(KPI!DN8-'Info Sheet'!$D$22)+1)</f>
        <v>0</v>
      </c>
      <c r="DO23" s="45">
        <f>SUMIFS($D$21:DO21,$D$6:DO6,(KPI!DO8-'Info Sheet'!$D$22)+1)</f>
        <v>0</v>
      </c>
      <c r="DP23" s="45">
        <f>SUMIFS($D$21:DP21,$D$6:DP6,(KPI!DP8-'Info Sheet'!$D$22)+1)</f>
        <v>0</v>
      </c>
      <c r="DQ23" s="45">
        <f>SUMIFS($D$21:DQ21,$D$6:DQ6,(KPI!DQ8-'Info Sheet'!$D$22)+1)</f>
        <v>0</v>
      </c>
      <c r="DR23" s="45">
        <f>SUMIFS($D$21:DR21,$D$6:DR6,(KPI!DR8-'Info Sheet'!$D$22)+1)</f>
        <v>0</v>
      </c>
      <c r="DS23" s="45">
        <f>SUMIFS($D$21:DS21,$D$6:DS6,(KPI!DS8-'Info Sheet'!$D$22)+1)</f>
        <v>0</v>
      </c>
      <c r="DT23" s="45">
        <f>SUMIFS($D$21:DT21,$D$6:DT6,(KPI!DT8-'Info Sheet'!$D$22)+1)</f>
        <v>0</v>
      </c>
      <c r="DU23" s="45">
        <f>SUMIFS($D$21:DU21,$D$6:DU6,(KPI!DU8-'Info Sheet'!$D$22)+1)</f>
        <v>0</v>
      </c>
      <c r="DV23" s="45">
        <f>SUMIFS($D$21:DV21,$D$6:DV6,(KPI!DV8-'Info Sheet'!$D$22)+1)</f>
        <v>0</v>
      </c>
      <c r="DW23" s="45">
        <f>SUMIFS($D$21:DW21,$D$6:DW6,(KPI!DW8-'Info Sheet'!$D$22)+1)</f>
        <v>0</v>
      </c>
      <c r="DX23" s="45">
        <f>SUMIFS($D$21:DX21,$D$6:DX6,(KPI!DX8-'Info Sheet'!$D$22)+1)</f>
        <v>0</v>
      </c>
      <c r="DY23" s="45">
        <f>SUMIFS($D$21:DY21,$D$6:DY6,(KPI!DY8-'Info Sheet'!$D$22)+1)</f>
        <v>0</v>
      </c>
      <c r="DZ23" s="45">
        <f>SUMIFS($D$21:DZ21,$D$6:DZ6,(KPI!DZ8-'Info Sheet'!$D$22)+1)</f>
        <v>0</v>
      </c>
      <c r="EA23" s="45">
        <f>SUMIFS($D$21:EA21,$D$6:EA6,(KPI!EA8-'Info Sheet'!$D$22)+1)</f>
        <v>0</v>
      </c>
      <c r="EB23" s="45">
        <f>SUMIFS($D$21:EB21,$D$6:EB6,(KPI!EB8-'Info Sheet'!$D$22)+1)</f>
        <v>0</v>
      </c>
      <c r="EC23" s="45">
        <f>SUMIFS($D$21:EC21,$D$6:EC6,(KPI!EC8-'Info Sheet'!$D$22)+1)</f>
        <v>0</v>
      </c>
      <c r="ED23" s="45">
        <f>SUMIFS($D$21:ED21,$D$6:ED6,(KPI!ED8-'Info Sheet'!$D$22)+1)</f>
        <v>0</v>
      </c>
      <c r="EE23" s="45">
        <f>SUMIFS($D$21:EE21,$D$6:EE6,(KPI!EE8-'Info Sheet'!$D$22)+1)</f>
        <v>0</v>
      </c>
      <c r="EF23" s="45">
        <f>SUMIFS($D$21:EF21,$D$6:EF6,(KPI!EF8-'Info Sheet'!$D$22)+1)</f>
        <v>0</v>
      </c>
      <c r="EG23" s="45">
        <f>SUMIFS($D$21:EG21,$D$6:EG6,(KPI!EG8-'Info Sheet'!$D$22)+1)</f>
        <v>0</v>
      </c>
      <c r="EH23" s="45">
        <f>SUMIFS($D$21:EH21,$D$6:EH6,(KPI!EH8-'Info Sheet'!$D$22)+1)</f>
        <v>0</v>
      </c>
      <c r="EI23" s="45">
        <f>SUMIFS($D$21:EI21,$D$6:EI6,(KPI!EI8-'Info Sheet'!$D$22)+1)</f>
        <v>0</v>
      </c>
      <c r="EJ23" s="45">
        <f>SUMIFS($D$21:EJ21,$D$6:EJ6,(KPI!EJ8-'Info Sheet'!$D$22)+1)</f>
        <v>0</v>
      </c>
      <c r="EK23" s="45">
        <f>SUMIFS($D$21:EK21,$D$6:EK6,(KPI!EK8-'Info Sheet'!$D$22)+1)</f>
        <v>0</v>
      </c>
      <c r="EL23" s="45">
        <f>SUMIFS($D$21:EL21,$D$6:EL6,(KPI!EL8-'Info Sheet'!$D$22)+1)</f>
        <v>0</v>
      </c>
      <c r="EM23" s="45">
        <f>SUMIFS($D$21:EM21,$D$6:EM6,(KPI!EM8-'Info Sheet'!$D$22)+1)</f>
        <v>0</v>
      </c>
      <c r="EN23" s="45">
        <f>SUMIFS($D$21:EN21,$D$6:EN6,(KPI!EN8-'Info Sheet'!$D$22)+1)</f>
        <v>0</v>
      </c>
      <c r="EO23" s="45">
        <f>SUMIFS($D$21:EO21,$D$6:EO6,(KPI!EO8-'Info Sheet'!$D$22)+1)</f>
        <v>0</v>
      </c>
      <c r="EP23" s="45">
        <f>SUMIFS($D$21:EP21,$D$6:EP6,(KPI!EP8-'Info Sheet'!$D$22)+1)</f>
        <v>0</v>
      </c>
      <c r="EQ23" s="45">
        <f>SUMIFS($D$21:EQ21,$D$6:EQ6,(KPI!EQ8-'Info Sheet'!$D$22)+1)</f>
        <v>0</v>
      </c>
      <c r="ER23" s="45">
        <f>SUMIFS($D$21:ER21,$D$6:ER6,(KPI!ER8-'Info Sheet'!$D$22)+1)</f>
        <v>0</v>
      </c>
      <c r="ES23" s="45">
        <f>SUMIFS($D$21:ES21,$D$6:ES6,(KPI!ES8-'Info Sheet'!$D$22)+1)</f>
        <v>0</v>
      </c>
      <c r="ET23" s="45">
        <f>SUMIFS($D$21:ET21,$D$6:ET6,(KPI!ET8-'Info Sheet'!$D$22)+1)</f>
        <v>0</v>
      </c>
      <c r="EU23" s="45">
        <f>SUMIFS($D$21:EU21,$D$6:EU6,(KPI!EU8-'Info Sheet'!$D$22)+1)</f>
        <v>0</v>
      </c>
      <c r="EV23" s="45">
        <f>SUMIFS($D$21:EV21,$D$6:EV6,(KPI!EV8-'Info Sheet'!$D$22)+1)</f>
        <v>0</v>
      </c>
      <c r="EW23" s="45">
        <f>SUMIFS($D$21:EW21,$D$6:EW6,(KPI!EW8-'Info Sheet'!$D$22)+1)</f>
        <v>0</v>
      </c>
      <c r="EX23" s="45">
        <f>SUMIFS($D$21:EX21,$D$6:EX6,(KPI!EX8-'Info Sheet'!$D$22)+1)</f>
        <v>0</v>
      </c>
      <c r="EY23" s="45">
        <f>SUMIFS($D$21:EY21,$D$6:EY6,(KPI!EY8-'Info Sheet'!$D$22)+1)</f>
        <v>0</v>
      </c>
      <c r="EZ23" s="45">
        <f>SUMIFS($D$21:EZ21,$D$6:EZ6,(KPI!EZ8-'Info Sheet'!$D$22)+1)</f>
        <v>0</v>
      </c>
      <c r="FA23" s="45">
        <f>SUMIFS($D$21:FA21,$D$6:FA6,(KPI!FA8-'Info Sheet'!$D$22)+1)</f>
        <v>0</v>
      </c>
      <c r="FB23" s="45">
        <f>SUMIFS($D$21:FB21,$D$6:FB6,(KPI!FB8-'Info Sheet'!$D$22)+1)</f>
        <v>0</v>
      </c>
      <c r="FC23" s="45">
        <f>SUMIFS($D$21:FC21,$D$6:FC6,(KPI!FC8-'Info Sheet'!$D$22)+1)</f>
        <v>0</v>
      </c>
      <c r="FD23" s="45">
        <f>SUMIFS($D$21:FD21,$D$6:FD6,(KPI!FD8-'Info Sheet'!$D$22)+1)</f>
        <v>0</v>
      </c>
      <c r="FE23" s="45">
        <f>SUMIFS($D$21:FE21,$D$6:FE6,(KPI!FE8-'Info Sheet'!$D$22)+1)</f>
        <v>0</v>
      </c>
      <c r="FF23" s="45">
        <f>SUMIFS($D$21:FF21,$D$6:FF6,(KPI!FF8-'Info Sheet'!$D$22)+1)</f>
        <v>0</v>
      </c>
      <c r="FG23" s="45">
        <f>SUMIFS($D$21:FG21,$D$6:FG6,(KPI!FG8-'Info Sheet'!$D$22)+1)</f>
        <v>0</v>
      </c>
      <c r="FH23" s="45">
        <f>SUMIFS($D$21:FH21,$D$6:FH6,(KPI!FH8-'Info Sheet'!$D$22)+1)</f>
        <v>0</v>
      </c>
      <c r="FI23" s="45">
        <f>SUMIFS($D$21:FI21,$D$6:FI6,(KPI!FI8-'Info Sheet'!$D$22)+1)</f>
        <v>0</v>
      </c>
      <c r="FJ23" s="45">
        <f>SUMIFS($D$21:FJ21,$D$6:FJ6,(KPI!FJ8-'Info Sheet'!$D$22)+1)</f>
        <v>0</v>
      </c>
      <c r="FK23" s="45">
        <f>SUMIFS($D$21:FK21,$D$6:FK6,(KPI!FK8-'Info Sheet'!$D$22)+1)</f>
        <v>0</v>
      </c>
      <c r="FL23" s="45">
        <f>SUMIFS($D$21:FL21,$D$6:FL6,(KPI!FL8-'Info Sheet'!$D$22)+1)</f>
        <v>0</v>
      </c>
      <c r="FM23" s="45">
        <f>SUMIFS($D$21:FM21,$D$6:FM6,(KPI!FM8-'Info Sheet'!$D$22)+1)</f>
        <v>0</v>
      </c>
      <c r="FN23" s="45">
        <f>SUMIFS($D$21:FN21,$D$6:FN6,(KPI!FN8-'Info Sheet'!$D$22)+1)</f>
        <v>0</v>
      </c>
      <c r="FO23" s="45">
        <f>SUMIFS($D$21:FO21,$D$6:FO6,(KPI!FO8-'Info Sheet'!$D$22)+1)</f>
        <v>0</v>
      </c>
      <c r="FP23" s="45">
        <f>SUMIFS($D$21:FP21,$D$6:FP6,(KPI!FP8-'Info Sheet'!$D$22)+1)</f>
        <v>0</v>
      </c>
      <c r="FQ23" s="45">
        <f>SUMIFS($D$21:FQ21,$D$6:FQ6,(KPI!FQ8-'Info Sheet'!$D$22)+1)</f>
        <v>0</v>
      </c>
      <c r="FR23" s="45">
        <f>SUMIFS($D$21:FR21,$D$6:FR6,(KPI!FR8-'Info Sheet'!$D$22)+1)</f>
        <v>0</v>
      </c>
      <c r="FS23" s="45">
        <f>SUMIFS($D$21:FS21,$D$6:FS6,(KPI!FS8-'Info Sheet'!$D$22)+1)</f>
        <v>0</v>
      </c>
      <c r="FT23" s="45">
        <f>SUMIFS($D$21:FT21,$D$6:FT6,(KPI!FT8-'Info Sheet'!$D$22)+1)</f>
        <v>0</v>
      </c>
      <c r="FU23" s="45">
        <f>SUMIFS($D$21:FU21,$D$6:FU6,(KPI!FU8-'Info Sheet'!$D$22)+1)</f>
        <v>0</v>
      </c>
      <c r="FV23" s="45">
        <f>SUMIFS($D$21:FV21,$D$6:FV6,(KPI!FV8-'Info Sheet'!$D$22)+1)</f>
        <v>0</v>
      </c>
      <c r="FW23" s="45">
        <f>SUMIFS($D$21:FW21,$D$6:FW6,(KPI!FW8-'Info Sheet'!$D$22)+1)</f>
        <v>0</v>
      </c>
      <c r="FX23" s="45">
        <f>SUMIFS($D$21:FX21,$D$6:FX6,(KPI!FX8-'Info Sheet'!$D$22)+1)</f>
        <v>0</v>
      </c>
      <c r="FY23" s="45">
        <f>SUMIFS($D$21:FY21,$D$6:FY6,(KPI!FY8-'Info Sheet'!$D$22)+1)</f>
        <v>0</v>
      </c>
      <c r="FZ23" s="45">
        <f>SUMIFS($D$21:FZ21,$D$6:FZ6,(KPI!FZ8-'Info Sheet'!$D$22)+1)</f>
        <v>0</v>
      </c>
      <c r="GA23" s="45">
        <f>SUMIFS($D$21:GA21,$D$6:GA6,(KPI!GA8-'Info Sheet'!$D$22)+1)</f>
        <v>0</v>
      </c>
      <c r="GB23" s="45">
        <f>SUMIFS($D$21:GB21,$D$6:GB6,(KPI!GB8-'Info Sheet'!$D$22)+1)</f>
        <v>0</v>
      </c>
      <c r="GC23" s="45">
        <f>SUMIFS($D$21:GC21,$D$6:GC6,(KPI!GC8-'Info Sheet'!$D$22)+1)</f>
        <v>0</v>
      </c>
      <c r="GD23" s="45">
        <f>SUMIFS($D$21:GD21,$D$6:GD6,(KPI!GD8-'Info Sheet'!$D$22)+1)</f>
        <v>0</v>
      </c>
      <c r="GE23" s="45">
        <f>SUMIFS($D$21:GE21,$D$6:GE6,(KPI!GE8-'Info Sheet'!$D$22)+1)</f>
        <v>0</v>
      </c>
      <c r="GF23" s="45">
        <f>SUMIFS($D$21:GF21,$D$6:GF6,(KPI!GF8-'Info Sheet'!$D$22)+1)</f>
        <v>0</v>
      </c>
      <c r="GG23" s="45">
        <f>SUMIFS($D$21:GG21,$D$6:GG6,(KPI!GG8-'Info Sheet'!$D$22)+1)</f>
        <v>0</v>
      </c>
      <c r="GH23" s="45">
        <f>SUMIFS($D$21:GH21,$D$6:GH6,(KPI!GH8-'Info Sheet'!$D$22)+1)</f>
        <v>0</v>
      </c>
      <c r="GI23" s="45">
        <f>SUMIFS($D$21:GI21,$D$6:GI6,(KPI!GI8-'Info Sheet'!$D$22)+1)</f>
        <v>0</v>
      </c>
      <c r="GJ23" s="45">
        <f>SUMIFS($D$21:GJ21,$D$6:GJ6,(KPI!GJ8-'Info Sheet'!$D$22)+1)</f>
        <v>0</v>
      </c>
      <c r="GK23" s="45">
        <f>SUMIFS($D$21:GK21,$D$6:GK6,(KPI!GK8-'Info Sheet'!$D$22)+1)</f>
        <v>0</v>
      </c>
      <c r="GL23" s="45">
        <f>SUMIFS($D$21:GL21,$D$6:GL6,(KPI!GL8-'Info Sheet'!$D$22)+1)</f>
        <v>0</v>
      </c>
      <c r="GM23" s="45">
        <f>SUMIFS($D$21:GM21,$D$6:GM6,(KPI!GM8-'Info Sheet'!$D$22)+1)</f>
        <v>0</v>
      </c>
      <c r="GN23" s="45">
        <f>SUMIFS($D$21:GN21,$D$6:GN6,(KPI!GN8-'Info Sheet'!$D$22)+1)</f>
        <v>0</v>
      </c>
      <c r="GO23" s="45">
        <f>SUMIFS($D$21:GO21,$D$6:GO6,(KPI!GO8-'Info Sheet'!$D$22)+1)</f>
        <v>0</v>
      </c>
      <c r="GP23" s="45">
        <f>SUMIFS($D$21:GP21,$D$6:GP6,(KPI!GP8-'Info Sheet'!$D$22)+1)</f>
        <v>0</v>
      </c>
      <c r="GQ23" s="45">
        <f>SUMIFS($D$21:GQ21,$D$6:GQ6,(KPI!GQ8-'Info Sheet'!$D$22)+1)</f>
        <v>0</v>
      </c>
      <c r="GR23" s="45">
        <f>SUMIFS($D$21:GR21,$D$6:GR6,(KPI!GR8-'Info Sheet'!$D$22)+1)</f>
        <v>0</v>
      </c>
      <c r="GS23" s="45">
        <f>SUMIFS($D$21:GS21,$D$6:GS6,(KPI!GS8-'Info Sheet'!$D$22)+1)</f>
        <v>0</v>
      </c>
      <c r="GT23" s="45">
        <f>SUMIFS($D$21:GT21,$D$6:GT6,(KPI!GT8-'Info Sheet'!$D$22)+1)</f>
        <v>0</v>
      </c>
      <c r="GU23" s="45">
        <f>SUMIFS($D$21:GU21,$D$6:GU6,(KPI!GU8-'Info Sheet'!$D$22)+1)</f>
        <v>0</v>
      </c>
      <c r="GV23" s="45">
        <f>SUMIFS($D$21:GV21,$D$6:GV6,(KPI!GV8-'Info Sheet'!$D$22)+1)</f>
        <v>0</v>
      </c>
      <c r="GW23" s="45">
        <f>SUMIFS($D$21:GW21,$D$6:GW6,(KPI!GW8-'Info Sheet'!$D$22)+1)</f>
        <v>0</v>
      </c>
      <c r="GX23" s="45">
        <f>SUMIFS($D$21:GX21,$D$6:GX6,(KPI!GX8-'Info Sheet'!$D$22)+1)</f>
        <v>0</v>
      </c>
      <c r="GY23" s="45">
        <f>SUMIFS($D$21:GY21,$D$6:GY6,(KPI!GY8-'Info Sheet'!$D$22)+1)</f>
        <v>0</v>
      </c>
      <c r="GZ23" s="45">
        <f>SUMIFS($D$21:GZ21,$D$6:GZ6,(KPI!GZ8-'Info Sheet'!$D$22)+1)</f>
        <v>0</v>
      </c>
      <c r="HA23" s="45">
        <f>SUMIFS($D$21:HA21,$D$6:HA6,(KPI!HA8-'Info Sheet'!$D$22)+1)</f>
        <v>0</v>
      </c>
      <c r="HB23" s="45">
        <f>SUMIFS($D$21:HB21,$D$6:HB6,(KPI!HB8-'Info Sheet'!$D$22)+1)</f>
        <v>0</v>
      </c>
      <c r="HC23" s="45">
        <f>SUMIFS($D$21:HC21,$D$6:HC6,(KPI!HC8-'Info Sheet'!$D$22)+1)</f>
        <v>0</v>
      </c>
      <c r="HD23" s="45">
        <f>SUMIFS($D$21:HD21,$D$6:HD6,(KPI!HD8-'Info Sheet'!$D$22)+1)</f>
        <v>0</v>
      </c>
      <c r="HE23" s="45">
        <f>SUMIFS($D$21:HE21,$D$6:HE6,(KPI!HE8-'Info Sheet'!$D$22)+1)</f>
        <v>0</v>
      </c>
      <c r="HF23" s="45">
        <f>SUMIFS($D$21:HF21,$D$6:HF6,(KPI!HF8-'Info Sheet'!$D$22)+1)</f>
        <v>0</v>
      </c>
      <c r="HG23" s="45">
        <f>SUMIFS($D$21:HG21,$D$6:HG6,(KPI!HG8-'Info Sheet'!$D$22)+1)</f>
        <v>0</v>
      </c>
      <c r="HH23" s="45">
        <f>SUMIFS($D$21:HH21,$D$6:HH6,(KPI!HH8-'Info Sheet'!$D$22)+1)</f>
        <v>0</v>
      </c>
      <c r="HI23" s="45">
        <f>SUMIFS($D$21:HI21,$D$6:HI6,(KPI!HI8-'Info Sheet'!$D$22)+1)</f>
        <v>0</v>
      </c>
      <c r="HJ23" s="45">
        <f>SUMIFS($D$21:HJ21,$D$6:HJ6,(KPI!HJ8-'Info Sheet'!$D$22)+1)</f>
        <v>0</v>
      </c>
      <c r="HK23" s="45">
        <f>SUMIFS($D$21:HK21,$D$6:HK6,(KPI!HK8-'Info Sheet'!$D$22)+1)</f>
        <v>0</v>
      </c>
      <c r="HL23" s="45">
        <f>SUMIFS($D$21:HL21,$D$6:HL6,(KPI!HL8-'Info Sheet'!$D$22)+1)</f>
        <v>0</v>
      </c>
      <c r="HM23" s="45">
        <f>SUMIFS($D$21:HM21,$D$6:HM6,(KPI!HM8-'Info Sheet'!$D$22)+1)</f>
        <v>0</v>
      </c>
      <c r="HN23" s="45">
        <f>SUMIFS($D$21:HN21,$D$6:HN6,(KPI!HN8-'Info Sheet'!$D$22)+1)</f>
        <v>0</v>
      </c>
      <c r="HO23" s="45">
        <f>SUMIFS($D$21:HO21,$D$6:HO6,(KPI!HO8-'Info Sheet'!$D$22)+1)</f>
        <v>0</v>
      </c>
      <c r="HP23" s="45">
        <f>SUMIFS($D$21:HP21,$D$6:HP6,(KPI!HP8-'Info Sheet'!$D$22)+1)</f>
        <v>0</v>
      </c>
      <c r="HQ23" s="45">
        <f>SUMIFS($D$21:HQ21,$D$6:HQ6,(KPI!HQ8-'Info Sheet'!$D$22)+1)</f>
        <v>0</v>
      </c>
      <c r="HR23" s="45">
        <f>SUMIFS($D$21:HR21,$D$6:HR6,(KPI!HR8-'Info Sheet'!$D$22)+1)</f>
        <v>0</v>
      </c>
      <c r="HS23" s="45">
        <f>SUMIFS($D$21:HS21,$D$6:HS6,(KPI!HS8-'Info Sheet'!$D$22)+1)</f>
        <v>0</v>
      </c>
      <c r="HT23" s="45">
        <f>SUMIFS($D$21:HT21,$D$6:HT6,(KPI!HT8-'Info Sheet'!$D$22)+1)</f>
        <v>0</v>
      </c>
      <c r="HU23" s="45">
        <f>SUMIFS($D$21:HU21,$D$6:HU6,(KPI!HU8-'Info Sheet'!$D$22)+1)</f>
        <v>0</v>
      </c>
      <c r="HV23" s="45">
        <f>SUMIFS($D$21:HV21,$D$6:HV6,(KPI!HV8-'Info Sheet'!$D$22)+1)</f>
        <v>0</v>
      </c>
      <c r="HW23" s="45">
        <f>SUMIFS($D$21:HW21,$D$6:HW6,(KPI!HW8-'Info Sheet'!$D$22)+1)</f>
        <v>0</v>
      </c>
      <c r="HX23" s="45">
        <f>SUMIFS($D$21:HX21,$D$6:HX6,(KPI!HX8-'Info Sheet'!$D$22)+1)</f>
        <v>0</v>
      </c>
      <c r="HY23" s="45">
        <f>SUMIFS($D$21:HY21,$D$6:HY6,(KPI!HY8-'Info Sheet'!$D$22)+1)</f>
        <v>0</v>
      </c>
      <c r="HZ23" s="45">
        <f>SUMIFS($D$21:HZ21,$D$6:HZ6,(KPI!HZ8-'Info Sheet'!$D$22)+1)</f>
        <v>0</v>
      </c>
      <c r="IA23" s="45">
        <f>SUMIFS($D$21:IA21,$D$6:IA6,(KPI!IA8-'Info Sheet'!$D$22)+1)</f>
        <v>0</v>
      </c>
      <c r="IB23" s="45">
        <f>SUMIFS($D$21:IB21,$D$6:IB6,(KPI!IB8-'Info Sheet'!$D$22)+1)</f>
        <v>0</v>
      </c>
      <c r="IC23" s="45">
        <f>SUMIFS($D$21:IC21,$D$6:IC6,(KPI!IC8-'Info Sheet'!$D$22)+1)</f>
        <v>0</v>
      </c>
      <c r="ID23" s="45">
        <f>SUMIFS($D$21:ID21,$D$6:ID6,(KPI!ID8-'Info Sheet'!$D$22)+1)</f>
        <v>0</v>
      </c>
      <c r="IE23" s="45">
        <f>SUMIFS($D$21:IE21,$D$6:IE6,(KPI!IE8-'Info Sheet'!$D$22)+1)</f>
        <v>0</v>
      </c>
      <c r="IF23" s="45">
        <f>SUMIFS($D$21:IF21,$D$6:IF6,(KPI!IF8-'Info Sheet'!$D$22)+1)</f>
        <v>0</v>
      </c>
      <c r="IG23" s="45">
        <f>SUMIFS($D$21:IG21,$D$6:IG6,(KPI!IG8-'Info Sheet'!$D$22)+1)</f>
        <v>0</v>
      </c>
      <c r="IH23" s="45">
        <f>SUMIFS($D$21:IH21,$D$6:IH6,(KPI!IH8-'Info Sheet'!$D$22)+1)</f>
        <v>0</v>
      </c>
      <c r="II23" s="45">
        <f>SUMIFS($D$21:II21,$D$6:II6,(KPI!II8-'Info Sheet'!$D$22)+1)</f>
        <v>0</v>
      </c>
      <c r="IJ23" s="45">
        <f>SUMIFS($D$21:IJ21,$D$6:IJ6,(KPI!IJ8-'Info Sheet'!$D$22)+1)</f>
        <v>0</v>
      </c>
      <c r="IK23" s="45">
        <f>SUMIFS($D$21:IK21,$D$6:IK6,(KPI!IK8-'Info Sheet'!$D$22)+1)</f>
        <v>0</v>
      </c>
      <c r="IL23" s="45">
        <f>SUMIFS($D$21:IL21,$D$6:IL6,(KPI!IL8-'Info Sheet'!$D$22)+1)</f>
        <v>0</v>
      </c>
      <c r="IM23" s="45">
        <f>SUMIFS($D$21:IM21,$D$6:IM6,(KPI!IM8-'Info Sheet'!$D$22)+1)</f>
        <v>0</v>
      </c>
      <c r="IN23" s="45">
        <f>SUMIFS($D$21:IN21,$D$6:IN6,(KPI!IN8-'Info Sheet'!$D$22)+1)</f>
        <v>0</v>
      </c>
      <c r="IO23" s="45">
        <f>SUMIFS($D$21:IO21,$D$6:IO6,(KPI!IO8-'Info Sheet'!$D$22)+1)</f>
        <v>0</v>
      </c>
      <c r="IP23" s="45">
        <f>SUMIFS($D$21:IP21,$D$6:IP6,(KPI!IP8-'Info Sheet'!$D$22)+1)</f>
        <v>0</v>
      </c>
      <c r="IQ23" s="45">
        <f>SUMIFS($D$21:IQ21,$D$6:IQ6,(KPI!IQ8-'Info Sheet'!$D$22)+1)</f>
        <v>0</v>
      </c>
      <c r="IR23" s="45">
        <f>SUMIFS($D$21:IR21,$D$6:IR6,(KPI!IR8-'Info Sheet'!$D$22)+1)</f>
        <v>0</v>
      </c>
      <c r="IS23" s="45">
        <f>SUMIFS($D$21:IS21,$D$6:IS6,(KPI!IS8-'Info Sheet'!$D$22)+1)</f>
        <v>0</v>
      </c>
      <c r="IT23" s="45">
        <f>SUMIFS($D$21:IT21,$D$6:IT6,(KPI!IT8-'Info Sheet'!$D$22)+1)</f>
        <v>0</v>
      </c>
      <c r="IU23" s="45">
        <f>SUMIFS($D$21:IU21,$D$6:IU6,(KPI!IU8-'Info Sheet'!$D$22)+1)</f>
        <v>0</v>
      </c>
      <c r="IV23" s="45">
        <f>SUMIFS($D$21:IV21,$D$6:IV6,(KPI!IV8-'Info Sheet'!$D$22)+1)</f>
        <v>0</v>
      </c>
      <c r="IW23" s="45">
        <f>SUMIFS($D$21:IW21,$D$6:IW6,(KPI!IW8-'Info Sheet'!$D$22)+1)</f>
        <v>0</v>
      </c>
      <c r="IX23" s="45">
        <f>SUMIFS($D$21:IX21,$D$6:IX6,(KPI!IX8-'Info Sheet'!$D$22)+1)</f>
        <v>0</v>
      </c>
      <c r="IY23" s="45">
        <f>SUMIFS($D$21:IY21,$D$6:IY6,(KPI!IY8-'Info Sheet'!$D$22)+1)</f>
        <v>0</v>
      </c>
      <c r="IZ23" s="45">
        <f>SUMIFS($D$21:IZ21,$D$6:IZ6,(KPI!IZ8-'Info Sheet'!$D$22)+1)</f>
        <v>0</v>
      </c>
      <c r="JA23" s="45">
        <f>SUMIFS($D$21:JA21,$D$6:JA6,(KPI!JA8-'Info Sheet'!$D$22)+1)</f>
        <v>0</v>
      </c>
      <c r="JB23" s="45">
        <f>SUMIFS($D$21:JB21,$D$6:JB6,(KPI!JB8-'Info Sheet'!$D$22)+1)</f>
        <v>0</v>
      </c>
      <c r="JC23" s="45">
        <f>SUMIFS($D$21:JC21,$D$6:JC6,(KPI!JC8-'Info Sheet'!$D$22)+1)</f>
        <v>0</v>
      </c>
      <c r="JD23" s="45">
        <f>SUMIFS($D$21:JD21,$D$6:JD6,(KPI!JD8-'Info Sheet'!$D$22)+1)</f>
        <v>0</v>
      </c>
      <c r="JE23" s="45">
        <f>SUMIFS($D$21:JE21,$D$6:JE6,(KPI!JE8-'Info Sheet'!$D$22)+1)</f>
        <v>0</v>
      </c>
      <c r="JF23" s="45">
        <f>SUMIFS($D$21:JF21,$D$6:JF6,(KPI!JF8-'Info Sheet'!$D$22)+1)</f>
        <v>0</v>
      </c>
      <c r="JG23" s="45">
        <f>SUMIFS($D$21:JG21,$D$6:JG6,(KPI!JG8-'Info Sheet'!$D$22)+1)</f>
        <v>0</v>
      </c>
      <c r="JH23" s="45">
        <f>SUMIFS($D$21:JH21,$D$6:JH6,(KPI!JH8-'Info Sheet'!$D$22)+1)</f>
        <v>0</v>
      </c>
      <c r="JI23" s="45">
        <f>SUMIFS($D$21:JI21,$D$6:JI6,(KPI!JI8-'Info Sheet'!$D$22)+1)</f>
        <v>0</v>
      </c>
      <c r="JJ23" s="45">
        <f>SUMIFS($D$21:JJ21,$D$6:JJ6,(KPI!JJ8-'Info Sheet'!$D$22)+1)</f>
        <v>0</v>
      </c>
      <c r="JK23" s="45">
        <f>SUMIFS($D$21:JK21,$D$6:JK6,(KPI!JK8-'Info Sheet'!$D$22)+1)</f>
        <v>0</v>
      </c>
      <c r="JL23" s="45">
        <f>SUMIFS($D$21:JL21,$D$6:JL6,(KPI!JL8-'Info Sheet'!$D$22)+1)</f>
        <v>0</v>
      </c>
      <c r="JM23" s="45">
        <f>SUMIFS($D$21:JM21,$D$6:JM6,(KPI!JM8-'Info Sheet'!$D$22)+1)</f>
        <v>0</v>
      </c>
      <c r="JN23" s="45">
        <f>SUMIFS($D$21:JN21,$D$6:JN6,(KPI!JN8-'Info Sheet'!$D$22)+1)</f>
        <v>0</v>
      </c>
      <c r="JO23" s="45">
        <f>SUMIFS($D$21:JO21,$D$6:JO6,(KPI!JO8-'Info Sheet'!$D$22)+1)</f>
        <v>0</v>
      </c>
      <c r="JP23" s="45">
        <f>SUMIFS($D$21:JP21,$D$6:JP6,(KPI!JP8-'Info Sheet'!$D$22)+1)</f>
        <v>0</v>
      </c>
      <c r="JQ23" s="45">
        <f>SUMIFS($D$21:JQ21,$D$6:JQ6,(KPI!JQ8-'Info Sheet'!$D$22)+1)</f>
        <v>0</v>
      </c>
      <c r="JR23" s="45">
        <f>SUMIFS($D$21:JR21,$D$6:JR6,(KPI!JR8-'Info Sheet'!$D$22)+1)</f>
        <v>0</v>
      </c>
      <c r="JS23" s="45">
        <f>SUMIFS($D$21:JS21,$D$6:JS6,(KPI!JS8-'Info Sheet'!$D$22)+1)</f>
        <v>0</v>
      </c>
      <c r="JT23" s="45">
        <f>SUMIFS($D$21:JT21,$D$6:JT6,(KPI!JT8-'Info Sheet'!$D$22)+1)</f>
        <v>0</v>
      </c>
      <c r="JU23" s="45">
        <f>SUMIFS($D$21:JU21,$D$6:JU6,(KPI!JU8-'Info Sheet'!$D$22)+1)</f>
        <v>0</v>
      </c>
      <c r="JV23" s="45">
        <f>SUMIFS($D$21:JV21,$D$6:JV6,(KPI!JV8-'Info Sheet'!$D$22)+1)</f>
        <v>0</v>
      </c>
      <c r="JW23" s="45">
        <f>SUMIFS($D$21:JW21,$D$6:JW6,(KPI!JW8-'Info Sheet'!$D$22)+1)</f>
        <v>0</v>
      </c>
      <c r="JX23" s="45">
        <f>SUMIFS($D$21:JX21,$D$6:JX6,(KPI!JX8-'Info Sheet'!$D$22)+1)</f>
        <v>0</v>
      </c>
      <c r="JY23" s="45">
        <f>SUMIFS($D$21:JY21,$D$6:JY6,(KPI!JY8-'Info Sheet'!$D$22)+1)</f>
        <v>0</v>
      </c>
      <c r="JZ23" s="45">
        <f>SUMIFS($D$21:JZ21,$D$6:JZ6,(KPI!JZ8-'Info Sheet'!$D$22)+1)</f>
        <v>0</v>
      </c>
      <c r="KA23" s="45">
        <f>SUMIFS($D$21:KA21,$D$6:KA6,(KPI!KA8-'Info Sheet'!$D$22)+1)</f>
        <v>0</v>
      </c>
      <c r="KB23" s="45">
        <f>SUMIFS($D$21:KB21,$D$6:KB6,(KPI!KB8-'Info Sheet'!$D$22)+1)</f>
        <v>0</v>
      </c>
      <c r="KC23" s="45">
        <f>SUMIFS($D$21:KC21,$D$6:KC6,(KPI!KC8-'Info Sheet'!$D$22)+1)</f>
        <v>0</v>
      </c>
      <c r="KD23" s="45">
        <f>SUMIFS($D$21:KD21,$D$6:KD6,(KPI!KD8-'Info Sheet'!$D$22)+1)</f>
        <v>0</v>
      </c>
      <c r="KE23" s="45">
        <f>SUMIFS($D$21:KE21,$D$6:KE6,(KPI!KE8-'Info Sheet'!$D$22)+1)</f>
        <v>0</v>
      </c>
      <c r="KF23" s="45">
        <f>SUMIFS($D$21:KF21,$D$6:KF6,(KPI!KF8-'Info Sheet'!$D$22)+1)</f>
        <v>0</v>
      </c>
      <c r="KG23" s="45">
        <f>SUMIFS($D$21:KG21,$D$6:KG6,(KPI!KG8-'Info Sheet'!$D$22)+1)</f>
        <v>0</v>
      </c>
      <c r="KH23" s="45">
        <f>SUMIFS($D$21:KH21,$D$6:KH6,(KPI!KH8-'Info Sheet'!$D$22)+1)</f>
        <v>0</v>
      </c>
      <c r="KI23" s="45">
        <f>SUMIFS($D$21:KI21,$D$6:KI6,(KPI!KI8-'Info Sheet'!$D$22)+1)</f>
        <v>0</v>
      </c>
      <c r="KJ23" s="45">
        <f>SUMIFS($D$21:KJ21,$D$6:KJ6,(KPI!KJ8-'Info Sheet'!$D$22)+1)</f>
        <v>0</v>
      </c>
      <c r="KK23" s="45">
        <f>SUMIFS($D$21:KK21,$D$6:KK6,(KPI!KK8-'Info Sheet'!$D$22)+1)</f>
        <v>0</v>
      </c>
      <c r="KL23" s="45">
        <f>SUMIFS($D$21:KL21,$D$6:KL6,(KPI!KL8-'Info Sheet'!$D$22)+1)</f>
        <v>0</v>
      </c>
      <c r="KM23" s="45">
        <f>SUMIFS($D$21:KM21,$D$6:KM6,(KPI!KM8-'Info Sheet'!$D$22)+1)</f>
        <v>0</v>
      </c>
      <c r="KN23" s="45">
        <f>SUMIFS($D$21:KN21,$D$6:KN6,(KPI!KN8-'Info Sheet'!$D$22)+1)</f>
        <v>0</v>
      </c>
      <c r="KO23" s="45">
        <f>SUMIFS($D$21:KO21,$D$6:KO6,(KPI!KO8-'Info Sheet'!$D$22)+1)</f>
        <v>0</v>
      </c>
      <c r="KP23" s="45">
        <f>SUMIFS($D$21:KP21,$D$6:KP6,(KPI!KP8-'Info Sheet'!$D$22)+1)</f>
        <v>0</v>
      </c>
      <c r="KQ23" s="45">
        <f>SUMIFS($D$21:KQ21,$D$6:KQ6,(KPI!KQ8-'Info Sheet'!$D$22)+1)</f>
        <v>0</v>
      </c>
      <c r="KR23" s="45">
        <f>SUMIFS($D$21:KR21,$D$6:KR6,(KPI!KR8-'Info Sheet'!$D$22)+1)</f>
        <v>0</v>
      </c>
      <c r="KS23" s="45">
        <f>SUMIFS($D$21:KS21,$D$6:KS6,(KPI!KS8-'Info Sheet'!$D$22)+1)</f>
        <v>0</v>
      </c>
      <c r="KT23" s="45">
        <f>SUMIFS($D$21:KT21,$D$6:KT6,(KPI!KT8-'Info Sheet'!$D$22)+1)</f>
        <v>0</v>
      </c>
      <c r="KU23" s="45">
        <f>SUMIFS($D$21:KU21,$D$6:KU6,(KPI!KU8-'Info Sheet'!$D$22)+1)</f>
        <v>0</v>
      </c>
      <c r="KV23" s="45">
        <f>SUMIFS($D$21:KV21,$D$6:KV6,(KPI!KV8-'Info Sheet'!$D$22)+1)</f>
        <v>0</v>
      </c>
      <c r="KW23" s="45">
        <f>SUMIFS($D$21:KW21,$D$6:KW6,(KPI!KW8-'Info Sheet'!$D$22)+1)</f>
        <v>0</v>
      </c>
      <c r="KX23" s="45">
        <f>SUMIFS($D$21:KX21,$D$6:KX6,(KPI!KX8-'Info Sheet'!$D$22)+1)</f>
        <v>0</v>
      </c>
      <c r="KY23" s="45">
        <f>SUMIFS($D$21:KY21,$D$6:KY6,(KPI!KY8-'Info Sheet'!$D$22)+1)</f>
        <v>0</v>
      </c>
      <c r="KZ23" s="45">
        <f>SUMIFS($D$21:KZ21,$D$6:KZ6,(KPI!KZ8-'Info Sheet'!$D$22)+1)</f>
        <v>0</v>
      </c>
      <c r="LA23" s="45">
        <f>SUMIFS($D$21:LA21,$D$6:LA6,(KPI!LA8-'Info Sheet'!$D$22)+1)</f>
        <v>0</v>
      </c>
      <c r="LB23" s="45">
        <f>SUMIFS($D$21:LB21,$D$6:LB6,(KPI!LB8-'Info Sheet'!$D$22)+1)</f>
        <v>0</v>
      </c>
      <c r="LC23" s="45">
        <f>SUMIFS($D$21:LC21,$D$6:LC6,(KPI!LC8-'Info Sheet'!$D$22)+1)</f>
        <v>0</v>
      </c>
      <c r="LD23" s="45">
        <f>SUMIFS($D$21:LD21,$D$6:LD6,(KPI!LD8-'Info Sheet'!$D$22)+1)</f>
        <v>0</v>
      </c>
      <c r="LE23" s="45">
        <f>SUMIFS($D$21:LE21,$D$6:LE6,(KPI!LE8-'Info Sheet'!$D$22)+1)</f>
        <v>0</v>
      </c>
      <c r="LF23" s="45">
        <f>SUMIFS($D$21:LF21,$D$6:LF6,(KPI!LF8-'Info Sheet'!$D$22)+1)</f>
        <v>0</v>
      </c>
      <c r="LG23" s="45">
        <f>SUMIFS($D$21:LG21,$D$6:LG6,(KPI!LG8-'Info Sheet'!$D$22)+1)</f>
        <v>0</v>
      </c>
      <c r="LH23" s="45">
        <f>SUMIFS($D$21:LH21,$D$6:LH6,(KPI!LH8-'Info Sheet'!$D$22)+1)</f>
        <v>0</v>
      </c>
      <c r="LI23" s="45">
        <f>SUMIFS($D$21:LI21,$D$6:LI6,(KPI!LI8-'Info Sheet'!$D$22)+1)</f>
        <v>0</v>
      </c>
      <c r="LJ23" s="45">
        <f>SUMIFS($D$21:LJ21,$D$6:LJ6,(KPI!LJ8-'Info Sheet'!$D$22)+1)</f>
        <v>0</v>
      </c>
      <c r="LK23" s="45">
        <f>SUMIFS($D$21:LK21,$D$6:LK6,(KPI!LK8-'Info Sheet'!$D$22)+1)</f>
        <v>0</v>
      </c>
      <c r="LL23" s="45">
        <f>SUMIFS($D$21:LL21,$D$6:LL6,(KPI!LL8-'Info Sheet'!$D$22)+1)</f>
        <v>0</v>
      </c>
      <c r="LM23" s="45">
        <f>SUMIFS($D$21:LM21,$D$6:LM6,(KPI!LM8-'Info Sheet'!$D$22)+1)</f>
        <v>0</v>
      </c>
      <c r="LN23" s="45">
        <f>SUMIFS($D$21:LN21,$D$6:LN6,(KPI!LN8-'Info Sheet'!$D$22)+1)</f>
        <v>0</v>
      </c>
      <c r="LO23" s="45">
        <f>SUMIFS($D$21:LO21,$D$6:LO6,(KPI!LO8-'Info Sheet'!$D$22)+1)</f>
        <v>0</v>
      </c>
      <c r="LP23" s="45">
        <f>SUMIFS($D$21:LP21,$D$6:LP6,(KPI!LP8-'Info Sheet'!$D$22)+1)</f>
        <v>0</v>
      </c>
      <c r="LQ23" s="45">
        <f>SUMIFS($D$21:LQ21,$D$6:LQ6,(KPI!LQ8-'Info Sheet'!$D$22)+1)</f>
        <v>0</v>
      </c>
      <c r="LR23" s="45">
        <f>SUMIFS($D$21:LR21,$D$6:LR6,(KPI!LR8-'Info Sheet'!$D$22)+1)</f>
        <v>0</v>
      </c>
      <c r="LS23" s="45">
        <f>SUMIFS($D$21:LS21,$D$6:LS6,(KPI!LS8-'Info Sheet'!$D$22)+1)</f>
        <v>0</v>
      </c>
      <c r="LT23" s="45">
        <f>SUMIFS($D$21:LT21,$D$6:LT6,(KPI!LT8-'Info Sheet'!$D$22)+1)</f>
        <v>0</v>
      </c>
      <c r="LU23" s="45">
        <f>SUMIFS($D$21:LU21,$D$6:LU6,(KPI!LU8-'Info Sheet'!$D$22)+1)</f>
        <v>0</v>
      </c>
      <c r="LV23" s="45">
        <f>SUMIFS($D$21:LV21,$D$6:LV6,(KPI!LV8-'Info Sheet'!$D$22)+1)</f>
        <v>0</v>
      </c>
      <c r="LW23" s="45">
        <f>SUMIFS($D$21:LW21,$D$6:LW6,(KPI!LW8-'Info Sheet'!$D$22)+1)</f>
        <v>0</v>
      </c>
      <c r="LX23" s="45">
        <f>SUMIFS($D$21:LX21,$D$6:LX6,(KPI!LX8-'Info Sheet'!$D$22)+1)</f>
        <v>0</v>
      </c>
      <c r="LY23" s="45">
        <f>SUMIFS($D$21:LY21,$D$6:LY6,(KPI!LY8-'Info Sheet'!$D$22)+1)</f>
        <v>0</v>
      </c>
      <c r="MA23" s="6"/>
    </row>
    <row r="24" spans="2:339">
      <c r="B24" s="147"/>
      <c r="C24" s="51" t="s">
        <v>52</v>
      </c>
      <c r="E24" s="1" t="str">
        <f>IFERROR(((E23/E12)*1000000*E4),"-")</f>
        <v>-</v>
      </c>
      <c r="F24" s="1" t="str">
        <f t="shared" ref="F24:Q24" si="641">IFERROR(((F23/F12)*1000000*F4),"-")</f>
        <v>-</v>
      </c>
      <c r="G24" s="1" t="str">
        <f t="shared" si="641"/>
        <v>-</v>
      </c>
      <c r="H24" s="1" t="str">
        <f t="shared" si="641"/>
        <v>-</v>
      </c>
      <c r="I24" s="1" t="str">
        <f t="shared" si="641"/>
        <v>-</v>
      </c>
      <c r="J24" s="1" t="str">
        <f t="shared" si="641"/>
        <v>-</v>
      </c>
      <c r="K24" s="1" t="str">
        <f t="shared" si="641"/>
        <v>-</v>
      </c>
      <c r="L24" s="1" t="str">
        <f t="shared" si="641"/>
        <v>-</v>
      </c>
      <c r="M24" s="1" t="str">
        <f t="shared" si="641"/>
        <v>-</v>
      </c>
      <c r="N24" s="1" t="str">
        <f t="shared" si="641"/>
        <v>-</v>
      </c>
      <c r="O24" s="1" t="str">
        <f t="shared" si="641"/>
        <v>-</v>
      </c>
      <c r="P24" s="1" t="str">
        <f t="shared" si="641"/>
        <v>-</v>
      </c>
      <c r="Q24" s="1" t="str">
        <f t="shared" si="641"/>
        <v>-</v>
      </c>
      <c r="R24" s="1" t="str">
        <f t="shared" ref="R24" si="642">IFERROR(((R23/R12)*1000000*R4),"-")</f>
        <v>-</v>
      </c>
      <c r="S24" s="1" t="str">
        <f t="shared" ref="S24" si="643">IFERROR(((S23/S12)*1000000*S4),"-")</f>
        <v>-</v>
      </c>
      <c r="T24" s="1" t="str">
        <f t="shared" ref="T24" si="644">IFERROR(((T23/T12)*1000000*T4),"-")</f>
        <v>-</v>
      </c>
      <c r="U24" s="1" t="str">
        <f t="shared" ref="U24" si="645">IFERROR(((U23/U12)*1000000*U4),"-")</f>
        <v>-</v>
      </c>
      <c r="V24" s="1" t="str">
        <f t="shared" ref="V24" si="646">IFERROR(((V23/V12)*1000000*V4),"-")</f>
        <v>-</v>
      </c>
      <c r="W24" s="1" t="str">
        <f t="shared" ref="W24" si="647">IFERROR(((W23/W12)*1000000*W4),"-")</f>
        <v>-</v>
      </c>
      <c r="X24" s="1" t="str">
        <f t="shared" ref="X24" si="648">IFERROR(((X23/X12)*1000000*X4),"-")</f>
        <v>-</v>
      </c>
      <c r="Y24" s="1" t="str">
        <f t="shared" ref="Y24" si="649">IFERROR(((Y23/Y12)*1000000*Y4),"-")</f>
        <v>-</v>
      </c>
      <c r="Z24" s="1" t="str">
        <f t="shared" ref="Z24" si="650">IFERROR(((Z23/Z12)*1000000*Z4),"-")</f>
        <v>-</v>
      </c>
      <c r="AA24" s="1" t="str">
        <f t="shared" ref="AA24" si="651">IFERROR(((AA23/AA12)*1000000*AA4),"-")</f>
        <v>-</v>
      </c>
      <c r="AB24" s="1" t="str">
        <f t="shared" ref="AB24" si="652">IFERROR(((AB23/AB12)*1000000*AB4),"-")</f>
        <v>-</v>
      </c>
      <c r="AC24" s="1" t="str">
        <f t="shared" ref="AC24" si="653">IFERROR(((AC23/AC12)*1000000*AC4),"-")</f>
        <v>-</v>
      </c>
      <c r="AD24" s="1" t="str">
        <f t="shared" ref="AD24" si="654">IFERROR(((AD23/AD12)*1000000*AD4),"-")</f>
        <v>-</v>
      </c>
      <c r="AE24" s="1" t="str">
        <f t="shared" ref="AE24" si="655">IFERROR(((AE23/AE12)*1000000*AE4),"-")</f>
        <v>-</v>
      </c>
      <c r="AF24" s="1" t="str">
        <f t="shared" ref="AF24" si="656">IFERROR(((AF23/AF12)*1000000*AF4),"-")</f>
        <v>-</v>
      </c>
      <c r="AG24" s="1" t="str">
        <f t="shared" ref="AG24" si="657">IFERROR(((AG23/AG12)*1000000*AG4),"-")</f>
        <v>-</v>
      </c>
      <c r="AH24" s="1" t="str">
        <f t="shared" ref="AH24" si="658">IFERROR(((AH23/AH12)*1000000*AH4),"-")</f>
        <v>-</v>
      </c>
      <c r="AI24" s="1" t="str">
        <f t="shared" ref="AI24" si="659">IFERROR(((AI23/AI12)*1000000*AI4),"-")</f>
        <v>-</v>
      </c>
      <c r="AJ24" s="1" t="str">
        <f t="shared" ref="AJ24" si="660">IFERROR(((AJ23/AJ12)*1000000*AJ4),"-")</f>
        <v>-</v>
      </c>
      <c r="AK24" s="1" t="str">
        <f t="shared" ref="AK24" si="661">IFERROR(((AK23/AK12)*1000000*AK4),"-")</f>
        <v>-</v>
      </c>
      <c r="AL24" s="1" t="str">
        <f t="shared" ref="AL24" si="662">IFERROR(((AL23/AL12)*1000000*AL4),"-")</f>
        <v>-</v>
      </c>
      <c r="AM24" s="1" t="str">
        <f t="shared" ref="AM24" si="663">IFERROR(((AM23/AM12)*1000000*AM4),"-")</f>
        <v>-</v>
      </c>
      <c r="AN24" s="1" t="str">
        <f t="shared" ref="AN24" si="664">IFERROR(((AN23/AN12)*1000000*AN4),"-")</f>
        <v>-</v>
      </c>
      <c r="AO24" s="1" t="str">
        <f t="shared" ref="AO24" si="665">IFERROR(((AO23/AO12)*1000000*AO4),"-")</f>
        <v>-</v>
      </c>
      <c r="AP24" s="1" t="str">
        <f t="shared" ref="AP24" si="666">IFERROR(((AP23/AP12)*1000000*AP4),"-")</f>
        <v>-</v>
      </c>
      <c r="AQ24" s="1" t="str">
        <f t="shared" ref="AQ24" si="667">IFERROR(((AQ23/AQ12)*1000000*AQ4),"-")</f>
        <v>-</v>
      </c>
      <c r="AR24" s="1" t="str">
        <f t="shared" ref="AR24" si="668">IFERROR(((AR23/AR12)*1000000*AR4),"-")</f>
        <v>-</v>
      </c>
      <c r="AS24" s="1" t="str">
        <f t="shared" ref="AS24" si="669">IFERROR(((AS23/AS12)*1000000*AS4),"-")</f>
        <v>-</v>
      </c>
      <c r="AT24" s="1" t="str">
        <f t="shared" ref="AT24" si="670">IFERROR(((AT23/AT12)*1000000*AT4),"-")</f>
        <v>-</v>
      </c>
      <c r="AU24" s="1" t="str">
        <f t="shared" ref="AU24" si="671">IFERROR(((AU23/AU12)*1000000*AU4),"-")</f>
        <v>-</v>
      </c>
      <c r="AV24" s="1" t="str">
        <f t="shared" ref="AV24" si="672">IFERROR(((AV23/AV12)*1000000*AV4),"-")</f>
        <v>-</v>
      </c>
      <c r="AW24" s="1" t="str">
        <f t="shared" ref="AW24" si="673">IFERROR(((AW23/AW12)*1000000*AW4),"-")</f>
        <v>-</v>
      </c>
      <c r="AX24" s="1" t="str">
        <f t="shared" ref="AX24" si="674">IFERROR(((AX23/AX12)*1000000*AX4),"-")</f>
        <v>-</v>
      </c>
      <c r="AY24" s="1" t="str">
        <f t="shared" ref="AY24" si="675">IFERROR(((AY23/AY12)*1000000*AY4),"-")</f>
        <v>-</v>
      </c>
      <c r="AZ24" s="1" t="str">
        <f t="shared" ref="AZ24" si="676">IFERROR(((AZ23/AZ12)*1000000*AZ4),"-")</f>
        <v>-</v>
      </c>
      <c r="BA24" s="1" t="str">
        <f t="shared" ref="BA24" si="677">IFERROR(((BA23/BA12)*1000000*BA4),"-")</f>
        <v>-</v>
      </c>
      <c r="BB24" s="1" t="str">
        <f t="shared" ref="BB24" si="678">IFERROR(((BB23/BB12)*1000000*BB4),"-")</f>
        <v>-</v>
      </c>
      <c r="BC24" s="1" t="str">
        <f t="shared" ref="BC24" si="679">IFERROR(((BC23/BC12)*1000000*BC4),"-")</f>
        <v>-</v>
      </c>
      <c r="BD24" s="1" t="str">
        <f t="shared" ref="BD24" si="680">IFERROR(((BD23/BD12)*1000000*BD4),"-")</f>
        <v>-</v>
      </c>
      <c r="BE24" s="1" t="str">
        <f t="shared" ref="BE24" si="681">IFERROR(((BE23/BE12)*1000000*BE4),"-")</f>
        <v>-</v>
      </c>
      <c r="BF24" s="1" t="str">
        <f t="shared" ref="BF24" si="682">IFERROR(((BF23/BF12)*1000000*BF4),"-")</f>
        <v>-</v>
      </c>
      <c r="BG24" s="1" t="str">
        <f t="shared" ref="BG24" si="683">IFERROR(((BG23/BG12)*1000000*BG4),"-")</f>
        <v>-</v>
      </c>
      <c r="BH24" s="1" t="str">
        <f t="shared" ref="BH24" si="684">IFERROR(((BH23/BH12)*1000000*BH4),"-")</f>
        <v>-</v>
      </c>
      <c r="BI24" s="1" t="str">
        <f t="shared" ref="BI24" si="685">IFERROR(((BI23/BI12)*1000000*BI4),"-")</f>
        <v>-</v>
      </c>
      <c r="BJ24" s="1" t="str">
        <f t="shared" ref="BJ24" si="686">IFERROR(((BJ23/BJ12)*1000000*BJ4),"-")</f>
        <v>-</v>
      </c>
      <c r="BK24" s="1" t="str">
        <f t="shared" ref="BK24" si="687">IFERROR(((BK23/BK12)*1000000*BK4),"-")</f>
        <v>-</v>
      </c>
      <c r="BL24" s="1" t="str">
        <f t="shared" ref="BL24" si="688">IFERROR(((BL23/BL12)*1000000*BL4),"-")</f>
        <v>-</v>
      </c>
      <c r="BM24" s="1" t="str">
        <f t="shared" ref="BM24" si="689">IFERROR(((BM23/BM12)*1000000*BM4),"-")</f>
        <v>-</v>
      </c>
      <c r="BN24" s="1" t="str">
        <f t="shared" ref="BN24" si="690">IFERROR(((BN23/BN12)*1000000*BN4),"-")</f>
        <v>-</v>
      </c>
      <c r="BO24" s="1" t="str">
        <f t="shared" ref="BO24" si="691">IFERROR(((BO23/BO12)*1000000*BO4),"-")</f>
        <v>-</v>
      </c>
      <c r="BP24" s="1" t="str">
        <f t="shared" ref="BP24" si="692">IFERROR(((BP23/BP12)*1000000*BP4),"-")</f>
        <v>-</v>
      </c>
      <c r="BQ24" s="1" t="str">
        <f t="shared" ref="BQ24" si="693">IFERROR(((BQ23/BQ12)*1000000*BQ4),"-")</f>
        <v>-</v>
      </c>
      <c r="BR24" s="1" t="str">
        <f t="shared" ref="BR24" si="694">IFERROR(((BR23/BR12)*1000000*BR4),"-")</f>
        <v>-</v>
      </c>
      <c r="BS24" s="1" t="str">
        <f t="shared" ref="BS24" si="695">IFERROR(((BS23/BS12)*1000000*BS4),"-")</f>
        <v>-</v>
      </c>
      <c r="BT24" s="1" t="str">
        <f t="shared" ref="BT24" si="696">IFERROR(((BT23/BT12)*1000000*BT4),"-")</f>
        <v>-</v>
      </c>
      <c r="BU24" s="1" t="str">
        <f t="shared" ref="BU24" si="697">IFERROR(((BU23/BU12)*1000000*BU4),"-")</f>
        <v>-</v>
      </c>
      <c r="BV24" s="1" t="str">
        <f t="shared" ref="BV24" si="698">IFERROR(((BV23/BV12)*1000000*BV4),"-")</f>
        <v>-</v>
      </c>
      <c r="BW24" s="1" t="str">
        <f t="shared" ref="BW24" si="699">IFERROR(((BW23/BW12)*1000000*BW4),"-")</f>
        <v>-</v>
      </c>
      <c r="BX24" s="1" t="str">
        <f t="shared" ref="BX24" si="700">IFERROR(((BX23/BX12)*1000000*BX4),"-")</f>
        <v>-</v>
      </c>
      <c r="BY24" s="1" t="str">
        <f t="shared" ref="BY24" si="701">IFERROR(((BY23/BY12)*1000000*BY4),"-")</f>
        <v>-</v>
      </c>
      <c r="BZ24" s="1" t="str">
        <f t="shared" ref="BZ24" si="702">IFERROR(((BZ23/BZ12)*1000000*BZ4),"-")</f>
        <v>-</v>
      </c>
      <c r="CA24" s="1" t="str">
        <f t="shared" ref="CA24" si="703">IFERROR(((CA23/CA12)*1000000*CA4),"-")</f>
        <v>-</v>
      </c>
      <c r="CB24" s="1" t="str">
        <f t="shared" ref="CB24" si="704">IFERROR(((CB23/CB12)*1000000*CB4),"-")</f>
        <v>-</v>
      </c>
      <c r="CC24" s="1" t="str">
        <f t="shared" ref="CC24" si="705">IFERROR(((CC23/CC12)*1000000*CC4),"-")</f>
        <v>-</v>
      </c>
      <c r="CD24" s="1" t="str">
        <f t="shared" ref="CD24" si="706">IFERROR(((CD23/CD12)*1000000*CD4),"-")</f>
        <v>-</v>
      </c>
      <c r="CE24" s="1" t="str">
        <f t="shared" ref="CE24" si="707">IFERROR(((CE23/CE12)*1000000*CE4),"-")</f>
        <v>-</v>
      </c>
      <c r="CF24" s="1" t="str">
        <f t="shared" ref="CF24" si="708">IFERROR(((CF23/CF12)*1000000*CF4),"-")</f>
        <v>-</v>
      </c>
      <c r="CG24" s="1" t="str">
        <f t="shared" ref="CG24" si="709">IFERROR(((CG23/CG12)*1000000*CG4),"-")</f>
        <v>-</v>
      </c>
      <c r="CH24" s="1" t="str">
        <f t="shared" ref="CH24" si="710">IFERROR(((CH23/CH12)*1000000*CH4),"-")</f>
        <v>-</v>
      </c>
      <c r="CI24" s="1" t="str">
        <f t="shared" ref="CI24" si="711">IFERROR(((CI23/CI12)*1000000*CI4),"-")</f>
        <v>-</v>
      </c>
      <c r="CJ24" s="1" t="str">
        <f t="shared" ref="CJ24" si="712">IFERROR(((CJ23/CJ12)*1000000*CJ4),"-")</f>
        <v>-</v>
      </c>
      <c r="CK24" s="1" t="str">
        <f t="shared" ref="CK24" si="713">IFERROR(((CK23/CK12)*1000000*CK4),"-")</f>
        <v>-</v>
      </c>
      <c r="CL24" s="1" t="str">
        <f t="shared" ref="CL24" si="714">IFERROR(((CL23/CL12)*1000000*CL4),"-")</f>
        <v>-</v>
      </c>
      <c r="CM24" s="1" t="str">
        <f t="shared" ref="CM24" si="715">IFERROR(((CM23/CM12)*1000000*CM4),"-")</f>
        <v>-</v>
      </c>
      <c r="CN24" s="1" t="str">
        <f t="shared" ref="CN24" si="716">IFERROR(((CN23/CN12)*1000000*CN4),"-")</f>
        <v>-</v>
      </c>
      <c r="CO24" s="1" t="str">
        <f t="shared" ref="CO24" si="717">IFERROR(((CO23/CO12)*1000000*CO4),"-")</f>
        <v>-</v>
      </c>
      <c r="CP24" s="1" t="str">
        <f t="shared" ref="CP24" si="718">IFERROR(((CP23/CP12)*1000000*CP4),"-")</f>
        <v>-</v>
      </c>
      <c r="CQ24" s="1" t="str">
        <f t="shared" ref="CQ24" si="719">IFERROR(((CQ23/CQ12)*1000000*CQ4),"-")</f>
        <v>-</v>
      </c>
      <c r="CR24" s="1" t="str">
        <f t="shared" ref="CR24" si="720">IFERROR(((CR23/CR12)*1000000*CR4),"-")</f>
        <v>-</v>
      </c>
      <c r="CS24" s="1" t="str">
        <f t="shared" ref="CS24" si="721">IFERROR(((CS23/CS12)*1000000*CS4),"-")</f>
        <v>-</v>
      </c>
      <c r="CT24" s="1" t="str">
        <f t="shared" ref="CT24" si="722">IFERROR(((CT23/CT12)*1000000*CT4),"-")</f>
        <v>-</v>
      </c>
      <c r="CU24" s="1" t="str">
        <f t="shared" ref="CU24" si="723">IFERROR(((CU23/CU12)*1000000*CU4),"-")</f>
        <v>-</v>
      </c>
      <c r="CV24" s="1" t="str">
        <f t="shared" ref="CV24" si="724">IFERROR(((CV23/CV12)*1000000*CV4),"-")</f>
        <v>-</v>
      </c>
      <c r="CW24" s="1" t="str">
        <f t="shared" ref="CW24" si="725">IFERROR(((CW23/CW12)*1000000*CW4),"-")</f>
        <v>-</v>
      </c>
      <c r="CX24" s="1" t="str">
        <f t="shared" ref="CX24" si="726">IFERROR(((CX23/CX12)*1000000*CX4),"-")</f>
        <v>-</v>
      </c>
      <c r="CY24" s="1" t="str">
        <f t="shared" ref="CY24" si="727">IFERROR(((CY23/CY12)*1000000*CY4),"-")</f>
        <v>-</v>
      </c>
      <c r="CZ24" s="1" t="str">
        <f t="shared" ref="CZ24" si="728">IFERROR(((CZ23/CZ12)*1000000*CZ4),"-")</f>
        <v>-</v>
      </c>
      <c r="DA24" s="1" t="str">
        <f t="shared" ref="DA24" si="729">IFERROR(((DA23/DA12)*1000000*DA4),"-")</f>
        <v>-</v>
      </c>
      <c r="DB24" s="1" t="str">
        <f t="shared" ref="DB24" si="730">IFERROR(((DB23/DB12)*1000000*DB4),"-")</f>
        <v>-</v>
      </c>
      <c r="DC24" s="1" t="str">
        <f t="shared" ref="DC24" si="731">IFERROR(((DC23/DC12)*1000000*DC4),"-")</f>
        <v>-</v>
      </c>
      <c r="DD24" s="1" t="str">
        <f t="shared" ref="DD24" si="732">IFERROR(((DD23/DD12)*1000000*DD4),"-")</f>
        <v>-</v>
      </c>
      <c r="DE24" s="1" t="str">
        <f t="shared" ref="DE24" si="733">IFERROR(((DE23/DE12)*1000000*DE4),"-")</f>
        <v>-</v>
      </c>
      <c r="DF24" s="1" t="str">
        <f t="shared" ref="DF24" si="734">IFERROR(((DF23/DF12)*1000000*DF4),"-")</f>
        <v>-</v>
      </c>
      <c r="DG24" s="1" t="str">
        <f t="shared" ref="DG24" si="735">IFERROR(((DG23/DG12)*1000000*DG4),"-")</f>
        <v>-</v>
      </c>
      <c r="DH24" s="1" t="str">
        <f t="shared" ref="DH24" si="736">IFERROR(((DH23/DH12)*1000000*DH4),"-")</f>
        <v>-</v>
      </c>
      <c r="DI24" s="1" t="str">
        <f t="shared" ref="DI24" si="737">IFERROR(((DI23/DI12)*1000000*DI4),"-")</f>
        <v>-</v>
      </c>
      <c r="DJ24" s="1" t="str">
        <f t="shared" ref="DJ24" si="738">IFERROR(((DJ23/DJ12)*1000000*DJ4),"-")</f>
        <v>-</v>
      </c>
      <c r="DK24" s="1" t="str">
        <f t="shared" ref="DK24" si="739">IFERROR(((DK23/DK12)*1000000*DK4),"-")</f>
        <v>-</v>
      </c>
      <c r="DL24" s="1" t="str">
        <f t="shared" ref="DL24" si="740">IFERROR(((DL23/DL12)*1000000*DL4),"-")</f>
        <v>-</v>
      </c>
      <c r="DM24" s="1" t="str">
        <f t="shared" ref="DM24" si="741">IFERROR(((DM23/DM12)*1000000*DM4),"-")</f>
        <v>-</v>
      </c>
      <c r="DN24" s="1" t="str">
        <f t="shared" ref="DN24" si="742">IFERROR(((DN23/DN12)*1000000*DN4),"-")</f>
        <v>-</v>
      </c>
      <c r="DO24" s="1" t="str">
        <f t="shared" ref="DO24" si="743">IFERROR(((DO23/DO12)*1000000*DO4),"-")</f>
        <v>-</v>
      </c>
      <c r="DP24" s="1" t="str">
        <f t="shared" ref="DP24" si="744">IFERROR(((DP23/DP12)*1000000*DP4),"-")</f>
        <v>-</v>
      </c>
      <c r="DQ24" s="1" t="str">
        <f t="shared" ref="DQ24" si="745">IFERROR(((DQ23/DQ12)*1000000*DQ4),"-")</f>
        <v>-</v>
      </c>
      <c r="DR24" s="1" t="str">
        <f t="shared" ref="DR24" si="746">IFERROR(((DR23/DR12)*1000000*DR4),"-")</f>
        <v>-</v>
      </c>
      <c r="DS24" s="1" t="str">
        <f t="shared" ref="DS24" si="747">IFERROR(((DS23/DS12)*1000000*DS4),"-")</f>
        <v>-</v>
      </c>
      <c r="DT24" s="1" t="str">
        <f t="shared" ref="DT24" si="748">IFERROR(((DT23/DT12)*1000000*DT4),"-")</f>
        <v>-</v>
      </c>
      <c r="DU24" s="1" t="str">
        <f t="shared" ref="DU24" si="749">IFERROR(((DU23/DU12)*1000000*DU4),"-")</f>
        <v>-</v>
      </c>
      <c r="DV24" s="1" t="str">
        <f t="shared" ref="DV24" si="750">IFERROR(((DV23/DV12)*1000000*DV4),"-")</f>
        <v>-</v>
      </c>
      <c r="DW24" s="1" t="str">
        <f t="shared" ref="DW24" si="751">IFERROR(((DW23/DW12)*1000000*DW4),"-")</f>
        <v>-</v>
      </c>
      <c r="DX24" s="1" t="str">
        <f t="shared" ref="DX24" si="752">IFERROR(((DX23/DX12)*1000000*DX4),"-")</f>
        <v>-</v>
      </c>
      <c r="DY24" s="1" t="str">
        <f t="shared" ref="DY24" si="753">IFERROR(((DY23/DY12)*1000000*DY4),"-")</f>
        <v>-</v>
      </c>
      <c r="DZ24" s="1" t="str">
        <f t="shared" ref="DZ24" si="754">IFERROR(((DZ23/DZ12)*1000000*DZ4),"-")</f>
        <v>-</v>
      </c>
      <c r="EA24" s="1" t="str">
        <f t="shared" ref="EA24" si="755">IFERROR(((EA23/EA12)*1000000*EA4),"-")</f>
        <v>-</v>
      </c>
      <c r="EB24" s="1" t="str">
        <f t="shared" ref="EB24" si="756">IFERROR(((EB23/EB12)*1000000*EB4),"-")</f>
        <v>-</v>
      </c>
      <c r="EC24" s="1" t="str">
        <f t="shared" ref="EC24" si="757">IFERROR(((EC23/EC12)*1000000*EC4),"-")</f>
        <v>-</v>
      </c>
      <c r="ED24" s="1" t="str">
        <f t="shared" ref="ED24" si="758">IFERROR(((ED23/ED12)*1000000*ED4),"-")</f>
        <v>-</v>
      </c>
      <c r="EE24" s="1" t="str">
        <f t="shared" ref="EE24" si="759">IFERROR(((EE23/EE12)*1000000*EE4),"-")</f>
        <v>-</v>
      </c>
      <c r="EF24" s="1" t="str">
        <f t="shared" ref="EF24" si="760">IFERROR(((EF23/EF12)*1000000*EF4),"-")</f>
        <v>-</v>
      </c>
      <c r="EG24" s="1" t="str">
        <f t="shared" ref="EG24" si="761">IFERROR(((EG23/EG12)*1000000*EG4),"-")</f>
        <v>-</v>
      </c>
      <c r="EH24" s="1" t="str">
        <f t="shared" ref="EH24" si="762">IFERROR(((EH23/EH12)*1000000*EH4),"-")</f>
        <v>-</v>
      </c>
      <c r="EI24" s="1" t="str">
        <f t="shared" ref="EI24" si="763">IFERROR(((EI23/EI12)*1000000*EI4),"-")</f>
        <v>-</v>
      </c>
      <c r="EJ24" s="1" t="str">
        <f t="shared" ref="EJ24" si="764">IFERROR(((EJ23/EJ12)*1000000*EJ4),"-")</f>
        <v>-</v>
      </c>
      <c r="EK24" s="1" t="str">
        <f t="shared" ref="EK24" si="765">IFERROR(((EK23/EK12)*1000000*EK4),"-")</f>
        <v>-</v>
      </c>
      <c r="EL24" s="1" t="str">
        <f t="shared" ref="EL24" si="766">IFERROR(((EL23/EL12)*1000000*EL4),"-")</f>
        <v>-</v>
      </c>
      <c r="EM24" s="1" t="str">
        <f t="shared" ref="EM24" si="767">IFERROR(((EM23/EM12)*1000000*EM4),"-")</f>
        <v>-</v>
      </c>
      <c r="EN24" s="1" t="str">
        <f t="shared" ref="EN24" si="768">IFERROR(((EN23/EN12)*1000000*EN4),"-")</f>
        <v>-</v>
      </c>
      <c r="EO24" s="1" t="str">
        <f t="shared" ref="EO24" si="769">IFERROR(((EO23/EO12)*1000000*EO4),"-")</f>
        <v>-</v>
      </c>
      <c r="EP24" s="1" t="str">
        <f t="shared" ref="EP24" si="770">IFERROR(((EP23/EP12)*1000000*EP4),"-")</f>
        <v>-</v>
      </c>
      <c r="EQ24" s="1" t="str">
        <f t="shared" ref="EQ24" si="771">IFERROR(((EQ23/EQ12)*1000000*EQ4),"-")</f>
        <v>-</v>
      </c>
      <c r="ER24" s="1" t="str">
        <f t="shared" ref="ER24" si="772">IFERROR(((ER23/ER12)*1000000*ER4),"-")</f>
        <v>-</v>
      </c>
      <c r="ES24" s="1" t="str">
        <f t="shared" ref="ES24" si="773">IFERROR(((ES23/ES12)*1000000*ES4),"-")</f>
        <v>-</v>
      </c>
      <c r="ET24" s="1" t="str">
        <f t="shared" ref="ET24" si="774">IFERROR(((ET23/ET12)*1000000*ET4),"-")</f>
        <v>-</v>
      </c>
      <c r="EU24" s="1" t="str">
        <f t="shared" ref="EU24" si="775">IFERROR(((EU23/EU12)*1000000*EU4),"-")</f>
        <v>-</v>
      </c>
      <c r="EV24" s="1" t="str">
        <f t="shared" ref="EV24:HG24" si="776">IFERROR(((EV23/EV12)*1000000*EV4),"-")</f>
        <v>-</v>
      </c>
      <c r="EW24" s="1" t="str">
        <f t="shared" si="776"/>
        <v>-</v>
      </c>
      <c r="EX24" s="1" t="str">
        <f t="shared" si="776"/>
        <v>-</v>
      </c>
      <c r="EY24" s="1" t="str">
        <f t="shared" si="776"/>
        <v>-</v>
      </c>
      <c r="EZ24" s="1" t="str">
        <f t="shared" si="776"/>
        <v>-</v>
      </c>
      <c r="FA24" s="1" t="str">
        <f t="shared" si="776"/>
        <v>-</v>
      </c>
      <c r="FB24" s="1" t="str">
        <f t="shared" si="776"/>
        <v>-</v>
      </c>
      <c r="FC24" s="1" t="str">
        <f t="shared" si="776"/>
        <v>-</v>
      </c>
      <c r="FD24" s="1" t="str">
        <f t="shared" si="776"/>
        <v>-</v>
      </c>
      <c r="FE24" s="1" t="str">
        <f t="shared" si="776"/>
        <v>-</v>
      </c>
      <c r="FF24" s="1" t="str">
        <f t="shared" si="776"/>
        <v>-</v>
      </c>
      <c r="FG24" s="1" t="str">
        <f t="shared" si="776"/>
        <v>-</v>
      </c>
      <c r="FH24" s="1" t="str">
        <f t="shared" si="776"/>
        <v>-</v>
      </c>
      <c r="FI24" s="1" t="str">
        <f t="shared" si="776"/>
        <v>-</v>
      </c>
      <c r="FJ24" s="1" t="str">
        <f t="shared" si="776"/>
        <v>-</v>
      </c>
      <c r="FK24" s="1" t="str">
        <f t="shared" si="776"/>
        <v>-</v>
      </c>
      <c r="FL24" s="1" t="str">
        <f t="shared" si="776"/>
        <v>-</v>
      </c>
      <c r="FM24" s="1" t="str">
        <f t="shared" si="776"/>
        <v>-</v>
      </c>
      <c r="FN24" s="1" t="str">
        <f t="shared" si="776"/>
        <v>-</v>
      </c>
      <c r="FO24" s="1" t="str">
        <f t="shared" si="776"/>
        <v>-</v>
      </c>
      <c r="FP24" s="1" t="str">
        <f t="shared" si="776"/>
        <v>-</v>
      </c>
      <c r="FQ24" s="1" t="str">
        <f t="shared" si="776"/>
        <v>-</v>
      </c>
      <c r="FR24" s="1" t="str">
        <f t="shared" si="776"/>
        <v>-</v>
      </c>
      <c r="FS24" s="1" t="str">
        <f t="shared" si="776"/>
        <v>-</v>
      </c>
      <c r="FT24" s="1" t="str">
        <f t="shared" si="776"/>
        <v>-</v>
      </c>
      <c r="FU24" s="1" t="str">
        <f t="shared" si="776"/>
        <v>-</v>
      </c>
      <c r="FV24" s="1" t="str">
        <f t="shared" si="776"/>
        <v>-</v>
      </c>
      <c r="FW24" s="1" t="str">
        <f t="shared" si="776"/>
        <v>-</v>
      </c>
      <c r="FX24" s="1" t="str">
        <f t="shared" si="776"/>
        <v>-</v>
      </c>
      <c r="FY24" s="1" t="str">
        <f t="shared" si="776"/>
        <v>-</v>
      </c>
      <c r="FZ24" s="1" t="str">
        <f t="shared" si="776"/>
        <v>-</v>
      </c>
      <c r="GA24" s="1" t="str">
        <f t="shared" si="776"/>
        <v>-</v>
      </c>
      <c r="GB24" s="1" t="str">
        <f t="shared" si="776"/>
        <v>-</v>
      </c>
      <c r="GC24" s="1" t="str">
        <f t="shared" si="776"/>
        <v>-</v>
      </c>
      <c r="GD24" s="1" t="str">
        <f t="shared" si="776"/>
        <v>-</v>
      </c>
      <c r="GE24" s="1" t="str">
        <f t="shared" si="776"/>
        <v>-</v>
      </c>
      <c r="GF24" s="1" t="str">
        <f t="shared" si="776"/>
        <v>-</v>
      </c>
      <c r="GG24" s="1" t="str">
        <f t="shared" si="776"/>
        <v>-</v>
      </c>
      <c r="GH24" s="1" t="str">
        <f t="shared" si="776"/>
        <v>-</v>
      </c>
      <c r="GI24" s="1" t="str">
        <f t="shared" si="776"/>
        <v>-</v>
      </c>
      <c r="GJ24" s="1" t="str">
        <f t="shared" si="776"/>
        <v>-</v>
      </c>
      <c r="GK24" s="1" t="str">
        <f t="shared" si="776"/>
        <v>-</v>
      </c>
      <c r="GL24" s="1" t="str">
        <f t="shared" si="776"/>
        <v>-</v>
      </c>
      <c r="GM24" s="1" t="str">
        <f t="shared" si="776"/>
        <v>-</v>
      </c>
      <c r="GN24" s="1" t="str">
        <f t="shared" si="776"/>
        <v>-</v>
      </c>
      <c r="GO24" s="1" t="str">
        <f t="shared" si="776"/>
        <v>-</v>
      </c>
      <c r="GP24" s="1" t="str">
        <f t="shared" si="776"/>
        <v>-</v>
      </c>
      <c r="GQ24" s="1" t="str">
        <f t="shared" si="776"/>
        <v>-</v>
      </c>
      <c r="GR24" s="1" t="str">
        <f t="shared" si="776"/>
        <v>-</v>
      </c>
      <c r="GS24" s="1" t="str">
        <f t="shared" si="776"/>
        <v>-</v>
      </c>
      <c r="GT24" s="1" t="str">
        <f t="shared" si="776"/>
        <v>-</v>
      </c>
      <c r="GU24" s="1" t="str">
        <f t="shared" si="776"/>
        <v>-</v>
      </c>
      <c r="GV24" s="1" t="str">
        <f t="shared" si="776"/>
        <v>-</v>
      </c>
      <c r="GW24" s="1" t="str">
        <f t="shared" si="776"/>
        <v>-</v>
      </c>
      <c r="GX24" s="1" t="str">
        <f t="shared" si="776"/>
        <v>-</v>
      </c>
      <c r="GY24" s="1" t="str">
        <f t="shared" si="776"/>
        <v>-</v>
      </c>
      <c r="GZ24" s="1" t="str">
        <f t="shared" si="776"/>
        <v>-</v>
      </c>
      <c r="HA24" s="1" t="str">
        <f t="shared" si="776"/>
        <v>-</v>
      </c>
      <c r="HB24" s="1" t="str">
        <f t="shared" si="776"/>
        <v>-</v>
      </c>
      <c r="HC24" s="1" t="str">
        <f t="shared" si="776"/>
        <v>-</v>
      </c>
      <c r="HD24" s="1" t="str">
        <f t="shared" si="776"/>
        <v>-</v>
      </c>
      <c r="HE24" s="1" t="str">
        <f t="shared" si="776"/>
        <v>-</v>
      </c>
      <c r="HF24" s="1" t="str">
        <f t="shared" si="776"/>
        <v>-</v>
      </c>
      <c r="HG24" s="1" t="str">
        <f t="shared" si="776"/>
        <v>-</v>
      </c>
      <c r="HH24" s="1" t="str">
        <f t="shared" ref="HH24:JS24" si="777">IFERROR(((HH23/HH12)*1000000*HH4),"-")</f>
        <v>-</v>
      </c>
      <c r="HI24" s="1" t="str">
        <f t="shared" si="777"/>
        <v>-</v>
      </c>
      <c r="HJ24" s="1" t="str">
        <f t="shared" si="777"/>
        <v>-</v>
      </c>
      <c r="HK24" s="1" t="str">
        <f t="shared" si="777"/>
        <v>-</v>
      </c>
      <c r="HL24" s="1" t="str">
        <f t="shared" si="777"/>
        <v>-</v>
      </c>
      <c r="HM24" s="1" t="str">
        <f t="shared" si="777"/>
        <v>-</v>
      </c>
      <c r="HN24" s="1" t="str">
        <f t="shared" si="777"/>
        <v>-</v>
      </c>
      <c r="HO24" s="1" t="str">
        <f t="shared" si="777"/>
        <v>-</v>
      </c>
      <c r="HP24" s="1" t="str">
        <f t="shared" si="777"/>
        <v>-</v>
      </c>
      <c r="HQ24" s="1" t="str">
        <f t="shared" si="777"/>
        <v>-</v>
      </c>
      <c r="HR24" s="1" t="str">
        <f t="shared" si="777"/>
        <v>-</v>
      </c>
      <c r="HS24" s="1" t="str">
        <f t="shared" si="777"/>
        <v>-</v>
      </c>
      <c r="HT24" s="1" t="str">
        <f t="shared" si="777"/>
        <v>-</v>
      </c>
      <c r="HU24" s="1" t="str">
        <f t="shared" si="777"/>
        <v>-</v>
      </c>
      <c r="HV24" s="1" t="str">
        <f t="shared" si="777"/>
        <v>-</v>
      </c>
      <c r="HW24" s="1" t="str">
        <f t="shared" si="777"/>
        <v>-</v>
      </c>
      <c r="HX24" s="1" t="str">
        <f t="shared" si="777"/>
        <v>-</v>
      </c>
      <c r="HY24" s="1" t="str">
        <f t="shared" si="777"/>
        <v>-</v>
      </c>
      <c r="HZ24" s="1" t="str">
        <f t="shared" si="777"/>
        <v>-</v>
      </c>
      <c r="IA24" s="1" t="str">
        <f t="shared" si="777"/>
        <v>-</v>
      </c>
      <c r="IB24" s="1" t="str">
        <f t="shared" si="777"/>
        <v>-</v>
      </c>
      <c r="IC24" s="1" t="str">
        <f t="shared" si="777"/>
        <v>-</v>
      </c>
      <c r="ID24" s="1" t="str">
        <f t="shared" si="777"/>
        <v>-</v>
      </c>
      <c r="IE24" s="1" t="str">
        <f t="shared" si="777"/>
        <v>-</v>
      </c>
      <c r="IF24" s="1" t="str">
        <f t="shared" si="777"/>
        <v>-</v>
      </c>
      <c r="IG24" s="1" t="str">
        <f t="shared" si="777"/>
        <v>-</v>
      </c>
      <c r="IH24" s="1" t="str">
        <f t="shared" si="777"/>
        <v>-</v>
      </c>
      <c r="II24" s="1" t="str">
        <f t="shared" si="777"/>
        <v>-</v>
      </c>
      <c r="IJ24" s="1" t="str">
        <f t="shared" si="777"/>
        <v>-</v>
      </c>
      <c r="IK24" s="1" t="str">
        <f t="shared" si="777"/>
        <v>-</v>
      </c>
      <c r="IL24" s="1" t="str">
        <f t="shared" si="777"/>
        <v>-</v>
      </c>
      <c r="IM24" s="1" t="str">
        <f t="shared" si="777"/>
        <v>-</v>
      </c>
      <c r="IN24" s="1" t="str">
        <f t="shared" si="777"/>
        <v>-</v>
      </c>
      <c r="IO24" s="1" t="str">
        <f t="shared" si="777"/>
        <v>-</v>
      </c>
      <c r="IP24" s="1" t="str">
        <f t="shared" si="777"/>
        <v>-</v>
      </c>
      <c r="IQ24" s="1" t="str">
        <f t="shared" si="777"/>
        <v>-</v>
      </c>
      <c r="IR24" s="1" t="str">
        <f t="shared" si="777"/>
        <v>-</v>
      </c>
      <c r="IS24" s="1" t="str">
        <f t="shared" si="777"/>
        <v>-</v>
      </c>
      <c r="IT24" s="1" t="str">
        <f t="shared" si="777"/>
        <v>-</v>
      </c>
      <c r="IU24" s="1" t="str">
        <f t="shared" si="777"/>
        <v>-</v>
      </c>
      <c r="IV24" s="1" t="str">
        <f t="shared" si="777"/>
        <v>-</v>
      </c>
      <c r="IW24" s="1" t="str">
        <f t="shared" si="777"/>
        <v>-</v>
      </c>
      <c r="IX24" s="1" t="str">
        <f t="shared" si="777"/>
        <v>-</v>
      </c>
      <c r="IY24" s="1" t="str">
        <f t="shared" si="777"/>
        <v>-</v>
      </c>
      <c r="IZ24" s="1" t="str">
        <f t="shared" si="777"/>
        <v>-</v>
      </c>
      <c r="JA24" s="1" t="str">
        <f t="shared" si="777"/>
        <v>-</v>
      </c>
      <c r="JB24" s="1" t="str">
        <f t="shared" si="777"/>
        <v>-</v>
      </c>
      <c r="JC24" s="1" t="str">
        <f t="shared" si="777"/>
        <v>-</v>
      </c>
      <c r="JD24" s="1" t="str">
        <f t="shared" si="777"/>
        <v>-</v>
      </c>
      <c r="JE24" s="1" t="str">
        <f t="shared" si="777"/>
        <v>-</v>
      </c>
      <c r="JF24" s="1" t="str">
        <f t="shared" si="777"/>
        <v>-</v>
      </c>
      <c r="JG24" s="1" t="str">
        <f t="shared" si="777"/>
        <v>-</v>
      </c>
      <c r="JH24" s="1" t="str">
        <f t="shared" si="777"/>
        <v>-</v>
      </c>
      <c r="JI24" s="1" t="str">
        <f t="shared" si="777"/>
        <v>-</v>
      </c>
      <c r="JJ24" s="1" t="str">
        <f t="shared" si="777"/>
        <v>-</v>
      </c>
      <c r="JK24" s="1" t="str">
        <f t="shared" si="777"/>
        <v>-</v>
      </c>
      <c r="JL24" s="1" t="str">
        <f t="shared" si="777"/>
        <v>-</v>
      </c>
      <c r="JM24" s="1" t="str">
        <f t="shared" si="777"/>
        <v>-</v>
      </c>
      <c r="JN24" s="1" t="str">
        <f t="shared" si="777"/>
        <v>-</v>
      </c>
      <c r="JO24" s="1" t="str">
        <f t="shared" si="777"/>
        <v>-</v>
      </c>
      <c r="JP24" s="1" t="str">
        <f t="shared" si="777"/>
        <v>-</v>
      </c>
      <c r="JQ24" s="1" t="str">
        <f t="shared" si="777"/>
        <v>-</v>
      </c>
      <c r="JR24" s="1" t="str">
        <f t="shared" si="777"/>
        <v>-</v>
      </c>
      <c r="JS24" s="1" t="str">
        <f t="shared" si="777"/>
        <v>-</v>
      </c>
      <c r="JT24" s="1" t="str">
        <f t="shared" ref="JT24:LX24" si="778">IFERROR(((JT23/JT12)*1000000*JT4),"-")</f>
        <v>-</v>
      </c>
      <c r="JU24" s="1" t="str">
        <f t="shared" si="778"/>
        <v>-</v>
      </c>
      <c r="JV24" s="1" t="str">
        <f t="shared" si="778"/>
        <v>-</v>
      </c>
      <c r="JW24" s="1" t="str">
        <f t="shared" si="778"/>
        <v>-</v>
      </c>
      <c r="JX24" s="1" t="str">
        <f t="shared" si="778"/>
        <v>-</v>
      </c>
      <c r="JY24" s="1" t="str">
        <f t="shared" si="778"/>
        <v>-</v>
      </c>
      <c r="JZ24" s="1" t="str">
        <f t="shared" si="778"/>
        <v>-</v>
      </c>
      <c r="KA24" s="1" t="str">
        <f t="shared" si="778"/>
        <v>-</v>
      </c>
      <c r="KB24" s="1" t="str">
        <f t="shared" si="778"/>
        <v>-</v>
      </c>
      <c r="KC24" s="1" t="str">
        <f t="shared" si="778"/>
        <v>-</v>
      </c>
      <c r="KD24" s="1" t="str">
        <f t="shared" si="778"/>
        <v>-</v>
      </c>
      <c r="KE24" s="1" t="str">
        <f t="shared" si="778"/>
        <v>-</v>
      </c>
      <c r="KF24" s="1" t="str">
        <f t="shared" si="778"/>
        <v>-</v>
      </c>
      <c r="KG24" s="1" t="str">
        <f t="shared" si="778"/>
        <v>-</v>
      </c>
      <c r="KH24" s="1" t="str">
        <f t="shared" si="778"/>
        <v>-</v>
      </c>
      <c r="KI24" s="1" t="str">
        <f t="shared" si="778"/>
        <v>-</v>
      </c>
      <c r="KJ24" s="1" t="str">
        <f t="shared" si="778"/>
        <v>-</v>
      </c>
      <c r="KK24" s="1" t="str">
        <f t="shared" si="778"/>
        <v>-</v>
      </c>
      <c r="KL24" s="1" t="str">
        <f t="shared" si="778"/>
        <v>-</v>
      </c>
      <c r="KM24" s="1" t="str">
        <f t="shared" si="778"/>
        <v>-</v>
      </c>
      <c r="KN24" s="1" t="str">
        <f t="shared" si="778"/>
        <v>-</v>
      </c>
      <c r="KO24" s="1" t="str">
        <f t="shared" si="778"/>
        <v>-</v>
      </c>
      <c r="KP24" s="1" t="str">
        <f t="shared" si="778"/>
        <v>-</v>
      </c>
      <c r="KQ24" s="1" t="str">
        <f t="shared" si="778"/>
        <v>-</v>
      </c>
      <c r="KR24" s="1" t="str">
        <f t="shared" si="778"/>
        <v>-</v>
      </c>
      <c r="KS24" s="1" t="str">
        <f t="shared" si="778"/>
        <v>-</v>
      </c>
      <c r="KT24" s="1" t="str">
        <f t="shared" si="778"/>
        <v>-</v>
      </c>
      <c r="KU24" s="1" t="str">
        <f t="shared" si="778"/>
        <v>-</v>
      </c>
      <c r="KV24" s="1" t="str">
        <f t="shared" si="778"/>
        <v>-</v>
      </c>
      <c r="KW24" s="1" t="str">
        <f t="shared" si="778"/>
        <v>-</v>
      </c>
      <c r="KX24" s="1" t="str">
        <f t="shared" si="778"/>
        <v>-</v>
      </c>
      <c r="KY24" s="1" t="str">
        <f t="shared" si="778"/>
        <v>-</v>
      </c>
      <c r="KZ24" s="1" t="str">
        <f t="shared" si="778"/>
        <v>-</v>
      </c>
      <c r="LA24" s="1" t="str">
        <f t="shared" si="778"/>
        <v>-</v>
      </c>
      <c r="LB24" s="1" t="str">
        <f t="shared" si="778"/>
        <v>-</v>
      </c>
      <c r="LC24" s="1" t="str">
        <f t="shared" si="778"/>
        <v>-</v>
      </c>
      <c r="LD24" s="1" t="str">
        <f t="shared" si="778"/>
        <v>-</v>
      </c>
      <c r="LE24" s="1" t="str">
        <f t="shared" si="778"/>
        <v>-</v>
      </c>
      <c r="LF24" s="1" t="str">
        <f t="shared" si="778"/>
        <v>-</v>
      </c>
      <c r="LG24" s="1" t="str">
        <f t="shared" si="778"/>
        <v>-</v>
      </c>
      <c r="LH24" s="1" t="str">
        <f t="shared" si="778"/>
        <v>-</v>
      </c>
      <c r="LI24" s="1" t="str">
        <f t="shared" si="778"/>
        <v>-</v>
      </c>
      <c r="LJ24" s="1" t="str">
        <f t="shared" si="778"/>
        <v>-</v>
      </c>
      <c r="LK24" s="1" t="str">
        <f t="shared" si="778"/>
        <v>-</v>
      </c>
      <c r="LL24" s="1" t="str">
        <f t="shared" si="778"/>
        <v>-</v>
      </c>
      <c r="LM24" s="1" t="str">
        <f t="shared" si="778"/>
        <v>-</v>
      </c>
      <c r="LN24" s="1" t="str">
        <f t="shared" si="778"/>
        <v>-</v>
      </c>
      <c r="LO24" s="1" t="str">
        <f t="shared" si="778"/>
        <v>-</v>
      </c>
      <c r="LP24" s="1" t="str">
        <f t="shared" si="778"/>
        <v>-</v>
      </c>
      <c r="LQ24" s="1" t="str">
        <f t="shared" si="778"/>
        <v>-</v>
      </c>
      <c r="LR24" s="1" t="str">
        <f t="shared" si="778"/>
        <v>-</v>
      </c>
      <c r="LS24" s="1" t="str">
        <f t="shared" si="778"/>
        <v>-</v>
      </c>
      <c r="LT24" s="1" t="str">
        <f t="shared" si="778"/>
        <v>-</v>
      </c>
      <c r="LU24" s="1" t="str">
        <f t="shared" si="778"/>
        <v>-</v>
      </c>
      <c r="LV24" s="1" t="str">
        <f t="shared" si="778"/>
        <v>-</v>
      </c>
      <c r="LW24" s="1" t="str">
        <f t="shared" si="778"/>
        <v>-</v>
      </c>
      <c r="LX24" s="1" t="str">
        <f t="shared" si="778"/>
        <v>-</v>
      </c>
      <c r="LY24" s="1" t="str">
        <f t="shared" ref="LY24" si="779">IFERROR(((LY23/LY12)*1000000*LY4),"-")</f>
        <v>-</v>
      </c>
      <c r="MA24" s="6"/>
    </row>
    <row r="25" spans="2:339">
      <c r="B25" s="147"/>
      <c r="C25" s="41" t="s">
        <v>49</v>
      </c>
      <c r="E25" s="43">
        <f>SUMIF($E$7:E7,"&gt;="&amp; DATE(YEAR(E7),MONTH(E7)-11,DAY(E7)),$E$21:E21)</f>
        <v>0</v>
      </c>
      <c r="F25" s="43">
        <f>SUMIF($E$7:F7,"&gt;="&amp; DATE(YEAR(F7),MONTH(F7)-11,DAY(F7)),$E$21:F21)</f>
        <v>0</v>
      </c>
      <c r="G25" s="43">
        <f>SUMIF($E$7:G7,"&gt;="&amp; DATE(YEAR(G7),MONTH(G7)-11,DAY(G7)),$E$21:G21)</f>
        <v>0</v>
      </c>
      <c r="H25" s="43">
        <f>SUMIF($E$7:H7,"&gt;="&amp; DATE(YEAR(H7),MONTH(H7)-11,DAY(H7)),$E$21:H21)</f>
        <v>0</v>
      </c>
      <c r="I25" s="43">
        <f>SUMIF($E$7:I7,"&gt;="&amp; DATE(YEAR(I7),MONTH(I7)-11,DAY(I7)),$E$21:I21)</f>
        <v>0</v>
      </c>
      <c r="J25" s="43">
        <f>SUMIF($E$7:J7,"&gt;="&amp; DATE(YEAR(J7),MONTH(J7)-11,DAY(J7)),$E$21:J21)</f>
        <v>0</v>
      </c>
      <c r="K25" s="43">
        <f>SUMIF($E$7:K7,"&gt;="&amp; DATE(YEAR(K7),MONTH(K7)-11,DAY(K7)),$E$21:K21)</f>
        <v>0</v>
      </c>
      <c r="L25" s="43">
        <f>SUMIF($E$7:L7,"&gt;="&amp; DATE(YEAR(L7),MONTH(L7)-11,DAY(L7)),$E$21:L21)</f>
        <v>0</v>
      </c>
      <c r="M25" s="43">
        <f>SUMIF($E$7:M7,"&gt;="&amp; DATE(YEAR(M7),MONTH(M7)-11,DAY(M7)),$E$21:M21)</f>
        <v>0</v>
      </c>
      <c r="N25" s="43">
        <f>SUMIF($E$7:N7,"&gt;="&amp; DATE(YEAR(N7),MONTH(N7)-11,DAY(N7)),$E$21:N21)</f>
        <v>0</v>
      </c>
      <c r="O25" s="43">
        <f>SUMIF($E$7:O7,"&gt;="&amp; DATE(YEAR(O7),MONTH(O7)-11,DAY(O7)),$E$21:O21)</f>
        <v>0</v>
      </c>
      <c r="P25" s="43">
        <f>SUMIF($E$7:P7,"&gt;="&amp; DATE(YEAR(P7),MONTH(P7)-11,DAY(P7)),$E$21:P21)</f>
        <v>0</v>
      </c>
      <c r="Q25" s="43">
        <f>SUMIF($E$7:Q7,"&gt;="&amp; DATE(YEAR(Q7),MONTH(Q7)-11,DAY(Q7)),$E$21:Q21)</f>
        <v>0</v>
      </c>
      <c r="R25" s="43">
        <f>SUMIF($E$7:R7,"&gt;="&amp; DATE(YEAR(R7),MONTH(R7)-11,DAY(R7)),$E$21:R21)</f>
        <v>0</v>
      </c>
      <c r="S25" s="43">
        <f>SUMIF($E$7:S7,"&gt;="&amp; DATE(YEAR(S7),MONTH(S7)-11,DAY(S7)),$E$21:S21)</f>
        <v>0</v>
      </c>
      <c r="T25" s="43">
        <f>SUMIF($E$7:T7,"&gt;="&amp; DATE(YEAR(T7),MONTH(T7)-11,DAY(T7)),$E$21:T21)</f>
        <v>0</v>
      </c>
      <c r="U25" s="43">
        <f>SUMIF($E$7:U7,"&gt;="&amp; DATE(YEAR(U7),MONTH(U7)-11,DAY(U7)),$E$21:U21)</f>
        <v>0</v>
      </c>
      <c r="V25" s="43">
        <f>SUMIF($E$7:V7,"&gt;="&amp; DATE(YEAR(V7),MONTH(V7)-11,DAY(V7)),$E$21:V21)</f>
        <v>0</v>
      </c>
      <c r="W25" s="43">
        <f>SUMIF($E$7:W7,"&gt;="&amp; DATE(YEAR(W7),MONTH(W7)-11,DAY(W7)),$E$21:W21)</f>
        <v>0</v>
      </c>
      <c r="X25" s="43">
        <f>SUMIF($E$7:X7,"&gt;="&amp; DATE(YEAR(X7),MONTH(X7)-11,DAY(X7)),$E$21:X21)</f>
        <v>0</v>
      </c>
      <c r="Y25" s="43">
        <f>SUMIF($E$7:Y7,"&gt;="&amp; DATE(YEAR(Y7),MONTH(Y7)-11,DAY(Y7)),$E$21:Y21)</f>
        <v>0</v>
      </c>
      <c r="Z25" s="43">
        <f>SUMIF($E$7:Z7,"&gt;="&amp; DATE(YEAR(Z7),MONTH(Z7)-11,DAY(Z7)),$E$21:Z21)</f>
        <v>0</v>
      </c>
      <c r="AA25" s="43">
        <f>SUMIF($E$7:AA7,"&gt;="&amp; DATE(YEAR(AA7),MONTH(AA7)-11,DAY(AA7)),$E$21:AA21)</f>
        <v>0</v>
      </c>
      <c r="AB25" s="43">
        <f>SUMIF($E$7:AB7,"&gt;="&amp; DATE(YEAR(AB7),MONTH(AB7)-11,DAY(AB7)),$E$21:AB21)</f>
        <v>0</v>
      </c>
      <c r="AC25" s="43">
        <f>SUMIF($E$7:AC7,"&gt;="&amp; DATE(YEAR(AC7),MONTH(AC7)-11,DAY(AC7)),$E$21:AC21)</f>
        <v>0</v>
      </c>
      <c r="AD25" s="43">
        <f>SUMIF($E$7:AD7,"&gt;="&amp; DATE(YEAR(AD7),MONTH(AD7)-11,DAY(AD7)),$E$21:AD21)</f>
        <v>0</v>
      </c>
      <c r="AE25" s="43">
        <f>SUMIF($E$7:AE7,"&gt;="&amp; DATE(YEAR(AE7),MONTH(AE7)-11,DAY(AE7)),$E$21:AE21)</f>
        <v>0</v>
      </c>
      <c r="AF25" s="43">
        <f>SUMIF($E$7:AF7,"&gt;="&amp; DATE(YEAR(AF7),MONTH(AF7)-11,DAY(AF7)),$E$21:AF21)</f>
        <v>0</v>
      </c>
      <c r="AG25" s="43">
        <f>SUMIF($E$7:AG7,"&gt;="&amp; DATE(YEAR(AG7),MONTH(AG7)-11,DAY(AG7)),$E$21:AG21)</f>
        <v>0</v>
      </c>
      <c r="AH25" s="43">
        <f>SUMIF($E$7:AH7,"&gt;="&amp; DATE(YEAR(AH7),MONTH(AH7)-11,DAY(AH7)),$E$21:AH21)</f>
        <v>0</v>
      </c>
      <c r="AI25" s="43">
        <f>SUMIF($E$7:AI7,"&gt;="&amp; DATE(YEAR(AI7),MONTH(AI7)-11,DAY(AI7)),$E$21:AI21)</f>
        <v>0</v>
      </c>
      <c r="AJ25" s="43">
        <f>SUMIF($E$7:AJ7,"&gt;="&amp; DATE(YEAR(AJ7),MONTH(AJ7)-11,DAY(AJ7)),$E$21:AJ21)</f>
        <v>0</v>
      </c>
      <c r="AK25" s="43">
        <f>SUMIF($E$7:AK7,"&gt;="&amp; DATE(YEAR(AK7),MONTH(AK7)-11,DAY(AK7)),$E$21:AK21)</f>
        <v>0</v>
      </c>
      <c r="AL25" s="43">
        <f>SUMIF($E$7:AL7,"&gt;="&amp; DATE(YEAR(AL7),MONTH(AL7)-11,DAY(AL7)),$E$21:AL21)</f>
        <v>0</v>
      </c>
      <c r="AM25" s="43">
        <f>SUMIF($E$7:AM7,"&gt;="&amp; DATE(YEAR(AM7),MONTH(AM7)-11,DAY(AM7)),$E$21:AM21)</f>
        <v>0</v>
      </c>
      <c r="AN25" s="43">
        <f>SUMIF($E$7:AN7,"&gt;="&amp; DATE(YEAR(AN7),MONTH(AN7)-11,DAY(AN7)),$E$21:AN21)</f>
        <v>0</v>
      </c>
      <c r="AO25" s="43">
        <f>SUMIF($E$7:AO7,"&gt;="&amp; DATE(YEAR(AO7),MONTH(AO7)-11,DAY(AO7)),$E$21:AO21)</f>
        <v>0</v>
      </c>
      <c r="AP25" s="43">
        <f>SUMIF($E$7:AP7,"&gt;="&amp; DATE(YEAR(AP7),MONTH(AP7)-11,DAY(AP7)),$E$21:AP21)</f>
        <v>0</v>
      </c>
      <c r="AQ25" s="43">
        <f>SUMIF($E$7:AQ7,"&gt;="&amp; DATE(YEAR(AQ7),MONTH(AQ7)-11,DAY(AQ7)),$E$21:AQ21)</f>
        <v>0</v>
      </c>
      <c r="AR25" s="43">
        <f>SUMIF($E$7:AR7,"&gt;="&amp; DATE(YEAR(AR7),MONTH(AR7)-11,DAY(AR7)),$E$21:AR21)</f>
        <v>0</v>
      </c>
      <c r="AS25" s="43">
        <f>SUMIF($E$7:AS7,"&gt;="&amp; DATE(YEAR(AS7),MONTH(AS7)-11,DAY(AS7)),$E$21:AS21)</f>
        <v>0</v>
      </c>
      <c r="AT25" s="43">
        <f>SUMIF($E$7:AT7,"&gt;="&amp; DATE(YEAR(AT7),MONTH(AT7)-11,DAY(AT7)),$E$21:AT21)</f>
        <v>0</v>
      </c>
      <c r="AU25" s="43">
        <f>SUMIF($E$7:AU7,"&gt;="&amp; DATE(YEAR(AU7),MONTH(AU7)-11,DAY(AU7)),$E$21:AU21)</f>
        <v>0</v>
      </c>
      <c r="AV25" s="43">
        <f>SUMIF($E$7:AV7,"&gt;="&amp; DATE(YEAR(AV7),MONTH(AV7)-11,DAY(AV7)),$E$21:AV21)</f>
        <v>0</v>
      </c>
      <c r="AW25" s="43">
        <f>SUMIF($E$7:AW7,"&gt;="&amp; DATE(YEAR(AW7),MONTH(AW7)-11,DAY(AW7)),$E$21:AW21)</f>
        <v>0</v>
      </c>
      <c r="AX25" s="43">
        <f>SUMIF($E$7:AX7,"&gt;="&amp; DATE(YEAR(AX7),MONTH(AX7)-11,DAY(AX7)),$E$21:AX21)</f>
        <v>0</v>
      </c>
      <c r="AY25" s="43">
        <f>SUMIF($E$7:AY7,"&gt;="&amp; DATE(YEAR(AY7),MONTH(AY7)-11,DAY(AY7)),$E$21:AY21)</f>
        <v>0</v>
      </c>
      <c r="AZ25" s="43">
        <f>SUMIF($E$7:AZ7,"&gt;="&amp; DATE(YEAR(AZ7),MONTH(AZ7)-11,DAY(AZ7)),$E$21:AZ21)</f>
        <v>0</v>
      </c>
      <c r="BA25" s="43">
        <f>SUMIF($E$7:BA7,"&gt;="&amp; DATE(YEAR(BA7),MONTH(BA7)-11,DAY(BA7)),$E$21:BA21)</f>
        <v>0</v>
      </c>
      <c r="BB25" s="43">
        <f>SUMIF($E$7:BB7,"&gt;="&amp; DATE(YEAR(BB7),MONTH(BB7)-11,DAY(BB7)),$E$21:BB21)</f>
        <v>0</v>
      </c>
      <c r="BC25" s="43">
        <f>SUMIF($E$7:BC7,"&gt;="&amp; DATE(YEAR(BC7),MONTH(BC7)-11,DAY(BC7)),$E$21:BC21)</f>
        <v>0</v>
      </c>
      <c r="BD25" s="43">
        <f>SUMIF($E$7:BD7,"&gt;="&amp; DATE(YEAR(BD7),MONTH(BD7)-11,DAY(BD7)),$E$21:BD21)</f>
        <v>0</v>
      </c>
      <c r="BE25" s="43">
        <f>SUMIF($E$7:BE7,"&gt;="&amp; DATE(YEAR(BE7),MONTH(BE7)-11,DAY(BE7)),$E$21:BE21)</f>
        <v>0</v>
      </c>
      <c r="BF25" s="43">
        <f>SUMIF($E$7:BF7,"&gt;="&amp; DATE(YEAR(BF7),MONTH(BF7)-11,DAY(BF7)),$E$21:BF21)</f>
        <v>0</v>
      </c>
      <c r="BG25" s="43">
        <f>SUMIF($E$7:BG7,"&gt;="&amp; DATE(YEAR(BG7),MONTH(BG7)-11,DAY(BG7)),$E$21:BG21)</f>
        <v>0</v>
      </c>
      <c r="BH25" s="43">
        <f>SUMIF($E$7:BH7,"&gt;="&amp; DATE(YEAR(BH7),MONTH(BH7)-11,DAY(BH7)),$E$21:BH21)</f>
        <v>0</v>
      </c>
      <c r="BI25" s="43">
        <f>SUMIF($E$7:BI7,"&gt;="&amp; DATE(YEAR(BI7),MONTH(BI7)-11,DAY(BI7)),$E$21:BI21)</f>
        <v>0</v>
      </c>
      <c r="BJ25" s="43">
        <f>SUMIF($E$7:BJ7,"&gt;="&amp; DATE(YEAR(BJ7),MONTH(BJ7)-11,DAY(BJ7)),$E$21:BJ21)</f>
        <v>0</v>
      </c>
      <c r="BK25" s="43">
        <f>SUMIF($E$7:BK7,"&gt;="&amp; DATE(YEAR(BK7),MONTH(BK7)-11,DAY(BK7)),$E$21:BK21)</f>
        <v>0</v>
      </c>
      <c r="BL25" s="43">
        <f>SUMIF($E$7:BL7,"&gt;="&amp; DATE(YEAR(BL7),MONTH(BL7)-11,DAY(BL7)),$E$21:BL21)</f>
        <v>0</v>
      </c>
      <c r="BM25" s="43">
        <f>SUMIF($E$7:BM7,"&gt;="&amp; DATE(YEAR(BM7),MONTH(BM7)-11,DAY(BM7)),$E$21:BM21)</f>
        <v>0</v>
      </c>
      <c r="BN25" s="43">
        <f>SUMIF($E$7:BN7,"&gt;="&amp; DATE(YEAR(BN7),MONTH(BN7)-11,DAY(BN7)),$E$21:BN21)</f>
        <v>0</v>
      </c>
      <c r="BO25" s="43">
        <f>SUMIF($E$7:BO7,"&gt;="&amp; DATE(YEAR(BO7),MONTH(BO7)-11,DAY(BO7)),$E$21:BO21)</f>
        <v>0</v>
      </c>
      <c r="BP25" s="43">
        <f>SUMIF($E$7:BP7,"&gt;="&amp; DATE(YEAR(BP7),MONTH(BP7)-11,DAY(BP7)),$E$21:BP21)</f>
        <v>0</v>
      </c>
      <c r="BQ25" s="43">
        <f>SUMIF($E$7:BQ7,"&gt;="&amp; DATE(YEAR(BQ7),MONTH(BQ7)-11,DAY(BQ7)),$E$21:BQ21)</f>
        <v>0</v>
      </c>
      <c r="BR25" s="43">
        <f>SUMIF($E$7:BR7,"&gt;="&amp; DATE(YEAR(BR7),MONTH(BR7)-11,DAY(BR7)),$E$21:BR21)</f>
        <v>0</v>
      </c>
      <c r="BS25" s="43">
        <f>SUMIF($E$7:BS7,"&gt;="&amp; DATE(YEAR(BS7),MONTH(BS7)-11,DAY(BS7)),$E$21:BS21)</f>
        <v>0</v>
      </c>
      <c r="BT25" s="43">
        <f>SUMIF($E$7:BT7,"&gt;="&amp; DATE(YEAR(BT7),MONTH(BT7)-11,DAY(BT7)),$E$21:BT21)</f>
        <v>0</v>
      </c>
      <c r="BU25" s="43">
        <f>SUMIF($E$7:BU7,"&gt;="&amp; DATE(YEAR(BU7),MONTH(BU7)-11,DAY(BU7)),$E$21:BU21)</f>
        <v>0</v>
      </c>
      <c r="BV25" s="43">
        <f>SUMIF($E$7:BV7,"&gt;="&amp; DATE(YEAR(BV7),MONTH(BV7)-11,DAY(BV7)),$E$21:BV21)</f>
        <v>0</v>
      </c>
      <c r="BW25" s="43">
        <f>SUMIF($E$7:BW7,"&gt;="&amp; DATE(YEAR(BW7),MONTH(BW7)-11,DAY(BW7)),$E$21:BW21)</f>
        <v>0</v>
      </c>
      <c r="BX25" s="43">
        <f>SUMIF($E$7:BX7,"&gt;="&amp; DATE(YEAR(BX7),MONTH(BX7)-11,DAY(BX7)),$E$21:BX21)</f>
        <v>0</v>
      </c>
      <c r="BY25" s="43">
        <f>SUMIF($E$7:BY7,"&gt;="&amp; DATE(YEAR(BY7),MONTH(BY7)-11,DAY(BY7)),$E$21:BY21)</f>
        <v>0</v>
      </c>
      <c r="BZ25" s="43">
        <f>SUMIF($E$7:BZ7,"&gt;="&amp; DATE(YEAR(BZ7),MONTH(BZ7)-11,DAY(BZ7)),$E$21:BZ21)</f>
        <v>0</v>
      </c>
      <c r="CA25" s="43">
        <f>SUMIF($E$7:CA7,"&gt;="&amp; DATE(YEAR(CA7),MONTH(CA7)-11,DAY(CA7)),$E$21:CA21)</f>
        <v>0</v>
      </c>
      <c r="CB25" s="43">
        <f>SUMIF($E$7:CB7,"&gt;="&amp; DATE(YEAR(CB7),MONTH(CB7)-11,DAY(CB7)),$E$21:CB21)</f>
        <v>0</v>
      </c>
      <c r="CC25" s="43">
        <f>SUMIF($E$7:CC7,"&gt;="&amp; DATE(YEAR(CC7),MONTH(CC7)-11,DAY(CC7)),$E$21:CC21)</f>
        <v>0</v>
      </c>
      <c r="CD25" s="43">
        <f>SUMIF($E$7:CD7,"&gt;="&amp; DATE(YEAR(CD7),MONTH(CD7)-11,DAY(CD7)),$E$21:CD21)</f>
        <v>0</v>
      </c>
      <c r="CE25" s="43">
        <f>SUMIF($E$7:CE7,"&gt;="&amp; DATE(YEAR(CE7),MONTH(CE7)-11,DAY(CE7)),$E$21:CE21)</f>
        <v>0</v>
      </c>
      <c r="CF25" s="43">
        <f>SUMIF($E$7:CF7,"&gt;="&amp; DATE(YEAR(CF7),MONTH(CF7)-11,DAY(CF7)),$E$21:CF21)</f>
        <v>0</v>
      </c>
      <c r="CG25" s="43">
        <f>SUMIF($E$7:CG7,"&gt;="&amp; DATE(YEAR(CG7),MONTH(CG7)-11,DAY(CG7)),$E$21:CG21)</f>
        <v>0</v>
      </c>
      <c r="CH25" s="43">
        <f>SUMIF($E$7:CH7,"&gt;="&amp; DATE(YEAR(CH7),MONTH(CH7)-11,DAY(CH7)),$E$21:CH21)</f>
        <v>0</v>
      </c>
      <c r="CI25" s="43">
        <f>SUMIF($E$7:CI7,"&gt;="&amp; DATE(YEAR(CI7),MONTH(CI7)-11,DAY(CI7)),$E$21:CI21)</f>
        <v>0</v>
      </c>
      <c r="CJ25" s="43">
        <f>SUMIF($E$7:CJ7,"&gt;="&amp; DATE(YEAR(CJ7),MONTH(CJ7)-11,DAY(CJ7)),$E$21:CJ21)</f>
        <v>0</v>
      </c>
      <c r="CK25" s="43">
        <f>SUMIF($E$7:CK7,"&gt;="&amp; DATE(YEAR(CK7),MONTH(CK7)-11,DAY(CK7)),$E$21:CK21)</f>
        <v>0</v>
      </c>
      <c r="CL25" s="43">
        <f>SUMIF($E$7:CL7,"&gt;="&amp; DATE(YEAR(CL7),MONTH(CL7)-11,DAY(CL7)),$E$21:CL21)</f>
        <v>0</v>
      </c>
      <c r="CM25" s="43">
        <f>SUMIF($E$7:CM7,"&gt;="&amp; DATE(YEAR(CM7),MONTH(CM7)-11,DAY(CM7)),$E$21:CM21)</f>
        <v>0</v>
      </c>
      <c r="CN25" s="43">
        <f>SUMIF($E$7:CN7,"&gt;="&amp; DATE(YEAR(CN7),MONTH(CN7)-11,DAY(CN7)),$E$21:CN21)</f>
        <v>0</v>
      </c>
      <c r="CO25" s="43">
        <f>SUMIF($E$7:CO7,"&gt;="&amp; DATE(YEAR(CO7),MONTH(CO7)-11,DAY(CO7)),$E$21:CO21)</f>
        <v>0</v>
      </c>
      <c r="CP25" s="43">
        <f>SUMIF($E$7:CP7,"&gt;="&amp; DATE(YEAR(CP7),MONTH(CP7)-11,DAY(CP7)),$E$21:CP21)</f>
        <v>0</v>
      </c>
      <c r="CQ25" s="43">
        <f>SUMIF($E$7:CQ7,"&gt;="&amp; DATE(YEAR(CQ7),MONTH(CQ7)-11,DAY(CQ7)),$E$21:CQ21)</f>
        <v>0</v>
      </c>
      <c r="CR25" s="43">
        <f>SUMIF($E$7:CR7,"&gt;="&amp; DATE(YEAR(CR7),MONTH(CR7)-11,DAY(CR7)),$E$21:CR21)</f>
        <v>0</v>
      </c>
      <c r="CS25" s="43">
        <f>SUMIF($E$7:CS7,"&gt;="&amp; DATE(YEAR(CS7),MONTH(CS7)-11,DAY(CS7)),$E$21:CS21)</f>
        <v>0</v>
      </c>
      <c r="CT25" s="43">
        <f>SUMIF($E$7:CT7,"&gt;="&amp; DATE(YEAR(CT7),MONTH(CT7)-11,DAY(CT7)),$E$21:CT21)</f>
        <v>0</v>
      </c>
      <c r="CU25" s="43">
        <f>SUMIF($E$7:CU7,"&gt;="&amp; DATE(YEAR(CU7),MONTH(CU7)-11,DAY(CU7)),$E$21:CU21)</f>
        <v>0</v>
      </c>
      <c r="CV25" s="43">
        <f>SUMIF($E$7:CV7,"&gt;="&amp; DATE(YEAR(CV7),MONTH(CV7)-11,DAY(CV7)),$E$21:CV21)</f>
        <v>0</v>
      </c>
      <c r="CW25" s="43">
        <f>SUMIF($E$7:CW7,"&gt;="&amp; DATE(YEAR(CW7),MONTH(CW7)-11,DAY(CW7)),$E$21:CW21)</f>
        <v>0</v>
      </c>
      <c r="CX25" s="43">
        <f>SUMIF($E$7:CX7,"&gt;="&amp; DATE(YEAR(CX7),MONTH(CX7)-11,DAY(CX7)),$E$21:CX21)</f>
        <v>0</v>
      </c>
      <c r="CY25" s="43">
        <f>SUMIF($E$7:CY7,"&gt;="&amp; DATE(YEAR(CY7),MONTH(CY7)-11,DAY(CY7)),$E$21:CY21)</f>
        <v>0</v>
      </c>
      <c r="CZ25" s="43">
        <f>SUMIF($E$7:CZ7,"&gt;="&amp; DATE(YEAR(CZ7),MONTH(CZ7)-11,DAY(CZ7)),$E$21:CZ21)</f>
        <v>0</v>
      </c>
      <c r="DA25" s="43">
        <f>SUMIF($E$7:DA7,"&gt;="&amp; DATE(YEAR(DA7),MONTH(DA7)-11,DAY(DA7)),$E$21:DA21)</f>
        <v>0</v>
      </c>
      <c r="DB25" s="43">
        <f>SUMIF($E$7:DB7,"&gt;="&amp; DATE(YEAR(DB7),MONTH(DB7)-11,DAY(DB7)),$E$21:DB21)</f>
        <v>0</v>
      </c>
      <c r="DC25" s="43">
        <f>SUMIF($E$7:DC7,"&gt;="&amp; DATE(YEAR(DC7),MONTH(DC7)-11,DAY(DC7)),$E$21:DC21)</f>
        <v>0</v>
      </c>
      <c r="DD25" s="43">
        <f>SUMIF($E$7:DD7,"&gt;="&amp; DATE(YEAR(DD7),MONTH(DD7)-11,DAY(DD7)),$E$21:DD21)</f>
        <v>0</v>
      </c>
      <c r="DE25" s="43">
        <f>SUMIF($E$7:DE7,"&gt;="&amp; DATE(YEAR(DE7),MONTH(DE7)-11,DAY(DE7)),$E$21:DE21)</f>
        <v>0</v>
      </c>
      <c r="DF25" s="43">
        <f>SUMIF($E$7:DF7,"&gt;="&amp; DATE(YEAR(DF7),MONTH(DF7)-11,DAY(DF7)),$E$21:DF21)</f>
        <v>0</v>
      </c>
      <c r="DG25" s="43">
        <f>SUMIF($E$7:DG7,"&gt;="&amp; DATE(YEAR(DG7),MONTH(DG7)-11,DAY(DG7)),$E$21:DG21)</f>
        <v>0</v>
      </c>
      <c r="DH25" s="43">
        <f>SUMIF($E$7:DH7,"&gt;="&amp; DATE(YEAR(DH7),MONTH(DH7)-11,DAY(DH7)),$E$21:DH21)</f>
        <v>0</v>
      </c>
      <c r="DI25" s="43">
        <f>SUMIF($E$7:DI7,"&gt;="&amp; DATE(YEAR(DI7),MONTH(DI7)-11,DAY(DI7)),$E$21:DI21)</f>
        <v>0</v>
      </c>
      <c r="DJ25" s="43">
        <f>SUMIF($E$7:DJ7,"&gt;="&amp; DATE(YEAR(DJ7),MONTH(DJ7)-11,DAY(DJ7)),$E$21:DJ21)</f>
        <v>0</v>
      </c>
      <c r="DK25" s="43">
        <f>SUMIF($E$7:DK7,"&gt;="&amp; DATE(YEAR(DK7),MONTH(DK7)-11,DAY(DK7)),$E$21:DK21)</f>
        <v>0</v>
      </c>
      <c r="DL25" s="43">
        <f>SUMIF($E$7:DL7,"&gt;="&amp; DATE(YEAR(DL7),MONTH(DL7)-11,DAY(DL7)),$E$21:DL21)</f>
        <v>0</v>
      </c>
      <c r="DM25" s="43">
        <f>SUMIF($E$7:DM7,"&gt;="&amp; DATE(YEAR(DM7),MONTH(DM7)-11,DAY(DM7)),$E$21:DM21)</f>
        <v>0</v>
      </c>
      <c r="DN25" s="43">
        <f>SUMIF($E$7:DN7,"&gt;="&amp; DATE(YEAR(DN7),MONTH(DN7)-11,DAY(DN7)),$E$21:DN21)</f>
        <v>0</v>
      </c>
      <c r="DO25" s="43">
        <f>SUMIF($E$7:DO7,"&gt;="&amp; DATE(YEAR(DO7),MONTH(DO7)-11,DAY(DO7)),$E$21:DO21)</f>
        <v>0</v>
      </c>
      <c r="DP25" s="43">
        <f>SUMIF($E$7:DP7,"&gt;="&amp; DATE(YEAR(DP7),MONTH(DP7)-11,DAY(DP7)),$E$21:DP21)</f>
        <v>0</v>
      </c>
      <c r="DQ25" s="43">
        <f>SUMIF($E$7:DQ7,"&gt;="&amp; DATE(YEAR(DQ7),MONTH(DQ7)-11,DAY(DQ7)),$E$21:DQ21)</f>
        <v>0</v>
      </c>
      <c r="DR25" s="43">
        <f>SUMIF($E$7:DR7,"&gt;="&amp; DATE(YEAR(DR7),MONTH(DR7)-11,DAY(DR7)),$E$21:DR21)</f>
        <v>0</v>
      </c>
      <c r="DS25" s="43">
        <f>SUMIF($E$7:DS7,"&gt;="&amp; DATE(YEAR(DS7),MONTH(DS7)-11,DAY(DS7)),$E$21:DS21)</f>
        <v>0</v>
      </c>
      <c r="DT25" s="43">
        <f>SUMIF($E$7:DT7,"&gt;="&amp; DATE(YEAR(DT7),MONTH(DT7)-11,DAY(DT7)),$E$21:DT21)</f>
        <v>0</v>
      </c>
      <c r="DU25" s="43">
        <f>SUMIF($E$7:DU7,"&gt;="&amp; DATE(YEAR(DU7),MONTH(DU7)-11,DAY(DU7)),$E$21:DU21)</f>
        <v>0</v>
      </c>
      <c r="DV25" s="43">
        <f>SUMIF($E$7:DV7,"&gt;="&amp; DATE(YEAR(DV7),MONTH(DV7)-11,DAY(DV7)),$E$21:DV21)</f>
        <v>0</v>
      </c>
      <c r="DW25" s="43">
        <f>SUMIF($E$7:DW7,"&gt;="&amp; DATE(YEAR(DW7),MONTH(DW7)-11,DAY(DW7)),$E$21:DW21)</f>
        <v>0</v>
      </c>
      <c r="DX25" s="43">
        <f>SUMIF($E$7:DX7,"&gt;="&amp; DATE(YEAR(DX7),MONTH(DX7)-11,DAY(DX7)),$E$21:DX21)</f>
        <v>0</v>
      </c>
      <c r="DY25" s="43">
        <f>SUMIF($E$7:DY7,"&gt;="&amp; DATE(YEAR(DY7),MONTH(DY7)-11,DAY(DY7)),$E$21:DY21)</f>
        <v>0</v>
      </c>
      <c r="DZ25" s="43">
        <f>SUMIF($E$7:DZ7,"&gt;="&amp; DATE(YEAR(DZ7),MONTH(DZ7)-11,DAY(DZ7)),$E$21:DZ21)</f>
        <v>0</v>
      </c>
      <c r="EA25" s="43">
        <f>SUMIF($E$7:EA7,"&gt;="&amp; DATE(YEAR(EA7),MONTH(EA7)-11,DAY(EA7)),$E$21:EA21)</f>
        <v>0</v>
      </c>
      <c r="EB25" s="43">
        <f>SUMIF($E$7:EB7,"&gt;="&amp; DATE(YEAR(EB7),MONTH(EB7)-11,DAY(EB7)),$E$21:EB21)</f>
        <v>0</v>
      </c>
      <c r="EC25" s="43">
        <f>SUMIF($E$7:EC7,"&gt;="&amp; DATE(YEAR(EC7),MONTH(EC7)-11,DAY(EC7)),$E$21:EC21)</f>
        <v>0</v>
      </c>
      <c r="ED25" s="43">
        <f>SUMIF($E$7:ED7,"&gt;="&amp; DATE(YEAR(ED7),MONTH(ED7)-11,DAY(ED7)),$E$21:ED21)</f>
        <v>0</v>
      </c>
      <c r="EE25" s="43">
        <f>SUMIF($E$7:EE7,"&gt;="&amp; DATE(YEAR(EE7),MONTH(EE7)-11,DAY(EE7)),$E$21:EE21)</f>
        <v>0</v>
      </c>
      <c r="EF25" s="43">
        <f>SUMIF($E$7:EF7,"&gt;="&amp; DATE(YEAR(EF7),MONTH(EF7)-11,DAY(EF7)),$E$21:EF21)</f>
        <v>0</v>
      </c>
      <c r="EG25" s="43">
        <f>SUMIF($E$7:EG7,"&gt;="&amp; DATE(YEAR(EG7),MONTH(EG7)-11,DAY(EG7)),$E$21:EG21)</f>
        <v>0</v>
      </c>
      <c r="EH25" s="43">
        <f>SUMIF($E$7:EH7,"&gt;="&amp; DATE(YEAR(EH7),MONTH(EH7)-11,DAY(EH7)),$E$21:EH21)</f>
        <v>0</v>
      </c>
      <c r="EI25" s="43">
        <f>SUMIF($E$7:EI7,"&gt;="&amp; DATE(YEAR(EI7),MONTH(EI7)-11,DAY(EI7)),$E$21:EI21)</f>
        <v>0</v>
      </c>
      <c r="EJ25" s="43">
        <f>SUMIF($E$7:EJ7,"&gt;="&amp; DATE(YEAR(EJ7),MONTH(EJ7)-11,DAY(EJ7)),$E$21:EJ21)</f>
        <v>0</v>
      </c>
      <c r="EK25" s="43">
        <f>SUMIF($E$7:EK7,"&gt;="&amp; DATE(YEAR(EK7),MONTH(EK7)-11,DAY(EK7)),$E$21:EK21)</f>
        <v>0</v>
      </c>
      <c r="EL25" s="43">
        <f>SUMIF($E$7:EL7,"&gt;="&amp; DATE(YEAR(EL7),MONTH(EL7)-11,DAY(EL7)),$E$21:EL21)</f>
        <v>0</v>
      </c>
      <c r="EM25" s="43">
        <f>SUMIF($E$7:EM7,"&gt;="&amp; DATE(YEAR(EM7),MONTH(EM7)-11,DAY(EM7)),$E$21:EM21)</f>
        <v>0</v>
      </c>
      <c r="EN25" s="43">
        <f>SUMIF($E$7:EN7,"&gt;="&amp; DATE(YEAR(EN7),MONTH(EN7)-11,DAY(EN7)),$E$21:EN21)</f>
        <v>0</v>
      </c>
      <c r="EO25" s="43">
        <f>SUMIF($E$7:EO7,"&gt;="&amp; DATE(YEAR(EO7),MONTH(EO7)-11,DAY(EO7)),$E$21:EO21)</f>
        <v>0</v>
      </c>
      <c r="EP25" s="43">
        <f>SUMIF($E$7:EP7,"&gt;="&amp; DATE(YEAR(EP7),MONTH(EP7)-11,DAY(EP7)),$E$21:EP21)</f>
        <v>0</v>
      </c>
      <c r="EQ25" s="43">
        <f>SUMIF($E$7:EQ7,"&gt;="&amp; DATE(YEAR(EQ7),MONTH(EQ7)-11,DAY(EQ7)),$E$21:EQ21)</f>
        <v>0</v>
      </c>
      <c r="ER25" s="43">
        <f>SUMIF($E$7:ER7,"&gt;="&amp; DATE(YEAR(ER7),MONTH(ER7)-11,DAY(ER7)),$E$21:ER21)</f>
        <v>0</v>
      </c>
      <c r="ES25" s="43">
        <f>SUMIF($E$7:ES7,"&gt;="&amp; DATE(YEAR(ES7),MONTH(ES7)-11,DAY(ES7)),$E$21:ES21)</f>
        <v>0</v>
      </c>
      <c r="ET25" s="43">
        <f>SUMIF($E$7:ET7,"&gt;="&amp; DATE(YEAR(ET7),MONTH(ET7)-11,DAY(ET7)),$E$21:ET21)</f>
        <v>0</v>
      </c>
      <c r="EU25" s="43">
        <f>SUMIF($E$7:EU7,"&gt;="&amp; DATE(YEAR(EU7),MONTH(EU7)-11,DAY(EU7)),$E$21:EU21)</f>
        <v>0</v>
      </c>
      <c r="EV25" s="43">
        <f>SUMIF($E$7:EV7,"&gt;="&amp; DATE(YEAR(EV7),MONTH(EV7)-11,DAY(EV7)),$E$21:EV21)</f>
        <v>0</v>
      </c>
      <c r="EW25" s="43">
        <f>SUMIF($E$7:EW7,"&gt;="&amp; DATE(YEAR(EW7),MONTH(EW7)-11,DAY(EW7)),$E$21:EW21)</f>
        <v>0</v>
      </c>
      <c r="EX25" s="43">
        <f>SUMIF($E$7:EX7,"&gt;="&amp; DATE(YEAR(EX7),MONTH(EX7)-11,DAY(EX7)),$E$21:EX21)</f>
        <v>0</v>
      </c>
      <c r="EY25" s="43">
        <f>SUMIF($E$7:EY7,"&gt;="&amp; DATE(YEAR(EY7),MONTH(EY7)-11,DAY(EY7)),$E$21:EY21)</f>
        <v>0</v>
      </c>
      <c r="EZ25" s="43">
        <f>SUMIF($E$7:EZ7,"&gt;="&amp; DATE(YEAR(EZ7),MONTH(EZ7)-11,DAY(EZ7)),$E$21:EZ21)</f>
        <v>0</v>
      </c>
      <c r="FA25" s="43">
        <f>SUMIF($E$7:FA7,"&gt;="&amp; DATE(YEAR(FA7),MONTH(FA7)-11,DAY(FA7)),$E$21:FA21)</f>
        <v>0</v>
      </c>
      <c r="FB25" s="43">
        <f>SUMIF($E$7:FB7,"&gt;="&amp; DATE(YEAR(FB7),MONTH(FB7)-11,DAY(FB7)),$E$21:FB21)</f>
        <v>0</v>
      </c>
      <c r="FC25" s="43">
        <f>SUMIF($E$7:FC7,"&gt;="&amp; DATE(YEAR(FC7),MONTH(FC7)-11,DAY(FC7)),$E$21:FC21)</f>
        <v>0</v>
      </c>
      <c r="FD25" s="43">
        <f>SUMIF($E$7:FD7,"&gt;="&amp; DATE(YEAR(FD7),MONTH(FD7)-11,DAY(FD7)),$E$21:FD21)</f>
        <v>0</v>
      </c>
      <c r="FE25" s="43">
        <f>SUMIF($E$7:FE7,"&gt;="&amp; DATE(YEAR(FE7),MONTH(FE7)-11,DAY(FE7)),$E$21:FE21)</f>
        <v>0</v>
      </c>
      <c r="FF25" s="43">
        <f>SUMIF($E$7:FF7,"&gt;="&amp; DATE(YEAR(FF7),MONTH(FF7)-11,DAY(FF7)),$E$21:FF21)</f>
        <v>0</v>
      </c>
      <c r="FG25" s="43">
        <f>SUMIF($E$7:FG7,"&gt;="&amp; DATE(YEAR(FG7),MONTH(FG7)-11,DAY(FG7)),$E$21:FG21)</f>
        <v>0</v>
      </c>
      <c r="FH25" s="43">
        <f>SUMIF($E$7:FH7,"&gt;="&amp; DATE(YEAR(FH7),MONTH(FH7)-11,DAY(FH7)),$E$21:FH21)</f>
        <v>0</v>
      </c>
      <c r="FI25" s="43">
        <f>SUMIF($E$7:FI7,"&gt;="&amp; DATE(YEAR(FI7),MONTH(FI7)-11,DAY(FI7)),$E$21:FI21)</f>
        <v>0</v>
      </c>
      <c r="FJ25" s="43">
        <f>SUMIF($E$7:FJ7,"&gt;="&amp; DATE(YEAR(FJ7),MONTH(FJ7)-11,DAY(FJ7)),$E$21:FJ21)</f>
        <v>0</v>
      </c>
      <c r="FK25" s="43">
        <f>SUMIF($E$7:FK7,"&gt;="&amp; DATE(YEAR(FK7),MONTH(FK7)-11,DAY(FK7)),$E$21:FK21)</f>
        <v>0</v>
      </c>
      <c r="FL25" s="43">
        <f>SUMIF($E$7:FL7,"&gt;="&amp; DATE(YEAR(FL7),MONTH(FL7)-11,DAY(FL7)),$E$21:FL21)</f>
        <v>0</v>
      </c>
      <c r="FM25" s="43">
        <f>SUMIF($E$7:FM7,"&gt;="&amp; DATE(YEAR(FM7),MONTH(FM7)-11,DAY(FM7)),$E$21:FM21)</f>
        <v>0</v>
      </c>
      <c r="FN25" s="43">
        <f>SUMIF($E$7:FN7,"&gt;="&amp; DATE(YEAR(FN7),MONTH(FN7)-11,DAY(FN7)),$E$21:FN21)</f>
        <v>0</v>
      </c>
      <c r="FO25" s="43">
        <f>SUMIF($E$7:FO7,"&gt;="&amp; DATE(YEAR(FO7),MONTH(FO7)-11,DAY(FO7)),$E$21:FO21)</f>
        <v>0</v>
      </c>
      <c r="FP25" s="43">
        <f>SUMIF($E$7:FP7,"&gt;="&amp; DATE(YEAR(FP7),MONTH(FP7)-11,DAY(FP7)),$E$21:FP21)</f>
        <v>0</v>
      </c>
      <c r="FQ25" s="43">
        <f>SUMIF($E$7:FQ7,"&gt;="&amp; DATE(YEAR(FQ7),MONTH(FQ7)-11,DAY(FQ7)),$E$21:FQ21)</f>
        <v>0</v>
      </c>
      <c r="FR25" s="43">
        <f>SUMIF($E$7:FR7,"&gt;="&amp; DATE(YEAR(FR7),MONTH(FR7)-11,DAY(FR7)),$E$21:FR21)</f>
        <v>0</v>
      </c>
      <c r="FS25" s="43">
        <f>SUMIF($E$7:FS7,"&gt;="&amp; DATE(YEAR(FS7),MONTH(FS7)-11,DAY(FS7)),$E$21:FS21)</f>
        <v>0</v>
      </c>
      <c r="FT25" s="43">
        <f>SUMIF($E$7:FT7,"&gt;="&amp; DATE(YEAR(FT7),MONTH(FT7)-11,DAY(FT7)),$E$21:FT21)</f>
        <v>0</v>
      </c>
      <c r="FU25" s="43">
        <f>SUMIF($E$7:FU7,"&gt;="&amp; DATE(YEAR(FU7),MONTH(FU7)-11,DAY(FU7)),$E$21:FU21)</f>
        <v>0</v>
      </c>
      <c r="FV25" s="43">
        <f>SUMIF($E$7:FV7,"&gt;="&amp; DATE(YEAR(FV7),MONTH(FV7)-11,DAY(FV7)),$E$21:FV21)</f>
        <v>0</v>
      </c>
      <c r="FW25" s="43">
        <f>SUMIF($E$7:FW7,"&gt;="&amp; DATE(YEAR(FW7),MONTH(FW7)-11,DAY(FW7)),$E$21:FW21)</f>
        <v>0</v>
      </c>
      <c r="FX25" s="43">
        <f>SUMIF($E$7:FX7,"&gt;="&amp; DATE(YEAR(FX7),MONTH(FX7)-11,DAY(FX7)),$E$21:FX21)</f>
        <v>0</v>
      </c>
      <c r="FY25" s="43">
        <f>SUMIF($E$7:FY7,"&gt;="&amp; DATE(YEAR(FY7),MONTH(FY7)-11,DAY(FY7)),$E$21:FY21)</f>
        <v>0</v>
      </c>
      <c r="FZ25" s="43">
        <f>SUMIF($E$7:FZ7,"&gt;="&amp; DATE(YEAR(FZ7),MONTH(FZ7)-11,DAY(FZ7)),$E$21:FZ21)</f>
        <v>0</v>
      </c>
      <c r="GA25" s="43">
        <f>SUMIF($E$7:GA7,"&gt;="&amp; DATE(YEAR(GA7),MONTH(GA7)-11,DAY(GA7)),$E$21:GA21)</f>
        <v>0</v>
      </c>
      <c r="GB25" s="43">
        <f>SUMIF($E$7:GB7,"&gt;="&amp; DATE(YEAR(GB7),MONTH(GB7)-11,DAY(GB7)),$E$21:GB21)</f>
        <v>0</v>
      </c>
      <c r="GC25" s="43">
        <f>SUMIF($E$7:GC7,"&gt;="&amp; DATE(YEAR(GC7),MONTH(GC7)-11,DAY(GC7)),$E$21:GC21)</f>
        <v>0</v>
      </c>
      <c r="GD25" s="43">
        <f>SUMIF($E$7:GD7,"&gt;="&amp; DATE(YEAR(GD7),MONTH(GD7)-11,DAY(GD7)),$E$21:GD21)</f>
        <v>0</v>
      </c>
      <c r="GE25" s="43">
        <f>SUMIF($E$7:GE7,"&gt;="&amp; DATE(YEAR(GE7),MONTH(GE7)-11,DAY(GE7)),$E$21:GE21)</f>
        <v>0</v>
      </c>
      <c r="GF25" s="43">
        <f>SUMIF($E$7:GF7,"&gt;="&amp; DATE(YEAR(GF7),MONTH(GF7)-11,DAY(GF7)),$E$21:GF21)</f>
        <v>0</v>
      </c>
      <c r="GG25" s="43">
        <f>SUMIF($E$7:GG7,"&gt;="&amp; DATE(YEAR(GG7),MONTH(GG7)-11,DAY(GG7)),$E$21:GG21)</f>
        <v>0</v>
      </c>
      <c r="GH25" s="43">
        <f>SUMIF($E$7:GH7,"&gt;="&amp; DATE(YEAR(GH7),MONTH(GH7)-11,DAY(GH7)),$E$21:GH21)</f>
        <v>0</v>
      </c>
      <c r="GI25" s="43">
        <f>SUMIF($E$7:GI7,"&gt;="&amp; DATE(YEAR(GI7),MONTH(GI7)-11,DAY(GI7)),$E$21:GI21)</f>
        <v>0</v>
      </c>
      <c r="GJ25" s="43">
        <f>SUMIF($E$7:GJ7,"&gt;="&amp; DATE(YEAR(GJ7),MONTH(GJ7)-11,DAY(GJ7)),$E$21:GJ21)</f>
        <v>0</v>
      </c>
      <c r="GK25" s="43">
        <f>SUMIF($E$7:GK7,"&gt;="&amp; DATE(YEAR(GK7),MONTH(GK7)-11,DAY(GK7)),$E$21:GK21)</f>
        <v>0</v>
      </c>
      <c r="GL25" s="43">
        <f>SUMIF($E$7:GL7,"&gt;="&amp; DATE(YEAR(GL7),MONTH(GL7)-11,DAY(GL7)),$E$21:GL21)</f>
        <v>0</v>
      </c>
      <c r="GM25" s="43">
        <f>SUMIF($E$7:GM7,"&gt;="&amp; DATE(YEAR(GM7),MONTH(GM7)-11,DAY(GM7)),$E$21:GM21)</f>
        <v>0</v>
      </c>
      <c r="GN25" s="43">
        <f>SUMIF($E$7:GN7,"&gt;="&amp; DATE(YEAR(GN7),MONTH(GN7)-11,DAY(GN7)),$E$21:GN21)</f>
        <v>0</v>
      </c>
      <c r="GO25" s="43">
        <f>SUMIF($E$7:GO7,"&gt;="&amp; DATE(YEAR(GO7),MONTH(GO7)-11,DAY(GO7)),$E$21:GO21)</f>
        <v>0</v>
      </c>
      <c r="GP25" s="43">
        <f>SUMIF($E$7:GP7,"&gt;="&amp; DATE(YEAR(GP7),MONTH(GP7)-11,DAY(GP7)),$E$21:GP21)</f>
        <v>0</v>
      </c>
      <c r="GQ25" s="43">
        <f>SUMIF($E$7:GQ7,"&gt;="&amp; DATE(YEAR(GQ7),MONTH(GQ7)-11,DAY(GQ7)),$E$21:GQ21)</f>
        <v>0</v>
      </c>
      <c r="GR25" s="43">
        <f>SUMIF($E$7:GR7,"&gt;="&amp; DATE(YEAR(GR7),MONTH(GR7)-11,DAY(GR7)),$E$21:GR21)</f>
        <v>0</v>
      </c>
      <c r="GS25" s="43">
        <f>SUMIF($E$7:GS7,"&gt;="&amp; DATE(YEAR(GS7),MONTH(GS7)-11,DAY(GS7)),$E$21:GS21)</f>
        <v>0</v>
      </c>
      <c r="GT25" s="43">
        <f>SUMIF($E$7:GT7,"&gt;="&amp; DATE(YEAR(GT7),MONTH(GT7)-11,DAY(GT7)),$E$21:GT21)</f>
        <v>0</v>
      </c>
      <c r="GU25" s="43">
        <f>SUMIF($E$7:GU7,"&gt;="&amp; DATE(YEAR(GU7),MONTH(GU7)-11,DAY(GU7)),$E$21:GU21)</f>
        <v>0</v>
      </c>
      <c r="GV25" s="43">
        <f>SUMIF($E$7:GV7,"&gt;="&amp; DATE(YEAR(GV7),MONTH(GV7)-11,DAY(GV7)),$E$21:GV21)</f>
        <v>0</v>
      </c>
      <c r="GW25" s="43">
        <f>SUMIF($E$7:GW7,"&gt;="&amp; DATE(YEAR(GW7),MONTH(GW7)-11,DAY(GW7)),$E$21:GW21)</f>
        <v>0</v>
      </c>
      <c r="GX25" s="43">
        <f>SUMIF($E$7:GX7,"&gt;="&amp; DATE(YEAR(GX7),MONTH(GX7)-11,DAY(GX7)),$E$21:GX21)</f>
        <v>0</v>
      </c>
      <c r="GY25" s="43">
        <f>SUMIF($E$7:GY7,"&gt;="&amp; DATE(YEAR(GY7),MONTH(GY7)-11,DAY(GY7)),$E$21:GY21)</f>
        <v>0</v>
      </c>
      <c r="GZ25" s="43">
        <f>SUMIF($E$7:GZ7,"&gt;="&amp; DATE(YEAR(GZ7),MONTH(GZ7)-11,DAY(GZ7)),$E$21:GZ21)</f>
        <v>0</v>
      </c>
      <c r="HA25" s="43">
        <f>SUMIF($E$7:HA7,"&gt;="&amp; DATE(YEAR(HA7),MONTH(HA7)-11,DAY(HA7)),$E$21:HA21)</f>
        <v>0</v>
      </c>
      <c r="HB25" s="43">
        <f>SUMIF($E$7:HB7,"&gt;="&amp; DATE(YEAR(HB7),MONTH(HB7)-11,DAY(HB7)),$E$21:HB21)</f>
        <v>0</v>
      </c>
      <c r="HC25" s="43">
        <f>SUMIF($E$7:HC7,"&gt;="&amp; DATE(YEAR(HC7),MONTH(HC7)-11,DAY(HC7)),$E$21:HC21)</f>
        <v>0</v>
      </c>
      <c r="HD25" s="43">
        <f>SUMIF($E$7:HD7,"&gt;="&amp; DATE(YEAR(HD7),MONTH(HD7)-11,DAY(HD7)),$E$21:HD21)</f>
        <v>0</v>
      </c>
      <c r="HE25" s="43">
        <f>SUMIF($E$7:HE7,"&gt;="&amp; DATE(YEAR(HE7),MONTH(HE7)-11,DAY(HE7)),$E$21:HE21)</f>
        <v>0</v>
      </c>
      <c r="HF25" s="43">
        <f>SUMIF($E$7:HF7,"&gt;="&amp; DATE(YEAR(HF7),MONTH(HF7)-11,DAY(HF7)),$E$21:HF21)</f>
        <v>0</v>
      </c>
      <c r="HG25" s="43">
        <f>SUMIF($E$7:HG7,"&gt;="&amp; DATE(YEAR(HG7),MONTH(HG7)-11,DAY(HG7)),$E$21:HG21)</f>
        <v>0</v>
      </c>
      <c r="HH25" s="43">
        <f>SUMIF($E$7:HH7,"&gt;="&amp; DATE(YEAR(HH7),MONTH(HH7)-11,DAY(HH7)),$E$21:HH21)</f>
        <v>0</v>
      </c>
      <c r="HI25" s="43">
        <f>SUMIF($E$7:HI7,"&gt;="&amp; DATE(YEAR(HI7),MONTH(HI7)-11,DAY(HI7)),$E$21:HI21)</f>
        <v>0</v>
      </c>
      <c r="HJ25" s="43">
        <f>SUMIF($E$7:HJ7,"&gt;="&amp; DATE(YEAR(HJ7),MONTH(HJ7)-11,DAY(HJ7)),$E$21:HJ21)</f>
        <v>0</v>
      </c>
      <c r="HK25" s="43">
        <f>SUMIF($E$7:HK7,"&gt;="&amp; DATE(YEAR(HK7),MONTH(HK7)-11,DAY(HK7)),$E$21:HK21)</f>
        <v>0</v>
      </c>
      <c r="HL25" s="43">
        <f>SUMIF($E$7:HL7,"&gt;="&amp; DATE(YEAR(HL7),MONTH(HL7)-11,DAY(HL7)),$E$21:HL21)</f>
        <v>0</v>
      </c>
      <c r="HM25" s="43">
        <f>SUMIF($E$7:HM7,"&gt;="&amp; DATE(YEAR(HM7),MONTH(HM7)-11,DAY(HM7)),$E$21:HM21)</f>
        <v>0</v>
      </c>
      <c r="HN25" s="43">
        <f>SUMIF($E$7:HN7,"&gt;="&amp; DATE(YEAR(HN7),MONTH(HN7)-11,DAY(HN7)),$E$21:HN21)</f>
        <v>0</v>
      </c>
      <c r="HO25" s="43">
        <f>SUMIF($E$7:HO7,"&gt;="&amp; DATE(YEAR(HO7),MONTH(HO7)-11,DAY(HO7)),$E$21:HO21)</f>
        <v>0</v>
      </c>
      <c r="HP25" s="43">
        <f>SUMIF($E$7:HP7,"&gt;="&amp; DATE(YEAR(HP7),MONTH(HP7)-11,DAY(HP7)),$E$21:HP21)</f>
        <v>0</v>
      </c>
      <c r="HQ25" s="43">
        <f>SUMIF($E$7:HQ7,"&gt;="&amp; DATE(YEAR(HQ7),MONTH(HQ7)-11,DAY(HQ7)),$E$21:HQ21)</f>
        <v>0</v>
      </c>
      <c r="HR25" s="43">
        <f>SUMIF($E$7:HR7,"&gt;="&amp; DATE(YEAR(HR7),MONTH(HR7)-11,DAY(HR7)),$E$21:HR21)</f>
        <v>0</v>
      </c>
      <c r="HS25" s="43">
        <f>SUMIF($E$7:HS7,"&gt;="&amp; DATE(YEAR(HS7),MONTH(HS7)-11,DAY(HS7)),$E$21:HS21)</f>
        <v>0</v>
      </c>
      <c r="HT25" s="43">
        <f>SUMIF($E$7:HT7,"&gt;="&amp; DATE(YEAR(HT7),MONTH(HT7)-11,DAY(HT7)),$E$21:HT21)</f>
        <v>0</v>
      </c>
      <c r="HU25" s="43">
        <f>SUMIF($E$7:HU7,"&gt;="&amp; DATE(YEAR(HU7),MONTH(HU7)-11,DAY(HU7)),$E$21:HU21)</f>
        <v>0</v>
      </c>
      <c r="HV25" s="43">
        <f>SUMIF($E$7:HV7,"&gt;="&amp; DATE(YEAR(HV7),MONTH(HV7)-11,DAY(HV7)),$E$21:HV21)</f>
        <v>0</v>
      </c>
      <c r="HW25" s="43">
        <f>SUMIF($E$7:HW7,"&gt;="&amp; DATE(YEAR(HW7),MONTH(HW7)-11,DAY(HW7)),$E$21:HW21)</f>
        <v>0</v>
      </c>
      <c r="HX25" s="43">
        <f>SUMIF($E$7:HX7,"&gt;="&amp; DATE(YEAR(HX7),MONTH(HX7)-11,DAY(HX7)),$E$21:HX21)</f>
        <v>0</v>
      </c>
      <c r="HY25" s="43">
        <f>SUMIF($E$7:HY7,"&gt;="&amp; DATE(YEAR(HY7),MONTH(HY7)-11,DAY(HY7)),$E$21:HY21)</f>
        <v>0</v>
      </c>
      <c r="HZ25" s="43">
        <f>SUMIF($E$7:HZ7,"&gt;="&amp; DATE(YEAR(HZ7),MONTH(HZ7)-11,DAY(HZ7)),$E$21:HZ21)</f>
        <v>0</v>
      </c>
      <c r="IA25" s="43">
        <f>SUMIF($E$7:IA7,"&gt;="&amp; DATE(YEAR(IA7),MONTH(IA7)-11,DAY(IA7)),$E$21:IA21)</f>
        <v>0</v>
      </c>
      <c r="IB25" s="43">
        <f>SUMIF($E$7:IB7,"&gt;="&amp; DATE(YEAR(IB7),MONTH(IB7)-11,DAY(IB7)),$E$21:IB21)</f>
        <v>0</v>
      </c>
      <c r="IC25" s="43">
        <f>SUMIF($E$7:IC7,"&gt;="&amp; DATE(YEAR(IC7),MONTH(IC7)-11,DAY(IC7)),$E$21:IC21)</f>
        <v>0</v>
      </c>
      <c r="ID25" s="43">
        <f>SUMIF($E$7:ID7,"&gt;="&amp; DATE(YEAR(ID7),MONTH(ID7)-11,DAY(ID7)),$E$21:ID21)</f>
        <v>0</v>
      </c>
      <c r="IE25" s="43">
        <f>SUMIF($E$7:IE7,"&gt;="&amp; DATE(YEAR(IE7),MONTH(IE7)-11,DAY(IE7)),$E$21:IE21)</f>
        <v>0</v>
      </c>
      <c r="IF25" s="43">
        <f>SUMIF($E$7:IF7,"&gt;="&amp; DATE(YEAR(IF7),MONTH(IF7)-11,DAY(IF7)),$E$21:IF21)</f>
        <v>0</v>
      </c>
      <c r="IG25" s="43">
        <f>SUMIF($E$7:IG7,"&gt;="&amp; DATE(YEAR(IG7),MONTH(IG7)-11,DAY(IG7)),$E$21:IG21)</f>
        <v>0</v>
      </c>
      <c r="IH25" s="43">
        <f>SUMIF($E$7:IH7,"&gt;="&amp; DATE(YEAR(IH7),MONTH(IH7)-11,DAY(IH7)),$E$21:IH21)</f>
        <v>0</v>
      </c>
      <c r="II25" s="43">
        <f>SUMIF($E$7:II7,"&gt;="&amp; DATE(YEAR(II7),MONTH(II7)-11,DAY(II7)),$E$21:II21)</f>
        <v>0</v>
      </c>
      <c r="IJ25" s="43">
        <f>SUMIF($E$7:IJ7,"&gt;="&amp; DATE(YEAR(IJ7),MONTH(IJ7)-11,DAY(IJ7)),$E$21:IJ21)</f>
        <v>0</v>
      </c>
      <c r="IK25" s="43">
        <f>SUMIF($E$7:IK7,"&gt;="&amp; DATE(YEAR(IK7),MONTH(IK7)-11,DAY(IK7)),$E$21:IK21)</f>
        <v>0</v>
      </c>
      <c r="IL25" s="43">
        <f>SUMIF($E$7:IL7,"&gt;="&amp; DATE(YEAR(IL7),MONTH(IL7)-11,DAY(IL7)),$E$21:IL21)</f>
        <v>0</v>
      </c>
      <c r="IM25" s="43">
        <f>SUMIF($E$7:IM7,"&gt;="&amp; DATE(YEAR(IM7),MONTH(IM7)-11,DAY(IM7)),$E$21:IM21)</f>
        <v>0</v>
      </c>
      <c r="IN25" s="43">
        <f>SUMIF($E$7:IN7,"&gt;="&amp; DATE(YEAR(IN7),MONTH(IN7)-11,DAY(IN7)),$E$21:IN21)</f>
        <v>0</v>
      </c>
      <c r="IO25" s="43">
        <f>SUMIF($E$7:IO7,"&gt;="&amp; DATE(YEAR(IO7),MONTH(IO7)-11,DAY(IO7)),$E$21:IO21)</f>
        <v>0</v>
      </c>
      <c r="IP25" s="43">
        <f>SUMIF($E$7:IP7,"&gt;="&amp; DATE(YEAR(IP7),MONTH(IP7)-11,DAY(IP7)),$E$21:IP21)</f>
        <v>0</v>
      </c>
      <c r="IQ25" s="43">
        <f>SUMIF($E$7:IQ7,"&gt;="&amp; DATE(YEAR(IQ7),MONTH(IQ7)-11,DAY(IQ7)),$E$21:IQ21)</f>
        <v>0</v>
      </c>
      <c r="IR25" s="43">
        <f>SUMIF($E$7:IR7,"&gt;="&amp; DATE(YEAR(IR7),MONTH(IR7)-11,DAY(IR7)),$E$21:IR21)</f>
        <v>0</v>
      </c>
      <c r="IS25" s="43">
        <f>SUMIF($E$7:IS7,"&gt;="&amp; DATE(YEAR(IS7),MONTH(IS7)-11,DAY(IS7)),$E$21:IS21)</f>
        <v>0</v>
      </c>
      <c r="IT25" s="43">
        <f>SUMIF($E$7:IT7,"&gt;="&amp; DATE(YEAR(IT7),MONTH(IT7)-11,DAY(IT7)),$E$21:IT21)</f>
        <v>0</v>
      </c>
      <c r="IU25" s="43">
        <f>SUMIF($E$7:IU7,"&gt;="&amp; DATE(YEAR(IU7),MONTH(IU7)-11,DAY(IU7)),$E$21:IU21)</f>
        <v>0</v>
      </c>
      <c r="IV25" s="43">
        <f>SUMIF($E$7:IV7,"&gt;="&amp; DATE(YEAR(IV7),MONTH(IV7)-11,DAY(IV7)),$E$21:IV21)</f>
        <v>0</v>
      </c>
      <c r="IW25" s="43">
        <f>SUMIF($E$7:IW7,"&gt;="&amp; DATE(YEAR(IW7),MONTH(IW7)-11,DAY(IW7)),$E$21:IW21)</f>
        <v>0</v>
      </c>
      <c r="IX25" s="43">
        <f>SUMIF($E$7:IX7,"&gt;="&amp; DATE(YEAR(IX7),MONTH(IX7)-11,DAY(IX7)),$E$21:IX21)</f>
        <v>0</v>
      </c>
      <c r="IY25" s="43">
        <f>SUMIF($E$7:IY7,"&gt;="&amp; DATE(YEAR(IY7),MONTH(IY7)-11,DAY(IY7)),$E$21:IY21)</f>
        <v>0</v>
      </c>
      <c r="IZ25" s="43">
        <f>SUMIF($E$7:IZ7,"&gt;="&amp; DATE(YEAR(IZ7),MONTH(IZ7)-11,DAY(IZ7)),$E$21:IZ21)</f>
        <v>0</v>
      </c>
      <c r="JA25" s="43">
        <f>SUMIF($E$7:JA7,"&gt;="&amp; DATE(YEAR(JA7),MONTH(JA7)-11,DAY(JA7)),$E$21:JA21)</f>
        <v>0</v>
      </c>
      <c r="JB25" s="43">
        <f>SUMIF($E$7:JB7,"&gt;="&amp; DATE(YEAR(JB7),MONTH(JB7)-11,DAY(JB7)),$E$21:JB21)</f>
        <v>0</v>
      </c>
      <c r="JC25" s="43">
        <f>SUMIF($E$7:JC7,"&gt;="&amp; DATE(YEAR(JC7),MONTH(JC7)-11,DAY(JC7)),$E$21:JC21)</f>
        <v>0</v>
      </c>
      <c r="JD25" s="43">
        <f>SUMIF($E$7:JD7,"&gt;="&amp; DATE(YEAR(JD7),MONTH(JD7)-11,DAY(JD7)),$E$21:JD21)</f>
        <v>0</v>
      </c>
      <c r="JE25" s="43">
        <f>SUMIF($E$7:JE7,"&gt;="&amp; DATE(YEAR(JE7),MONTH(JE7)-11,DAY(JE7)),$E$21:JE21)</f>
        <v>0</v>
      </c>
      <c r="JF25" s="43">
        <f>SUMIF($E$7:JF7,"&gt;="&amp; DATE(YEAR(JF7),MONTH(JF7)-11,DAY(JF7)),$E$21:JF21)</f>
        <v>0</v>
      </c>
      <c r="JG25" s="43">
        <f>SUMIF($E$7:JG7,"&gt;="&amp; DATE(YEAR(JG7),MONTH(JG7)-11,DAY(JG7)),$E$21:JG21)</f>
        <v>0</v>
      </c>
      <c r="JH25" s="43">
        <f>SUMIF($E$7:JH7,"&gt;="&amp; DATE(YEAR(JH7),MONTH(JH7)-11,DAY(JH7)),$E$21:JH21)</f>
        <v>0</v>
      </c>
      <c r="JI25" s="43">
        <f>SUMIF($E$7:JI7,"&gt;="&amp; DATE(YEAR(JI7),MONTH(JI7)-11,DAY(JI7)),$E$21:JI21)</f>
        <v>0</v>
      </c>
      <c r="JJ25" s="43">
        <f>SUMIF($E$7:JJ7,"&gt;="&amp; DATE(YEAR(JJ7),MONTH(JJ7)-11,DAY(JJ7)),$E$21:JJ21)</f>
        <v>0</v>
      </c>
      <c r="JK25" s="43">
        <f>SUMIF($E$7:JK7,"&gt;="&amp; DATE(YEAR(JK7),MONTH(JK7)-11,DAY(JK7)),$E$21:JK21)</f>
        <v>0</v>
      </c>
      <c r="JL25" s="43">
        <f>SUMIF($E$7:JL7,"&gt;="&amp; DATE(YEAR(JL7),MONTH(JL7)-11,DAY(JL7)),$E$21:JL21)</f>
        <v>0</v>
      </c>
      <c r="JM25" s="43">
        <f>SUMIF($E$7:JM7,"&gt;="&amp; DATE(YEAR(JM7),MONTH(JM7)-11,DAY(JM7)),$E$21:JM21)</f>
        <v>0</v>
      </c>
      <c r="JN25" s="43">
        <f>SUMIF($E$7:JN7,"&gt;="&amp; DATE(YEAR(JN7),MONTH(JN7)-11,DAY(JN7)),$E$21:JN21)</f>
        <v>0</v>
      </c>
      <c r="JO25" s="43">
        <f>SUMIF($E$7:JO7,"&gt;="&amp; DATE(YEAR(JO7),MONTH(JO7)-11,DAY(JO7)),$E$21:JO21)</f>
        <v>0</v>
      </c>
      <c r="JP25" s="43">
        <f>SUMIF($E$7:JP7,"&gt;="&amp; DATE(YEAR(JP7),MONTH(JP7)-11,DAY(JP7)),$E$21:JP21)</f>
        <v>0</v>
      </c>
      <c r="JQ25" s="43">
        <f>SUMIF($E$7:JQ7,"&gt;="&amp; DATE(YEAR(JQ7),MONTH(JQ7)-11,DAY(JQ7)),$E$21:JQ21)</f>
        <v>0</v>
      </c>
      <c r="JR25" s="43">
        <f>SUMIF($E$7:JR7,"&gt;="&amp; DATE(YEAR(JR7),MONTH(JR7)-11,DAY(JR7)),$E$21:JR21)</f>
        <v>0</v>
      </c>
      <c r="JS25" s="43">
        <f>SUMIF($E$7:JS7,"&gt;="&amp; DATE(YEAR(JS7),MONTH(JS7)-11,DAY(JS7)),$E$21:JS21)</f>
        <v>0</v>
      </c>
      <c r="JT25" s="43">
        <f>SUMIF($E$7:JT7,"&gt;="&amp; DATE(YEAR(JT7),MONTH(JT7)-11,DAY(JT7)),$E$21:JT21)</f>
        <v>0</v>
      </c>
      <c r="JU25" s="43">
        <f>SUMIF($E$7:JU7,"&gt;="&amp; DATE(YEAR(JU7),MONTH(JU7)-11,DAY(JU7)),$E$21:JU21)</f>
        <v>0</v>
      </c>
      <c r="JV25" s="43">
        <f>SUMIF($E$7:JV7,"&gt;="&amp; DATE(YEAR(JV7),MONTH(JV7)-11,DAY(JV7)),$E$21:JV21)</f>
        <v>0</v>
      </c>
      <c r="JW25" s="43">
        <f>SUMIF($E$7:JW7,"&gt;="&amp; DATE(YEAR(JW7),MONTH(JW7)-11,DAY(JW7)),$E$21:JW21)</f>
        <v>0</v>
      </c>
      <c r="JX25" s="43">
        <f>SUMIF($E$7:JX7,"&gt;="&amp; DATE(YEAR(JX7),MONTH(JX7)-11,DAY(JX7)),$E$21:JX21)</f>
        <v>0</v>
      </c>
      <c r="JY25" s="43">
        <f>SUMIF($E$7:JY7,"&gt;="&amp; DATE(YEAR(JY7),MONTH(JY7)-11,DAY(JY7)),$E$21:JY21)</f>
        <v>0</v>
      </c>
      <c r="JZ25" s="43">
        <f>SUMIF($E$7:JZ7,"&gt;="&amp; DATE(YEAR(JZ7),MONTH(JZ7)-11,DAY(JZ7)),$E$21:JZ21)</f>
        <v>0</v>
      </c>
      <c r="KA25" s="43">
        <f>SUMIF($E$7:KA7,"&gt;="&amp; DATE(YEAR(KA7),MONTH(KA7)-11,DAY(KA7)),$E$21:KA21)</f>
        <v>0</v>
      </c>
      <c r="KB25" s="43">
        <f>SUMIF($E$7:KB7,"&gt;="&amp; DATE(YEAR(KB7),MONTH(KB7)-11,DAY(KB7)),$E$21:KB21)</f>
        <v>0</v>
      </c>
      <c r="KC25" s="43">
        <f>SUMIF($E$7:KC7,"&gt;="&amp; DATE(YEAR(KC7),MONTH(KC7)-11,DAY(KC7)),$E$21:KC21)</f>
        <v>0</v>
      </c>
      <c r="KD25" s="43">
        <f>SUMIF($E$7:KD7,"&gt;="&amp; DATE(YEAR(KD7),MONTH(KD7)-11,DAY(KD7)),$E$21:KD21)</f>
        <v>0</v>
      </c>
      <c r="KE25" s="43">
        <f>SUMIF($E$7:KE7,"&gt;="&amp; DATE(YEAR(KE7),MONTH(KE7)-11,DAY(KE7)),$E$21:KE21)</f>
        <v>0</v>
      </c>
      <c r="KF25" s="43">
        <f>SUMIF($E$7:KF7,"&gt;="&amp; DATE(YEAR(KF7),MONTH(KF7)-11,DAY(KF7)),$E$21:KF21)</f>
        <v>0</v>
      </c>
      <c r="KG25" s="43">
        <f>SUMIF($E$7:KG7,"&gt;="&amp; DATE(YEAR(KG7),MONTH(KG7)-11,DAY(KG7)),$E$21:KG21)</f>
        <v>0</v>
      </c>
      <c r="KH25" s="43">
        <f>SUMIF($E$7:KH7,"&gt;="&amp; DATE(YEAR(KH7),MONTH(KH7)-11,DAY(KH7)),$E$21:KH21)</f>
        <v>0</v>
      </c>
      <c r="KI25" s="43">
        <f>SUMIF($E$7:KI7,"&gt;="&amp; DATE(YEAR(KI7),MONTH(KI7)-11,DAY(KI7)),$E$21:KI21)</f>
        <v>0</v>
      </c>
      <c r="KJ25" s="43">
        <f>SUMIF($E$7:KJ7,"&gt;="&amp; DATE(YEAR(KJ7),MONTH(KJ7)-11,DAY(KJ7)),$E$21:KJ21)</f>
        <v>0</v>
      </c>
      <c r="KK25" s="43">
        <f>SUMIF($E$7:KK7,"&gt;="&amp; DATE(YEAR(KK7),MONTH(KK7)-11,DAY(KK7)),$E$21:KK21)</f>
        <v>0</v>
      </c>
      <c r="KL25" s="43">
        <f>SUMIF($E$7:KL7,"&gt;="&amp; DATE(YEAR(KL7),MONTH(KL7)-11,DAY(KL7)),$E$21:KL21)</f>
        <v>0</v>
      </c>
      <c r="KM25" s="43">
        <f>SUMIF($E$7:KM7,"&gt;="&amp; DATE(YEAR(KM7),MONTH(KM7)-11,DAY(KM7)),$E$21:KM21)</f>
        <v>0</v>
      </c>
      <c r="KN25" s="43">
        <f>SUMIF($E$7:KN7,"&gt;="&amp; DATE(YEAR(KN7),MONTH(KN7)-11,DAY(KN7)),$E$21:KN21)</f>
        <v>0</v>
      </c>
      <c r="KO25" s="43">
        <f>SUMIF($E$7:KO7,"&gt;="&amp; DATE(YEAR(KO7),MONTH(KO7)-11,DAY(KO7)),$E$21:KO21)</f>
        <v>0</v>
      </c>
      <c r="KP25" s="43">
        <f>SUMIF($E$7:KP7,"&gt;="&amp; DATE(YEAR(KP7),MONTH(KP7)-11,DAY(KP7)),$E$21:KP21)</f>
        <v>0</v>
      </c>
      <c r="KQ25" s="43">
        <f>SUMIF($E$7:KQ7,"&gt;="&amp; DATE(YEAR(KQ7),MONTH(KQ7)-11,DAY(KQ7)),$E$21:KQ21)</f>
        <v>0</v>
      </c>
      <c r="KR25" s="43">
        <f>SUMIF($E$7:KR7,"&gt;="&amp; DATE(YEAR(KR7),MONTH(KR7)-11,DAY(KR7)),$E$21:KR21)</f>
        <v>0</v>
      </c>
      <c r="KS25" s="43">
        <f>SUMIF($E$7:KS7,"&gt;="&amp; DATE(YEAR(KS7),MONTH(KS7)-11,DAY(KS7)),$E$21:KS21)</f>
        <v>0</v>
      </c>
      <c r="KT25" s="43">
        <f>SUMIF($E$7:KT7,"&gt;="&amp; DATE(YEAR(KT7),MONTH(KT7)-11,DAY(KT7)),$E$21:KT21)</f>
        <v>0</v>
      </c>
      <c r="KU25" s="43">
        <f>SUMIF($E$7:KU7,"&gt;="&amp; DATE(YEAR(KU7),MONTH(KU7)-11,DAY(KU7)),$E$21:KU21)</f>
        <v>0</v>
      </c>
      <c r="KV25" s="43">
        <f>SUMIF($E$7:KV7,"&gt;="&amp; DATE(YEAR(KV7),MONTH(KV7)-11,DAY(KV7)),$E$21:KV21)</f>
        <v>0</v>
      </c>
      <c r="KW25" s="43">
        <f>SUMIF($E$7:KW7,"&gt;="&amp; DATE(YEAR(KW7),MONTH(KW7)-11,DAY(KW7)),$E$21:KW21)</f>
        <v>0</v>
      </c>
      <c r="KX25" s="43">
        <f>SUMIF($E$7:KX7,"&gt;="&amp; DATE(YEAR(KX7),MONTH(KX7)-11,DAY(KX7)),$E$21:KX21)</f>
        <v>0</v>
      </c>
      <c r="KY25" s="43">
        <f>SUMIF($E$7:KY7,"&gt;="&amp; DATE(YEAR(KY7),MONTH(KY7)-11,DAY(KY7)),$E$21:KY21)</f>
        <v>0</v>
      </c>
      <c r="KZ25" s="43">
        <f>SUMIF($E$7:KZ7,"&gt;="&amp; DATE(YEAR(KZ7),MONTH(KZ7)-11,DAY(KZ7)),$E$21:KZ21)</f>
        <v>0</v>
      </c>
      <c r="LA25" s="43">
        <f>SUMIF($E$7:LA7,"&gt;="&amp; DATE(YEAR(LA7),MONTH(LA7)-11,DAY(LA7)),$E$21:LA21)</f>
        <v>0</v>
      </c>
      <c r="LB25" s="43">
        <f>SUMIF($E$7:LB7,"&gt;="&amp; DATE(YEAR(LB7),MONTH(LB7)-11,DAY(LB7)),$E$21:LB21)</f>
        <v>0</v>
      </c>
      <c r="LC25" s="43">
        <f>SUMIF($E$7:LC7,"&gt;="&amp; DATE(YEAR(LC7),MONTH(LC7)-11,DAY(LC7)),$E$21:LC21)</f>
        <v>0</v>
      </c>
      <c r="LD25" s="43">
        <f>SUMIF($E$7:LD7,"&gt;="&amp; DATE(YEAR(LD7),MONTH(LD7)-11,DAY(LD7)),$E$21:LD21)</f>
        <v>0</v>
      </c>
      <c r="LE25" s="43">
        <f>SUMIF($E$7:LE7,"&gt;="&amp; DATE(YEAR(LE7),MONTH(LE7)-11,DAY(LE7)),$E$21:LE21)</f>
        <v>0</v>
      </c>
      <c r="LF25" s="43">
        <f>SUMIF($E$7:LF7,"&gt;="&amp; DATE(YEAR(LF7),MONTH(LF7)-11,DAY(LF7)),$E$21:LF21)</f>
        <v>0</v>
      </c>
      <c r="LG25" s="43">
        <f>SUMIF($E$7:LG7,"&gt;="&amp; DATE(YEAR(LG7),MONTH(LG7)-11,DAY(LG7)),$E$21:LG21)</f>
        <v>0</v>
      </c>
      <c r="LH25" s="43">
        <f>SUMIF($E$7:LH7,"&gt;="&amp; DATE(YEAR(LH7),MONTH(LH7)-11,DAY(LH7)),$E$21:LH21)</f>
        <v>0</v>
      </c>
      <c r="LI25" s="43">
        <f>SUMIF($E$7:LI7,"&gt;="&amp; DATE(YEAR(LI7),MONTH(LI7)-11,DAY(LI7)),$E$21:LI21)</f>
        <v>0</v>
      </c>
      <c r="LJ25" s="43">
        <f>SUMIF($E$7:LJ7,"&gt;="&amp; DATE(YEAR(LJ7),MONTH(LJ7)-11,DAY(LJ7)),$E$21:LJ21)</f>
        <v>0</v>
      </c>
      <c r="LK25" s="43">
        <f>SUMIF($E$7:LK7,"&gt;="&amp; DATE(YEAR(LK7),MONTH(LK7)-11,DAY(LK7)),$E$21:LK21)</f>
        <v>0</v>
      </c>
      <c r="LL25" s="43">
        <f>SUMIF($E$7:LL7,"&gt;="&amp; DATE(YEAR(LL7),MONTH(LL7)-11,DAY(LL7)),$E$21:LL21)</f>
        <v>0</v>
      </c>
      <c r="LM25" s="43">
        <f>SUMIF($E$7:LM7,"&gt;="&amp; DATE(YEAR(LM7),MONTH(LM7)-11,DAY(LM7)),$E$21:LM21)</f>
        <v>0</v>
      </c>
      <c r="LN25" s="43">
        <f>SUMIF($E$7:LN7,"&gt;="&amp; DATE(YEAR(LN7),MONTH(LN7)-11,DAY(LN7)),$E$21:LN21)</f>
        <v>0</v>
      </c>
      <c r="LO25" s="43">
        <f>SUMIF($E$7:LO7,"&gt;="&amp; DATE(YEAR(LO7),MONTH(LO7)-11,DAY(LO7)),$E$21:LO21)</f>
        <v>0</v>
      </c>
      <c r="LP25" s="43">
        <f>SUMIF($E$7:LP7,"&gt;="&amp; DATE(YEAR(LP7),MONTH(LP7)-11,DAY(LP7)),$E$21:LP21)</f>
        <v>0</v>
      </c>
      <c r="LQ25" s="43">
        <f>SUMIF($E$7:LQ7,"&gt;="&amp; DATE(YEAR(LQ7),MONTH(LQ7)-11,DAY(LQ7)),$E$21:LQ21)</f>
        <v>0</v>
      </c>
      <c r="LR25" s="43">
        <f>SUMIF($E$7:LR7,"&gt;="&amp; DATE(YEAR(LR7),MONTH(LR7)-11,DAY(LR7)),$E$21:LR21)</f>
        <v>0</v>
      </c>
      <c r="LS25" s="43">
        <f>SUMIF($E$7:LS7,"&gt;="&amp; DATE(YEAR(LS7),MONTH(LS7)-11,DAY(LS7)),$E$21:LS21)</f>
        <v>0</v>
      </c>
      <c r="LT25" s="43">
        <f>SUMIF($E$7:LT7,"&gt;="&amp; DATE(YEAR(LT7),MONTH(LT7)-11,DAY(LT7)),$E$21:LT21)</f>
        <v>0</v>
      </c>
      <c r="LU25" s="43">
        <f>SUMIF($E$7:LU7,"&gt;="&amp; DATE(YEAR(LU7),MONTH(LU7)-11,DAY(LU7)),$E$21:LU21)</f>
        <v>0</v>
      </c>
      <c r="LV25" s="43">
        <f>SUMIF($E$7:LV7,"&gt;="&amp; DATE(YEAR(LV7),MONTH(LV7)-11,DAY(LV7)),$E$21:LV21)</f>
        <v>0</v>
      </c>
      <c r="LW25" s="43">
        <f>SUMIF($E$7:LW7,"&gt;="&amp; DATE(YEAR(LW7),MONTH(LW7)-11,DAY(LW7)),$E$21:LW21)</f>
        <v>0</v>
      </c>
      <c r="LX25" s="43">
        <f>SUMIF($E$7:LX7,"&gt;="&amp; DATE(YEAR(LX7),MONTH(LX7)-11,DAY(LX7)),$E$21:LX21)</f>
        <v>0</v>
      </c>
      <c r="LY25" s="43">
        <f>SUMIF($E$7:LY7,"&gt;="&amp; DATE(YEAR(LY7),MONTH(LY7)-11,DAY(LY7)),$E$21:LY21)</f>
        <v>0</v>
      </c>
      <c r="MA25" s="6"/>
    </row>
    <row r="26" spans="2:339">
      <c r="B26" s="148"/>
      <c r="C26" s="51" t="s">
        <v>50</v>
      </c>
      <c r="E26" s="1" t="str">
        <f>IFERROR((((E25*1000000)/E13)*E4),"-")</f>
        <v>-</v>
      </c>
      <c r="F26" s="1" t="str">
        <f t="shared" ref="F26:Q26" si="780">IFERROR((((F25*1000000)/F13)*F4),"-")</f>
        <v>-</v>
      </c>
      <c r="G26" s="1" t="str">
        <f t="shared" si="780"/>
        <v>-</v>
      </c>
      <c r="H26" s="1" t="str">
        <f t="shared" si="780"/>
        <v>-</v>
      </c>
      <c r="I26" s="1" t="str">
        <f t="shared" si="780"/>
        <v>-</v>
      </c>
      <c r="J26" s="1" t="str">
        <f t="shared" si="780"/>
        <v>-</v>
      </c>
      <c r="K26" s="1" t="str">
        <f t="shared" si="780"/>
        <v>-</v>
      </c>
      <c r="L26" s="1" t="str">
        <f t="shared" si="780"/>
        <v>-</v>
      </c>
      <c r="M26" s="1" t="str">
        <f t="shared" si="780"/>
        <v>-</v>
      </c>
      <c r="N26" s="1" t="str">
        <f t="shared" si="780"/>
        <v>-</v>
      </c>
      <c r="O26" s="1" t="str">
        <f t="shared" si="780"/>
        <v>-</v>
      </c>
      <c r="P26" s="1" t="str">
        <f t="shared" si="780"/>
        <v>-</v>
      </c>
      <c r="Q26" s="1" t="str">
        <f t="shared" si="780"/>
        <v>-</v>
      </c>
      <c r="R26" s="1" t="str">
        <f t="shared" ref="R26" si="781">IFERROR((((R25*1000000)/R13)*R4),"-")</f>
        <v>-</v>
      </c>
      <c r="S26" s="1" t="str">
        <f t="shared" ref="S26" si="782">IFERROR((((S25*1000000)/S13)*S4),"-")</f>
        <v>-</v>
      </c>
      <c r="T26" s="1" t="str">
        <f t="shared" ref="T26" si="783">IFERROR((((T25*1000000)/T13)*T4),"-")</f>
        <v>-</v>
      </c>
      <c r="U26" s="1" t="str">
        <f t="shared" ref="U26" si="784">IFERROR((((U25*1000000)/U13)*U4),"-")</f>
        <v>-</v>
      </c>
      <c r="V26" s="1" t="str">
        <f t="shared" ref="V26" si="785">IFERROR((((V25*1000000)/V13)*V4),"-")</f>
        <v>-</v>
      </c>
      <c r="W26" s="1" t="str">
        <f t="shared" ref="W26" si="786">IFERROR((((W25*1000000)/W13)*W4),"-")</f>
        <v>-</v>
      </c>
      <c r="X26" s="1" t="str">
        <f t="shared" ref="X26" si="787">IFERROR((((X25*1000000)/X13)*X4),"-")</f>
        <v>-</v>
      </c>
      <c r="Y26" s="1" t="str">
        <f t="shared" ref="Y26" si="788">IFERROR((((Y25*1000000)/Y13)*Y4),"-")</f>
        <v>-</v>
      </c>
      <c r="Z26" s="1" t="str">
        <f t="shared" ref="Z26" si="789">IFERROR((((Z25*1000000)/Z13)*Z4),"-")</f>
        <v>-</v>
      </c>
      <c r="AA26" s="1" t="str">
        <f t="shared" ref="AA26" si="790">IFERROR((((AA25*1000000)/AA13)*AA4),"-")</f>
        <v>-</v>
      </c>
      <c r="AB26" s="1" t="str">
        <f t="shared" ref="AB26" si="791">IFERROR((((AB25*1000000)/AB13)*AB4),"-")</f>
        <v>-</v>
      </c>
      <c r="AC26" s="1" t="str">
        <f t="shared" ref="AC26" si="792">IFERROR((((AC25*1000000)/AC13)*AC4),"-")</f>
        <v>-</v>
      </c>
      <c r="AD26" s="1" t="str">
        <f t="shared" ref="AD26" si="793">IFERROR((((AD25*1000000)/AD13)*AD4),"-")</f>
        <v>-</v>
      </c>
      <c r="AE26" s="1" t="str">
        <f t="shared" ref="AE26" si="794">IFERROR((((AE25*1000000)/AE13)*AE4),"-")</f>
        <v>-</v>
      </c>
      <c r="AF26" s="1" t="str">
        <f t="shared" ref="AF26" si="795">IFERROR((((AF25*1000000)/AF13)*AF4),"-")</f>
        <v>-</v>
      </c>
      <c r="AG26" s="1" t="str">
        <f t="shared" ref="AG26" si="796">IFERROR((((AG25*1000000)/AG13)*AG4),"-")</f>
        <v>-</v>
      </c>
      <c r="AH26" s="1" t="str">
        <f t="shared" ref="AH26" si="797">IFERROR((((AH25*1000000)/AH13)*AH4),"-")</f>
        <v>-</v>
      </c>
      <c r="AI26" s="1" t="str">
        <f t="shared" ref="AI26" si="798">IFERROR((((AI25*1000000)/AI13)*AI4),"-")</f>
        <v>-</v>
      </c>
      <c r="AJ26" s="1" t="str">
        <f t="shared" ref="AJ26" si="799">IFERROR((((AJ25*1000000)/AJ13)*AJ4),"-")</f>
        <v>-</v>
      </c>
      <c r="AK26" s="1" t="str">
        <f t="shared" ref="AK26" si="800">IFERROR((((AK25*1000000)/AK13)*AK4),"-")</f>
        <v>-</v>
      </c>
      <c r="AL26" s="1" t="str">
        <f t="shared" ref="AL26" si="801">IFERROR((((AL25*1000000)/AL13)*AL4),"-")</f>
        <v>-</v>
      </c>
      <c r="AM26" s="1" t="str">
        <f t="shared" ref="AM26" si="802">IFERROR((((AM25*1000000)/AM13)*AM4),"-")</f>
        <v>-</v>
      </c>
      <c r="AN26" s="1" t="str">
        <f t="shared" ref="AN26" si="803">IFERROR((((AN25*1000000)/AN13)*AN4),"-")</f>
        <v>-</v>
      </c>
      <c r="AO26" s="1" t="str">
        <f t="shared" ref="AO26" si="804">IFERROR((((AO25*1000000)/AO13)*AO4),"-")</f>
        <v>-</v>
      </c>
      <c r="AP26" s="1" t="str">
        <f t="shared" ref="AP26" si="805">IFERROR((((AP25*1000000)/AP13)*AP4),"-")</f>
        <v>-</v>
      </c>
      <c r="AQ26" s="1" t="str">
        <f t="shared" ref="AQ26" si="806">IFERROR((((AQ25*1000000)/AQ13)*AQ4),"-")</f>
        <v>-</v>
      </c>
      <c r="AR26" s="1" t="str">
        <f t="shared" ref="AR26" si="807">IFERROR((((AR25*1000000)/AR13)*AR4),"-")</f>
        <v>-</v>
      </c>
      <c r="AS26" s="1" t="str">
        <f t="shared" ref="AS26" si="808">IFERROR((((AS25*1000000)/AS13)*AS4),"-")</f>
        <v>-</v>
      </c>
      <c r="AT26" s="1" t="str">
        <f t="shared" ref="AT26" si="809">IFERROR((((AT25*1000000)/AT13)*AT4),"-")</f>
        <v>-</v>
      </c>
      <c r="AU26" s="1" t="str">
        <f t="shared" ref="AU26" si="810">IFERROR((((AU25*1000000)/AU13)*AU4),"-")</f>
        <v>-</v>
      </c>
      <c r="AV26" s="1" t="str">
        <f t="shared" ref="AV26" si="811">IFERROR((((AV25*1000000)/AV13)*AV4),"-")</f>
        <v>-</v>
      </c>
      <c r="AW26" s="1" t="str">
        <f t="shared" ref="AW26" si="812">IFERROR((((AW25*1000000)/AW13)*AW4),"-")</f>
        <v>-</v>
      </c>
      <c r="AX26" s="1" t="str">
        <f t="shared" ref="AX26" si="813">IFERROR((((AX25*1000000)/AX13)*AX4),"-")</f>
        <v>-</v>
      </c>
      <c r="AY26" s="1" t="str">
        <f t="shared" ref="AY26" si="814">IFERROR((((AY25*1000000)/AY13)*AY4),"-")</f>
        <v>-</v>
      </c>
      <c r="AZ26" s="1" t="str">
        <f t="shared" ref="AZ26" si="815">IFERROR((((AZ25*1000000)/AZ13)*AZ4),"-")</f>
        <v>-</v>
      </c>
      <c r="BA26" s="1" t="str">
        <f t="shared" ref="BA26" si="816">IFERROR((((BA25*1000000)/BA13)*BA4),"-")</f>
        <v>-</v>
      </c>
      <c r="BB26" s="1" t="str">
        <f t="shared" ref="BB26" si="817">IFERROR((((BB25*1000000)/BB13)*BB4),"-")</f>
        <v>-</v>
      </c>
      <c r="BC26" s="1" t="str">
        <f t="shared" ref="BC26" si="818">IFERROR((((BC25*1000000)/BC13)*BC4),"-")</f>
        <v>-</v>
      </c>
      <c r="BD26" s="1" t="str">
        <f t="shared" ref="BD26" si="819">IFERROR((((BD25*1000000)/BD13)*BD4),"-")</f>
        <v>-</v>
      </c>
      <c r="BE26" s="1" t="str">
        <f t="shared" ref="BE26" si="820">IFERROR((((BE25*1000000)/BE13)*BE4),"-")</f>
        <v>-</v>
      </c>
      <c r="BF26" s="1" t="str">
        <f t="shared" ref="BF26" si="821">IFERROR((((BF25*1000000)/BF13)*BF4),"-")</f>
        <v>-</v>
      </c>
      <c r="BG26" s="1" t="str">
        <f t="shared" ref="BG26" si="822">IFERROR((((BG25*1000000)/BG13)*BG4),"-")</f>
        <v>-</v>
      </c>
      <c r="BH26" s="1" t="str">
        <f t="shared" ref="BH26" si="823">IFERROR((((BH25*1000000)/BH13)*BH4),"-")</f>
        <v>-</v>
      </c>
      <c r="BI26" s="1" t="str">
        <f t="shared" ref="BI26" si="824">IFERROR((((BI25*1000000)/BI13)*BI4),"-")</f>
        <v>-</v>
      </c>
      <c r="BJ26" s="1" t="str">
        <f t="shared" ref="BJ26" si="825">IFERROR((((BJ25*1000000)/BJ13)*BJ4),"-")</f>
        <v>-</v>
      </c>
      <c r="BK26" s="1" t="str">
        <f t="shared" ref="BK26" si="826">IFERROR((((BK25*1000000)/BK13)*BK4),"-")</f>
        <v>-</v>
      </c>
      <c r="BL26" s="1" t="str">
        <f t="shared" ref="BL26" si="827">IFERROR((((BL25*1000000)/BL13)*BL4),"-")</f>
        <v>-</v>
      </c>
      <c r="BM26" s="1" t="str">
        <f t="shared" ref="BM26" si="828">IFERROR((((BM25*1000000)/BM13)*BM4),"-")</f>
        <v>-</v>
      </c>
      <c r="BN26" s="1" t="str">
        <f t="shared" ref="BN26" si="829">IFERROR((((BN25*1000000)/BN13)*BN4),"-")</f>
        <v>-</v>
      </c>
      <c r="BO26" s="1" t="str">
        <f t="shared" ref="BO26" si="830">IFERROR((((BO25*1000000)/BO13)*BO4),"-")</f>
        <v>-</v>
      </c>
      <c r="BP26" s="1" t="str">
        <f t="shared" ref="BP26" si="831">IFERROR((((BP25*1000000)/BP13)*BP4),"-")</f>
        <v>-</v>
      </c>
      <c r="BQ26" s="1" t="str">
        <f t="shared" ref="BQ26" si="832">IFERROR((((BQ25*1000000)/BQ13)*BQ4),"-")</f>
        <v>-</v>
      </c>
      <c r="BR26" s="1" t="str">
        <f t="shared" ref="BR26" si="833">IFERROR((((BR25*1000000)/BR13)*BR4),"-")</f>
        <v>-</v>
      </c>
      <c r="BS26" s="1" t="str">
        <f t="shared" ref="BS26" si="834">IFERROR((((BS25*1000000)/BS13)*BS4),"-")</f>
        <v>-</v>
      </c>
      <c r="BT26" s="1" t="str">
        <f t="shared" ref="BT26" si="835">IFERROR((((BT25*1000000)/BT13)*BT4),"-")</f>
        <v>-</v>
      </c>
      <c r="BU26" s="1" t="str">
        <f t="shared" ref="BU26" si="836">IFERROR((((BU25*1000000)/BU13)*BU4),"-")</f>
        <v>-</v>
      </c>
      <c r="BV26" s="1" t="str">
        <f t="shared" ref="BV26" si="837">IFERROR((((BV25*1000000)/BV13)*BV4),"-")</f>
        <v>-</v>
      </c>
      <c r="BW26" s="1" t="str">
        <f t="shared" ref="BW26" si="838">IFERROR((((BW25*1000000)/BW13)*BW4),"-")</f>
        <v>-</v>
      </c>
      <c r="BX26" s="1" t="str">
        <f t="shared" ref="BX26" si="839">IFERROR((((BX25*1000000)/BX13)*BX4),"-")</f>
        <v>-</v>
      </c>
      <c r="BY26" s="1" t="str">
        <f t="shared" ref="BY26" si="840">IFERROR((((BY25*1000000)/BY13)*BY4),"-")</f>
        <v>-</v>
      </c>
      <c r="BZ26" s="1" t="str">
        <f t="shared" ref="BZ26" si="841">IFERROR((((BZ25*1000000)/BZ13)*BZ4),"-")</f>
        <v>-</v>
      </c>
      <c r="CA26" s="1" t="str">
        <f t="shared" ref="CA26" si="842">IFERROR((((CA25*1000000)/CA13)*CA4),"-")</f>
        <v>-</v>
      </c>
      <c r="CB26" s="1" t="str">
        <f t="shared" ref="CB26" si="843">IFERROR((((CB25*1000000)/CB13)*CB4),"-")</f>
        <v>-</v>
      </c>
      <c r="CC26" s="1" t="str">
        <f t="shared" ref="CC26" si="844">IFERROR((((CC25*1000000)/CC13)*CC4),"-")</f>
        <v>-</v>
      </c>
      <c r="CD26" s="1" t="str">
        <f t="shared" ref="CD26" si="845">IFERROR((((CD25*1000000)/CD13)*CD4),"-")</f>
        <v>-</v>
      </c>
      <c r="CE26" s="1" t="str">
        <f t="shared" ref="CE26" si="846">IFERROR((((CE25*1000000)/CE13)*CE4),"-")</f>
        <v>-</v>
      </c>
      <c r="CF26" s="1" t="str">
        <f t="shared" ref="CF26" si="847">IFERROR((((CF25*1000000)/CF13)*CF4),"-")</f>
        <v>-</v>
      </c>
      <c r="CG26" s="1" t="str">
        <f t="shared" ref="CG26" si="848">IFERROR((((CG25*1000000)/CG13)*CG4),"-")</f>
        <v>-</v>
      </c>
      <c r="CH26" s="1" t="str">
        <f t="shared" ref="CH26" si="849">IFERROR((((CH25*1000000)/CH13)*CH4),"-")</f>
        <v>-</v>
      </c>
      <c r="CI26" s="1" t="str">
        <f t="shared" ref="CI26" si="850">IFERROR((((CI25*1000000)/CI13)*CI4),"-")</f>
        <v>-</v>
      </c>
      <c r="CJ26" s="1" t="str">
        <f t="shared" ref="CJ26" si="851">IFERROR((((CJ25*1000000)/CJ13)*CJ4),"-")</f>
        <v>-</v>
      </c>
      <c r="CK26" s="1" t="str">
        <f t="shared" ref="CK26" si="852">IFERROR((((CK25*1000000)/CK13)*CK4),"-")</f>
        <v>-</v>
      </c>
      <c r="CL26" s="1" t="str">
        <f t="shared" ref="CL26" si="853">IFERROR((((CL25*1000000)/CL13)*CL4),"-")</f>
        <v>-</v>
      </c>
      <c r="CM26" s="1" t="str">
        <f t="shared" ref="CM26" si="854">IFERROR((((CM25*1000000)/CM13)*CM4),"-")</f>
        <v>-</v>
      </c>
      <c r="CN26" s="1" t="str">
        <f t="shared" ref="CN26" si="855">IFERROR((((CN25*1000000)/CN13)*CN4),"-")</f>
        <v>-</v>
      </c>
      <c r="CO26" s="1" t="str">
        <f t="shared" ref="CO26" si="856">IFERROR((((CO25*1000000)/CO13)*CO4),"-")</f>
        <v>-</v>
      </c>
      <c r="CP26" s="1" t="str">
        <f t="shared" ref="CP26" si="857">IFERROR((((CP25*1000000)/CP13)*CP4),"-")</f>
        <v>-</v>
      </c>
      <c r="CQ26" s="1" t="str">
        <f t="shared" ref="CQ26" si="858">IFERROR((((CQ25*1000000)/CQ13)*CQ4),"-")</f>
        <v>-</v>
      </c>
      <c r="CR26" s="1" t="str">
        <f t="shared" ref="CR26" si="859">IFERROR((((CR25*1000000)/CR13)*CR4),"-")</f>
        <v>-</v>
      </c>
      <c r="CS26" s="1" t="str">
        <f t="shared" ref="CS26" si="860">IFERROR((((CS25*1000000)/CS13)*CS4),"-")</f>
        <v>-</v>
      </c>
      <c r="CT26" s="1" t="str">
        <f t="shared" ref="CT26" si="861">IFERROR((((CT25*1000000)/CT13)*CT4),"-")</f>
        <v>-</v>
      </c>
      <c r="CU26" s="1" t="str">
        <f t="shared" ref="CU26" si="862">IFERROR((((CU25*1000000)/CU13)*CU4),"-")</f>
        <v>-</v>
      </c>
      <c r="CV26" s="1" t="str">
        <f t="shared" ref="CV26" si="863">IFERROR((((CV25*1000000)/CV13)*CV4),"-")</f>
        <v>-</v>
      </c>
      <c r="CW26" s="1" t="str">
        <f t="shared" ref="CW26" si="864">IFERROR((((CW25*1000000)/CW13)*CW4),"-")</f>
        <v>-</v>
      </c>
      <c r="CX26" s="1" t="str">
        <f t="shared" ref="CX26" si="865">IFERROR((((CX25*1000000)/CX13)*CX4),"-")</f>
        <v>-</v>
      </c>
      <c r="CY26" s="1" t="str">
        <f t="shared" ref="CY26" si="866">IFERROR((((CY25*1000000)/CY13)*CY4),"-")</f>
        <v>-</v>
      </c>
      <c r="CZ26" s="1" t="str">
        <f t="shared" ref="CZ26" si="867">IFERROR((((CZ25*1000000)/CZ13)*CZ4),"-")</f>
        <v>-</v>
      </c>
      <c r="DA26" s="1" t="str">
        <f t="shared" ref="DA26" si="868">IFERROR((((DA25*1000000)/DA13)*DA4),"-")</f>
        <v>-</v>
      </c>
      <c r="DB26" s="1" t="str">
        <f t="shared" ref="DB26" si="869">IFERROR((((DB25*1000000)/DB13)*DB4),"-")</f>
        <v>-</v>
      </c>
      <c r="DC26" s="1" t="str">
        <f t="shared" ref="DC26" si="870">IFERROR((((DC25*1000000)/DC13)*DC4),"-")</f>
        <v>-</v>
      </c>
      <c r="DD26" s="1" t="str">
        <f t="shared" ref="DD26" si="871">IFERROR((((DD25*1000000)/DD13)*DD4),"-")</f>
        <v>-</v>
      </c>
      <c r="DE26" s="1" t="str">
        <f t="shared" ref="DE26" si="872">IFERROR((((DE25*1000000)/DE13)*DE4),"-")</f>
        <v>-</v>
      </c>
      <c r="DF26" s="1" t="str">
        <f t="shared" ref="DF26" si="873">IFERROR((((DF25*1000000)/DF13)*DF4),"-")</f>
        <v>-</v>
      </c>
      <c r="DG26" s="1" t="str">
        <f t="shared" ref="DG26" si="874">IFERROR((((DG25*1000000)/DG13)*DG4),"-")</f>
        <v>-</v>
      </c>
      <c r="DH26" s="1" t="str">
        <f t="shared" ref="DH26" si="875">IFERROR((((DH25*1000000)/DH13)*DH4),"-")</f>
        <v>-</v>
      </c>
      <c r="DI26" s="1" t="str">
        <f t="shared" ref="DI26" si="876">IFERROR((((DI25*1000000)/DI13)*DI4),"-")</f>
        <v>-</v>
      </c>
      <c r="DJ26" s="1" t="str">
        <f t="shared" ref="DJ26" si="877">IFERROR((((DJ25*1000000)/DJ13)*DJ4),"-")</f>
        <v>-</v>
      </c>
      <c r="DK26" s="1" t="str">
        <f t="shared" ref="DK26" si="878">IFERROR((((DK25*1000000)/DK13)*DK4),"-")</f>
        <v>-</v>
      </c>
      <c r="DL26" s="1" t="str">
        <f t="shared" ref="DL26" si="879">IFERROR((((DL25*1000000)/DL13)*DL4),"-")</f>
        <v>-</v>
      </c>
      <c r="DM26" s="1" t="str">
        <f t="shared" ref="DM26" si="880">IFERROR((((DM25*1000000)/DM13)*DM4),"-")</f>
        <v>-</v>
      </c>
      <c r="DN26" s="1" t="str">
        <f t="shared" ref="DN26" si="881">IFERROR((((DN25*1000000)/DN13)*DN4),"-")</f>
        <v>-</v>
      </c>
      <c r="DO26" s="1" t="str">
        <f t="shared" ref="DO26" si="882">IFERROR((((DO25*1000000)/DO13)*DO4),"-")</f>
        <v>-</v>
      </c>
      <c r="DP26" s="1" t="str">
        <f t="shared" ref="DP26" si="883">IFERROR((((DP25*1000000)/DP13)*DP4),"-")</f>
        <v>-</v>
      </c>
      <c r="DQ26" s="1" t="str">
        <f t="shared" ref="DQ26" si="884">IFERROR((((DQ25*1000000)/DQ13)*DQ4),"-")</f>
        <v>-</v>
      </c>
      <c r="DR26" s="1" t="str">
        <f t="shared" ref="DR26" si="885">IFERROR((((DR25*1000000)/DR13)*DR4),"-")</f>
        <v>-</v>
      </c>
      <c r="DS26" s="1" t="str">
        <f t="shared" ref="DS26" si="886">IFERROR((((DS25*1000000)/DS13)*DS4),"-")</f>
        <v>-</v>
      </c>
      <c r="DT26" s="1" t="str">
        <f t="shared" ref="DT26" si="887">IFERROR((((DT25*1000000)/DT13)*DT4),"-")</f>
        <v>-</v>
      </c>
      <c r="DU26" s="1" t="str">
        <f t="shared" ref="DU26" si="888">IFERROR((((DU25*1000000)/DU13)*DU4),"-")</f>
        <v>-</v>
      </c>
      <c r="DV26" s="1" t="str">
        <f t="shared" ref="DV26" si="889">IFERROR((((DV25*1000000)/DV13)*DV4),"-")</f>
        <v>-</v>
      </c>
      <c r="DW26" s="1" t="str">
        <f t="shared" ref="DW26" si="890">IFERROR((((DW25*1000000)/DW13)*DW4),"-")</f>
        <v>-</v>
      </c>
      <c r="DX26" s="1" t="str">
        <f t="shared" ref="DX26" si="891">IFERROR((((DX25*1000000)/DX13)*DX4),"-")</f>
        <v>-</v>
      </c>
      <c r="DY26" s="1" t="str">
        <f t="shared" ref="DY26" si="892">IFERROR((((DY25*1000000)/DY13)*DY4),"-")</f>
        <v>-</v>
      </c>
      <c r="DZ26" s="1" t="str">
        <f t="shared" ref="DZ26" si="893">IFERROR((((DZ25*1000000)/DZ13)*DZ4),"-")</f>
        <v>-</v>
      </c>
      <c r="EA26" s="1" t="str">
        <f t="shared" ref="EA26" si="894">IFERROR((((EA25*1000000)/EA13)*EA4),"-")</f>
        <v>-</v>
      </c>
      <c r="EB26" s="1" t="str">
        <f t="shared" ref="EB26" si="895">IFERROR((((EB25*1000000)/EB13)*EB4),"-")</f>
        <v>-</v>
      </c>
      <c r="EC26" s="1" t="str">
        <f t="shared" ref="EC26" si="896">IFERROR((((EC25*1000000)/EC13)*EC4),"-")</f>
        <v>-</v>
      </c>
      <c r="ED26" s="1" t="str">
        <f t="shared" ref="ED26" si="897">IFERROR((((ED25*1000000)/ED13)*ED4),"-")</f>
        <v>-</v>
      </c>
      <c r="EE26" s="1" t="str">
        <f t="shared" ref="EE26" si="898">IFERROR((((EE25*1000000)/EE13)*EE4),"-")</f>
        <v>-</v>
      </c>
      <c r="EF26" s="1" t="str">
        <f t="shared" ref="EF26" si="899">IFERROR((((EF25*1000000)/EF13)*EF4),"-")</f>
        <v>-</v>
      </c>
      <c r="EG26" s="1" t="str">
        <f t="shared" ref="EG26" si="900">IFERROR((((EG25*1000000)/EG13)*EG4),"-")</f>
        <v>-</v>
      </c>
      <c r="EH26" s="1" t="str">
        <f t="shared" ref="EH26" si="901">IFERROR((((EH25*1000000)/EH13)*EH4),"-")</f>
        <v>-</v>
      </c>
      <c r="EI26" s="1" t="str">
        <f t="shared" ref="EI26" si="902">IFERROR((((EI25*1000000)/EI13)*EI4),"-")</f>
        <v>-</v>
      </c>
      <c r="EJ26" s="1" t="str">
        <f t="shared" ref="EJ26" si="903">IFERROR((((EJ25*1000000)/EJ13)*EJ4),"-")</f>
        <v>-</v>
      </c>
      <c r="EK26" s="1" t="str">
        <f t="shared" ref="EK26" si="904">IFERROR((((EK25*1000000)/EK13)*EK4),"-")</f>
        <v>-</v>
      </c>
      <c r="EL26" s="1" t="str">
        <f t="shared" ref="EL26" si="905">IFERROR((((EL25*1000000)/EL13)*EL4),"-")</f>
        <v>-</v>
      </c>
      <c r="EM26" s="1" t="str">
        <f t="shared" ref="EM26" si="906">IFERROR((((EM25*1000000)/EM13)*EM4),"-")</f>
        <v>-</v>
      </c>
      <c r="EN26" s="1" t="str">
        <f t="shared" ref="EN26" si="907">IFERROR((((EN25*1000000)/EN13)*EN4),"-")</f>
        <v>-</v>
      </c>
      <c r="EO26" s="1" t="str">
        <f t="shared" ref="EO26" si="908">IFERROR((((EO25*1000000)/EO13)*EO4),"-")</f>
        <v>-</v>
      </c>
      <c r="EP26" s="1" t="str">
        <f t="shared" ref="EP26" si="909">IFERROR((((EP25*1000000)/EP13)*EP4),"-")</f>
        <v>-</v>
      </c>
      <c r="EQ26" s="1" t="str">
        <f t="shared" ref="EQ26" si="910">IFERROR((((EQ25*1000000)/EQ13)*EQ4),"-")</f>
        <v>-</v>
      </c>
      <c r="ER26" s="1" t="str">
        <f t="shared" ref="ER26" si="911">IFERROR((((ER25*1000000)/ER13)*ER4),"-")</f>
        <v>-</v>
      </c>
      <c r="ES26" s="1" t="str">
        <f t="shared" ref="ES26" si="912">IFERROR((((ES25*1000000)/ES13)*ES4),"-")</f>
        <v>-</v>
      </c>
      <c r="ET26" s="1" t="str">
        <f t="shared" ref="ET26" si="913">IFERROR((((ET25*1000000)/ET13)*ET4),"-")</f>
        <v>-</v>
      </c>
      <c r="EU26" s="1" t="str">
        <f t="shared" ref="EU26" si="914">IFERROR((((EU25*1000000)/EU13)*EU4),"-")</f>
        <v>-</v>
      </c>
      <c r="EV26" s="1" t="str">
        <f t="shared" ref="EV26:HG26" si="915">IFERROR((((EV25*1000000)/EV13)*EV4),"-")</f>
        <v>-</v>
      </c>
      <c r="EW26" s="1" t="str">
        <f t="shared" si="915"/>
        <v>-</v>
      </c>
      <c r="EX26" s="1" t="str">
        <f t="shared" si="915"/>
        <v>-</v>
      </c>
      <c r="EY26" s="1" t="str">
        <f t="shared" si="915"/>
        <v>-</v>
      </c>
      <c r="EZ26" s="1" t="str">
        <f t="shared" si="915"/>
        <v>-</v>
      </c>
      <c r="FA26" s="1" t="str">
        <f t="shared" si="915"/>
        <v>-</v>
      </c>
      <c r="FB26" s="1" t="str">
        <f t="shared" si="915"/>
        <v>-</v>
      </c>
      <c r="FC26" s="1" t="str">
        <f t="shared" si="915"/>
        <v>-</v>
      </c>
      <c r="FD26" s="1" t="str">
        <f t="shared" si="915"/>
        <v>-</v>
      </c>
      <c r="FE26" s="1" t="str">
        <f t="shared" si="915"/>
        <v>-</v>
      </c>
      <c r="FF26" s="1" t="str">
        <f t="shared" si="915"/>
        <v>-</v>
      </c>
      <c r="FG26" s="1" t="str">
        <f t="shared" si="915"/>
        <v>-</v>
      </c>
      <c r="FH26" s="1" t="str">
        <f t="shared" si="915"/>
        <v>-</v>
      </c>
      <c r="FI26" s="1" t="str">
        <f t="shared" si="915"/>
        <v>-</v>
      </c>
      <c r="FJ26" s="1" t="str">
        <f t="shared" si="915"/>
        <v>-</v>
      </c>
      <c r="FK26" s="1" t="str">
        <f t="shared" si="915"/>
        <v>-</v>
      </c>
      <c r="FL26" s="1" t="str">
        <f t="shared" si="915"/>
        <v>-</v>
      </c>
      <c r="FM26" s="1" t="str">
        <f t="shared" si="915"/>
        <v>-</v>
      </c>
      <c r="FN26" s="1" t="str">
        <f t="shared" si="915"/>
        <v>-</v>
      </c>
      <c r="FO26" s="1" t="str">
        <f t="shared" si="915"/>
        <v>-</v>
      </c>
      <c r="FP26" s="1" t="str">
        <f t="shared" si="915"/>
        <v>-</v>
      </c>
      <c r="FQ26" s="1" t="str">
        <f t="shared" si="915"/>
        <v>-</v>
      </c>
      <c r="FR26" s="1" t="str">
        <f t="shared" si="915"/>
        <v>-</v>
      </c>
      <c r="FS26" s="1" t="str">
        <f t="shared" si="915"/>
        <v>-</v>
      </c>
      <c r="FT26" s="1" t="str">
        <f t="shared" si="915"/>
        <v>-</v>
      </c>
      <c r="FU26" s="1" t="str">
        <f t="shared" si="915"/>
        <v>-</v>
      </c>
      <c r="FV26" s="1" t="str">
        <f t="shared" si="915"/>
        <v>-</v>
      </c>
      <c r="FW26" s="1" t="str">
        <f t="shared" si="915"/>
        <v>-</v>
      </c>
      <c r="FX26" s="1" t="str">
        <f t="shared" si="915"/>
        <v>-</v>
      </c>
      <c r="FY26" s="1" t="str">
        <f t="shared" si="915"/>
        <v>-</v>
      </c>
      <c r="FZ26" s="1" t="str">
        <f t="shared" si="915"/>
        <v>-</v>
      </c>
      <c r="GA26" s="1" t="str">
        <f t="shared" si="915"/>
        <v>-</v>
      </c>
      <c r="GB26" s="1" t="str">
        <f t="shared" si="915"/>
        <v>-</v>
      </c>
      <c r="GC26" s="1" t="str">
        <f t="shared" si="915"/>
        <v>-</v>
      </c>
      <c r="GD26" s="1" t="str">
        <f t="shared" si="915"/>
        <v>-</v>
      </c>
      <c r="GE26" s="1" t="str">
        <f t="shared" si="915"/>
        <v>-</v>
      </c>
      <c r="GF26" s="1" t="str">
        <f t="shared" si="915"/>
        <v>-</v>
      </c>
      <c r="GG26" s="1" t="str">
        <f t="shared" si="915"/>
        <v>-</v>
      </c>
      <c r="GH26" s="1" t="str">
        <f t="shared" si="915"/>
        <v>-</v>
      </c>
      <c r="GI26" s="1" t="str">
        <f t="shared" si="915"/>
        <v>-</v>
      </c>
      <c r="GJ26" s="1" t="str">
        <f t="shared" si="915"/>
        <v>-</v>
      </c>
      <c r="GK26" s="1" t="str">
        <f t="shared" si="915"/>
        <v>-</v>
      </c>
      <c r="GL26" s="1" t="str">
        <f t="shared" si="915"/>
        <v>-</v>
      </c>
      <c r="GM26" s="1" t="str">
        <f t="shared" si="915"/>
        <v>-</v>
      </c>
      <c r="GN26" s="1" t="str">
        <f t="shared" si="915"/>
        <v>-</v>
      </c>
      <c r="GO26" s="1" t="str">
        <f t="shared" si="915"/>
        <v>-</v>
      </c>
      <c r="GP26" s="1" t="str">
        <f t="shared" si="915"/>
        <v>-</v>
      </c>
      <c r="GQ26" s="1" t="str">
        <f t="shared" si="915"/>
        <v>-</v>
      </c>
      <c r="GR26" s="1" t="str">
        <f t="shared" si="915"/>
        <v>-</v>
      </c>
      <c r="GS26" s="1" t="str">
        <f t="shared" si="915"/>
        <v>-</v>
      </c>
      <c r="GT26" s="1" t="str">
        <f t="shared" si="915"/>
        <v>-</v>
      </c>
      <c r="GU26" s="1" t="str">
        <f t="shared" si="915"/>
        <v>-</v>
      </c>
      <c r="GV26" s="1" t="str">
        <f t="shared" si="915"/>
        <v>-</v>
      </c>
      <c r="GW26" s="1" t="str">
        <f t="shared" si="915"/>
        <v>-</v>
      </c>
      <c r="GX26" s="1" t="str">
        <f t="shared" si="915"/>
        <v>-</v>
      </c>
      <c r="GY26" s="1" t="str">
        <f t="shared" si="915"/>
        <v>-</v>
      </c>
      <c r="GZ26" s="1" t="str">
        <f t="shared" si="915"/>
        <v>-</v>
      </c>
      <c r="HA26" s="1" t="str">
        <f t="shared" si="915"/>
        <v>-</v>
      </c>
      <c r="HB26" s="1" t="str">
        <f t="shared" si="915"/>
        <v>-</v>
      </c>
      <c r="HC26" s="1" t="str">
        <f t="shared" si="915"/>
        <v>-</v>
      </c>
      <c r="HD26" s="1" t="str">
        <f t="shared" si="915"/>
        <v>-</v>
      </c>
      <c r="HE26" s="1" t="str">
        <f t="shared" si="915"/>
        <v>-</v>
      </c>
      <c r="HF26" s="1" t="str">
        <f t="shared" si="915"/>
        <v>-</v>
      </c>
      <c r="HG26" s="1" t="str">
        <f t="shared" si="915"/>
        <v>-</v>
      </c>
      <c r="HH26" s="1" t="str">
        <f t="shared" ref="HH26:JS26" si="916">IFERROR((((HH25*1000000)/HH13)*HH4),"-")</f>
        <v>-</v>
      </c>
      <c r="HI26" s="1" t="str">
        <f t="shared" si="916"/>
        <v>-</v>
      </c>
      <c r="HJ26" s="1" t="str">
        <f t="shared" si="916"/>
        <v>-</v>
      </c>
      <c r="HK26" s="1" t="str">
        <f t="shared" si="916"/>
        <v>-</v>
      </c>
      <c r="HL26" s="1" t="str">
        <f t="shared" si="916"/>
        <v>-</v>
      </c>
      <c r="HM26" s="1" t="str">
        <f t="shared" si="916"/>
        <v>-</v>
      </c>
      <c r="HN26" s="1" t="str">
        <f t="shared" si="916"/>
        <v>-</v>
      </c>
      <c r="HO26" s="1" t="str">
        <f t="shared" si="916"/>
        <v>-</v>
      </c>
      <c r="HP26" s="1" t="str">
        <f t="shared" si="916"/>
        <v>-</v>
      </c>
      <c r="HQ26" s="1" t="str">
        <f t="shared" si="916"/>
        <v>-</v>
      </c>
      <c r="HR26" s="1" t="str">
        <f t="shared" si="916"/>
        <v>-</v>
      </c>
      <c r="HS26" s="1" t="str">
        <f t="shared" si="916"/>
        <v>-</v>
      </c>
      <c r="HT26" s="1" t="str">
        <f t="shared" si="916"/>
        <v>-</v>
      </c>
      <c r="HU26" s="1" t="str">
        <f t="shared" si="916"/>
        <v>-</v>
      </c>
      <c r="HV26" s="1" t="str">
        <f t="shared" si="916"/>
        <v>-</v>
      </c>
      <c r="HW26" s="1" t="str">
        <f t="shared" si="916"/>
        <v>-</v>
      </c>
      <c r="HX26" s="1" t="str">
        <f t="shared" si="916"/>
        <v>-</v>
      </c>
      <c r="HY26" s="1" t="str">
        <f t="shared" si="916"/>
        <v>-</v>
      </c>
      <c r="HZ26" s="1" t="str">
        <f t="shared" si="916"/>
        <v>-</v>
      </c>
      <c r="IA26" s="1" t="str">
        <f t="shared" si="916"/>
        <v>-</v>
      </c>
      <c r="IB26" s="1" t="str">
        <f t="shared" si="916"/>
        <v>-</v>
      </c>
      <c r="IC26" s="1" t="str">
        <f t="shared" si="916"/>
        <v>-</v>
      </c>
      <c r="ID26" s="1" t="str">
        <f t="shared" si="916"/>
        <v>-</v>
      </c>
      <c r="IE26" s="1" t="str">
        <f t="shared" si="916"/>
        <v>-</v>
      </c>
      <c r="IF26" s="1" t="str">
        <f t="shared" si="916"/>
        <v>-</v>
      </c>
      <c r="IG26" s="1" t="str">
        <f t="shared" si="916"/>
        <v>-</v>
      </c>
      <c r="IH26" s="1" t="str">
        <f t="shared" si="916"/>
        <v>-</v>
      </c>
      <c r="II26" s="1" t="str">
        <f t="shared" si="916"/>
        <v>-</v>
      </c>
      <c r="IJ26" s="1" t="str">
        <f t="shared" si="916"/>
        <v>-</v>
      </c>
      <c r="IK26" s="1" t="str">
        <f t="shared" si="916"/>
        <v>-</v>
      </c>
      <c r="IL26" s="1" t="str">
        <f t="shared" si="916"/>
        <v>-</v>
      </c>
      <c r="IM26" s="1" t="str">
        <f t="shared" si="916"/>
        <v>-</v>
      </c>
      <c r="IN26" s="1" t="str">
        <f t="shared" si="916"/>
        <v>-</v>
      </c>
      <c r="IO26" s="1" t="str">
        <f t="shared" si="916"/>
        <v>-</v>
      </c>
      <c r="IP26" s="1" t="str">
        <f t="shared" si="916"/>
        <v>-</v>
      </c>
      <c r="IQ26" s="1" t="str">
        <f t="shared" si="916"/>
        <v>-</v>
      </c>
      <c r="IR26" s="1" t="str">
        <f t="shared" si="916"/>
        <v>-</v>
      </c>
      <c r="IS26" s="1" t="str">
        <f t="shared" si="916"/>
        <v>-</v>
      </c>
      <c r="IT26" s="1" t="str">
        <f t="shared" si="916"/>
        <v>-</v>
      </c>
      <c r="IU26" s="1" t="str">
        <f t="shared" si="916"/>
        <v>-</v>
      </c>
      <c r="IV26" s="1" t="str">
        <f t="shared" si="916"/>
        <v>-</v>
      </c>
      <c r="IW26" s="1" t="str">
        <f t="shared" si="916"/>
        <v>-</v>
      </c>
      <c r="IX26" s="1" t="str">
        <f t="shared" si="916"/>
        <v>-</v>
      </c>
      <c r="IY26" s="1" t="str">
        <f t="shared" si="916"/>
        <v>-</v>
      </c>
      <c r="IZ26" s="1" t="str">
        <f t="shared" si="916"/>
        <v>-</v>
      </c>
      <c r="JA26" s="1" t="str">
        <f t="shared" si="916"/>
        <v>-</v>
      </c>
      <c r="JB26" s="1" t="str">
        <f t="shared" si="916"/>
        <v>-</v>
      </c>
      <c r="JC26" s="1" t="str">
        <f t="shared" si="916"/>
        <v>-</v>
      </c>
      <c r="JD26" s="1" t="str">
        <f t="shared" si="916"/>
        <v>-</v>
      </c>
      <c r="JE26" s="1" t="str">
        <f t="shared" si="916"/>
        <v>-</v>
      </c>
      <c r="JF26" s="1" t="str">
        <f t="shared" si="916"/>
        <v>-</v>
      </c>
      <c r="JG26" s="1" t="str">
        <f t="shared" si="916"/>
        <v>-</v>
      </c>
      <c r="JH26" s="1" t="str">
        <f t="shared" si="916"/>
        <v>-</v>
      </c>
      <c r="JI26" s="1" t="str">
        <f t="shared" si="916"/>
        <v>-</v>
      </c>
      <c r="JJ26" s="1" t="str">
        <f t="shared" si="916"/>
        <v>-</v>
      </c>
      <c r="JK26" s="1" t="str">
        <f t="shared" si="916"/>
        <v>-</v>
      </c>
      <c r="JL26" s="1" t="str">
        <f t="shared" si="916"/>
        <v>-</v>
      </c>
      <c r="JM26" s="1" t="str">
        <f t="shared" si="916"/>
        <v>-</v>
      </c>
      <c r="JN26" s="1" t="str">
        <f t="shared" si="916"/>
        <v>-</v>
      </c>
      <c r="JO26" s="1" t="str">
        <f t="shared" si="916"/>
        <v>-</v>
      </c>
      <c r="JP26" s="1" t="str">
        <f t="shared" si="916"/>
        <v>-</v>
      </c>
      <c r="JQ26" s="1" t="str">
        <f t="shared" si="916"/>
        <v>-</v>
      </c>
      <c r="JR26" s="1" t="str">
        <f t="shared" si="916"/>
        <v>-</v>
      </c>
      <c r="JS26" s="1" t="str">
        <f t="shared" si="916"/>
        <v>-</v>
      </c>
      <c r="JT26" s="1" t="str">
        <f t="shared" ref="JT26:LX26" si="917">IFERROR((((JT25*1000000)/JT13)*JT4),"-")</f>
        <v>-</v>
      </c>
      <c r="JU26" s="1" t="str">
        <f t="shared" si="917"/>
        <v>-</v>
      </c>
      <c r="JV26" s="1" t="str">
        <f t="shared" si="917"/>
        <v>-</v>
      </c>
      <c r="JW26" s="1" t="str">
        <f t="shared" si="917"/>
        <v>-</v>
      </c>
      <c r="JX26" s="1" t="str">
        <f t="shared" si="917"/>
        <v>-</v>
      </c>
      <c r="JY26" s="1" t="str">
        <f t="shared" si="917"/>
        <v>-</v>
      </c>
      <c r="JZ26" s="1" t="str">
        <f t="shared" si="917"/>
        <v>-</v>
      </c>
      <c r="KA26" s="1" t="str">
        <f t="shared" si="917"/>
        <v>-</v>
      </c>
      <c r="KB26" s="1" t="str">
        <f t="shared" si="917"/>
        <v>-</v>
      </c>
      <c r="KC26" s="1" t="str">
        <f t="shared" si="917"/>
        <v>-</v>
      </c>
      <c r="KD26" s="1" t="str">
        <f t="shared" si="917"/>
        <v>-</v>
      </c>
      <c r="KE26" s="1" t="str">
        <f t="shared" si="917"/>
        <v>-</v>
      </c>
      <c r="KF26" s="1" t="str">
        <f t="shared" si="917"/>
        <v>-</v>
      </c>
      <c r="KG26" s="1" t="str">
        <f t="shared" si="917"/>
        <v>-</v>
      </c>
      <c r="KH26" s="1" t="str">
        <f t="shared" si="917"/>
        <v>-</v>
      </c>
      <c r="KI26" s="1" t="str">
        <f t="shared" si="917"/>
        <v>-</v>
      </c>
      <c r="KJ26" s="1" t="str">
        <f t="shared" si="917"/>
        <v>-</v>
      </c>
      <c r="KK26" s="1" t="str">
        <f t="shared" si="917"/>
        <v>-</v>
      </c>
      <c r="KL26" s="1" t="str">
        <f t="shared" si="917"/>
        <v>-</v>
      </c>
      <c r="KM26" s="1" t="str">
        <f t="shared" si="917"/>
        <v>-</v>
      </c>
      <c r="KN26" s="1" t="str">
        <f t="shared" si="917"/>
        <v>-</v>
      </c>
      <c r="KO26" s="1" t="str">
        <f t="shared" si="917"/>
        <v>-</v>
      </c>
      <c r="KP26" s="1" t="str">
        <f t="shared" si="917"/>
        <v>-</v>
      </c>
      <c r="KQ26" s="1" t="str">
        <f t="shared" si="917"/>
        <v>-</v>
      </c>
      <c r="KR26" s="1" t="str">
        <f t="shared" si="917"/>
        <v>-</v>
      </c>
      <c r="KS26" s="1" t="str">
        <f t="shared" si="917"/>
        <v>-</v>
      </c>
      <c r="KT26" s="1" t="str">
        <f t="shared" si="917"/>
        <v>-</v>
      </c>
      <c r="KU26" s="1" t="str">
        <f t="shared" si="917"/>
        <v>-</v>
      </c>
      <c r="KV26" s="1" t="str">
        <f t="shared" si="917"/>
        <v>-</v>
      </c>
      <c r="KW26" s="1" t="str">
        <f t="shared" si="917"/>
        <v>-</v>
      </c>
      <c r="KX26" s="1" t="str">
        <f t="shared" si="917"/>
        <v>-</v>
      </c>
      <c r="KY26" s="1" t="str">
        <f t="shared" si="917"/>
        <v>-</v>
      </c>
      <c r="KZ26" s="1" t="str">
        <f t="shared" si="917"/>
        <v>-</v>
      </c>
      <c r="LA26" s="1" t="str">
        <f t="shared" si="917"/>
        <v>-</v>
      </c>
      <c r="LB26" s="1" t="str">
        <f t="shared" si="917"/>
        <v>-</v>
      </c>
      <c r="LC26" s="1" t="str">
        <f t="shared" si="917"/>
        <v>-</v>
      </c>
      <c r="LD26" s="1" t="str">
        <f t="shared" si="917"/>
        <v>-</v>
      </c>
      <c r="LE26" s="1" t="str">
        <f t="shared" si="917"/>
        <v>-</v>
      </c>
      <c r="LF26" s="1" t="str">
        <f t="shared" si="917"/>
        <v>-</v>
      </c>
      <c r="LG26" s="1" t="str">
        <f t="shared" si="917"/>
        <v>-</v>
      </c>
      <c r="LH26" s="1" t="str">
        <f t="shared" si="917"/>
        <v>-</v>
      </c>
      <c r="LI26" s="1" t="str">
        <f t="shared" si="917"/>
        <v>-</v>
      </c>
      <c r="LJ26" s="1" t="str">
        <f t="shared" si="917"/>
        <v>-</v>
      </c>
      <c r="LK26" s="1" t="str">
        <f t="shared" si="917"/>
        <v>-</v>
      </c>
      <c r="LL26" s="1" t="str">
        <f t="shared" si="917"/>
        <v>-</v>
      </c>
      <c r="LM26" s="1" t="str">
        <f t="shared" si="917"/>
        <v>-</v>
      </c>
      <c r="LN26" s="1" t="str">
        <f t="shared" si="917"/>
        <v>-</v>
      </c>
      <c r="LO26" s="1" t="str">
        <f t="shared" si="917"/>
        <v>-</v>
      </c>
      <c r="LP26" s="1" t="str">
        <f t="shared" si="917"/>
        <v>-</v>
      </c>
      <c r="LQ26" s="1" t="str">
        <f t="shared" si="917"/>
        <v>-</v>
      </c>
      <c r="LR26" s="1" t="str">
        <f t="shared" si="917"/>
        <v>-</v>
      </c>
      <c r="LS26" s="1" t="str">
        <f t="shared" si="917"/>
        <v>-</v>
      </c>
      <c r="LT26" s="1" t="str">
        <f t="shared" si="917"/>
        <v>-</v>
      </c>
      <c r="LU26" s="1" t="str">
        <f t="shared" si="917"/>
        <v>-</v>
      </c>
      <c r="LV26" s="1" t="str">
        <f t="shared" si="917"/>
        <v>-</v>
      </c>
      <c r="LW26" s="1" t="str">
        <f t="shared" si="917"/>
        <v>-</v>
      </c>
      <c r="LX26" s="1" t="str">
        <f t="shared" si="917"/>
        <v>-</v>
      </c>
      <c r="LY26" s="1" t="str">
        <f t="shared" ref="LY26" si="918">IFERROR((((LY25*1000000)/LY13)*LY4),"-")</f>
        <v>-</v>
      </c>
      <c r="MA26" s="6"/>
    </row>
    <row r="27" spans="2:339">
      <c r="B27" s="149" t="s">
        <v>5</v>
      </c>
      <c r="C27" s="40" t="s">
        <v>30</v>
      </c>
      <c r="E27" s="45">
        <f>SUM(E34)</f>
        <v>0</v>
      </c>
      <c r="F27" s="45">
        <f t="shared" ref="F27:Q27" si="919">SUM(F34)</f>
        <v>0</v>
      </c>
      <c r="G27" s="45">
        <f t="shared" si="919"/>
        <v>0</v>
      </c>
      <c r="H27" s="45">
        <f t="shared" si="919"/>
        <v>0</v>
      </c>
      <c r="I27" s="45">
        <f t="shared" si="919"/>
        <v>0</v>
      </c>
      <c r="J27" s="45">
        <f t="shared" si="919"/>
        <v>0</v>
      </c>
      <c r="K27" s="45">
        <f t="shared" si="919"/>
        <v>0</v>
      </c>
      <c r="L27" s="45">
        <f t="shared" si="919"/>
        <v>0</v>
      </c>
      <c r="M27" s="45">
        <f t="shared" si="919"/>
        <v>0</v>
      </c>
      <c r="N27" s="45">
        <f t="shared" si="919"/>
        <v>0</v>
      </c>
      <c r="O27" s="45">
        <f t="shared" si="919"/>
        <v>0</v>
      </c>
      <c r="P27" s="45">
        <f t="shared" si="919"/>
        <v>0</v>
      </c>
      <c r="Q27" s="45">
        <f t="shared" si="919"/>
        <v>0</v>
      </c>
      <c r="R27" s="45">
        <f t="shared" ref="R27:AG27" si="920">SUM(R34)</f>
        <v>0</v>
      </c>
      <c r="S27" s="45">
        <f t="shared" si="920"/>
        <v>0</v>
      </c>
      <c r="T27" s="45">
        <f t="shared" si="920"/>
        <v>0</v>
      </c>
      <c r="U27" s="45">
        <f t="shared" si="920"/>
        <v>0</v>
      </c>
      <c r="V27" s="45">
        <f t="shared" si="920"/>
        <v>0</v>
      </c>
      <c r="W27" s="45">
        <f t="shared" si="920"/>
        <v>0</v>
      </c>
      <c r="X27" s="45">
        <f t="shared" si="920"/>
        <v>0</v>
      </c>
      <c r="Y27" s="45">
        <f t="shared" si="920"/>
        <v>0</v>
      </c>
      <c r="Z27" s="45">
        <f t="shared" si="920"/>
        <v>0</v>
      </c>
      <c r="AA27" s="45">
        <f t="shared" si="920"/>
        <v>0</v>
      </c>
      <c r="AB27" s="45">
        <f t="shared" si="920"/>
        <v>0</v>
      </c>
      <c r="AC27" s="45">
        <f t="shared" si="920"/>
        <v>0</v>
      </c>
      <c r="AD27" s="45">
        <f t="shared" si="920"/>
        <v>0</v>
      </c>
      <c r="AE27" s="45">
        <f t="shared" si="920"/>
        <v>0</v>
      </c>
      <c r="AF27" s="45">
        <f t="shared" si="920"/>
        <v>0</v>
      </c>
      <c r="AG27" s="45">
        <f t="shared" si="920"/>
        <v>0</v>
      </c>
      <c r="AH27" s="45">
        <f t="shared" ref="AH27:CE27" si="921">SUM(AH34)</f>
        <v>0</v>
      </c>
      <c r="AI27" s="45">
        <f t="shared" si="921"/>
        <v>0</v>
      </c>
      <c r="AJ27" s="45">
        <f t="shared" si="921"/>
        <v>0</v>
      </c>
      <c r="AK27" s="45">
        <f t="shared" si="921"/>
        <v>0</v>
      </c>
      <c r="AL27" s="45">
        <f t="shared" si="921"/>
        <v>0</v>
      </c>
      <c r="AM27" s="45">
        <f t="shared" si="921"/>
        <v>0</v>
      </c>
      <c r="AN27" s="45">
        <f t="shared" si="921"/>
        <v>0</v>
      </c>
      <c r="AO27" s="45">
        <f t="shared" si="921"/>
        <v>0</v>
      </c>
      <c r="AP27" s="45">
        <f t="shared" si="921"/>
        <v>0</v>
      </c>
      <c r="AQ27" s="45">
        <f t="shared" si="921"/>
        <v>0</v>
      </c>
      <c r="AR27" s="45">
        <f t="shared" si="921"/>
        <v>0</v>
      </c>
      <c r="AS27" s="45">
        <f t="shared" si="921"/>
        <v>0</v>
      </c>
      <c r="AT27" s="45">
        <f t="shared" si="921"/>
        <v>0</v>
      </c>
      <c r="AU27" s="45">
        <f t="shared" si="921"/>
        <v>0</v>
      </c>
      <c r="AV27" s="45">
        <f t="shared" si="921"/>
        <v>0</v>
      </c>
      <c r="AW27" s="45">
        <f t="shared" si="921"/>
        <v>0</v>
      </c>
      <c r="AX27" s="45">
        <f t="shared" si="921"/>
        <v>0</v>
      </c>
      <c r="AY27" s="45">
        <f t="shared" si="921"/>
        <v>0</v>
      </c>
      <c r="AZ27" s="45">
        <f t="shared" si="921"/>
        <v>0</v>
      </c>
      <c r="BA27" s="45">
        <f t="shared" si="921"/>
        <v>0</v>
      </c>
      <c r="BB27" s="45">
        <f t="shared" si="921"/>
        <v>0</v>
      </c>
      <c r="BC27" s="45">
        <f t="shared" si="921"/>
        <v>0</v>
      </c>
      <c r="BD27" s="45">
        <f t="shared" si="921"/>
        <v>0</v>
      </c>
      <c r="BE27" s="45">
        <f t="shared" si="921"/>
        <v>0</v>
      </c>
      <c r="BF27" s="45">
        <f t="shared" si="921"/>
        <v>0</v>
      </c>
      <c r="BG27" s="45">
        <f t="shared" si="921"/>
        <v>0</v>
      </c>
      <c r="BH27" s="45">
        <f t="shared" si="921"/>
        <v>0</v>
      </c>
      <c r="BI27" s="45">
        <f t="shared" si="921"/>
        <v>0</v>
      </c>
      <c r="BJ27" s="45">
        <f t="shared" si="921"/>
        <v>0</v>
      </c>
      <c r="BK27" s="45">
        <f t="shared" si="921"/>
        <v>0</v>
      </c>
      <c r="BL27" s="45">
        <f t="shared" si="921"/>
        <v>0</v>
      </c>
      <c r="BM27" s="45">
        <f t="shared" si="921"/>
        <v>0</v>
      </c>
      <c r="BN27" s="45">
        <f t="shared" si="921"/>
        <v>0</v>
      </c>
      <c r="BO27" s="45">
        <f t="shared" si="921"/>
        <v>0</v>
      </c>
      <c r="BP27" s="45">
        <f t="shared" si="921"/>
        <v>0</v>
      </c>
      <c r="BQ27" s="45">
        <f t="shared" si="921"/>
        <v>0</v>
      </c>
      <c r="BR27" s="45">
        <f t="shared" si="921"/>
        <v>0</v>
      </c>
      <c r="BS27" s="45">
        <f t="shared" si="921"/>
        <v>0</v>
      </c>
      <c r="BT27" s="45">
        <f t="shared" si="921"/>
        <v>0</v>
      </c>
      <c r="BU27" s="45">
        <f t="shared" si="921"/>
        <v>0</v>
      </c>
      <c r="BV27" s="45">
        <f t="shared" si="921"/>
        <v>0</v>
      </c>
      <c r="BW27" s="45">
        <f t="shared" si="921"/>
        <v>0</v>
      </c>
      <c r="BX27" s="45">
        <f t="shared" si="921"/>
        <v>0</v>
      </c>
      <c r="BY27" s="45">
        <f t="shared" si="921"/>
        <v>0</v>
      </c>
      <c r="BZ27" s="45">
        <f t="shared" si="921"/>
        <v>0</v>
      </c>
      <c r="CA27" s="45">
        <f t="shared" si="921"/>
        <v>0</v>
      </c>
      <c r="CB27" s="45">
        <f t="shared" si="921"/>
        <v>0</v>
      </c>
      <c r="CC27" s="45">
        <f t="shared" si="921"/>
        <v>0</v>
      </c>
      <c r="CD27" s="45">
        <f t="shared" si="921"/>
        <v>0</v>
      </c>
      <c r="CE27" s="45">
        <f t="shared" si="921"/>
        <v>0</v>
      </c>
      <c r="CF27" s="45">
        <f t="shared" ref="CF27:EQ27" si="922">SUM(CF34)</f>
        <v>0</v>
      </c>
      <c r="CG27" s="45">
        <f t="shared" si="922"/>
        <v>0</v>
      </c>
      <c r="CH27" s="45">
        <f t="shared" si="922"/>
        <v>0</v>
      </c>
      <c r="CI27" s="45">
        <f t="shared" si="922"/>
        <v>0</v>
      </c>
      <c r="CJ27" s="45">
        <f t="shared" si="922"/>
        <v>0</v>
      </c>
      <c r="CK27" s="45">
        <f t="shared" si="922"/>
        <v>0</v>
      </c>
      <c r="CL27" s="45">
        <f t="shared" si="922"/>
        <v>0</v>
      </c>
      <c r="CM27" s="45">
        <f t="shared" si="922"/>
        <v>0</v>
      </c>
      <c r="CN27" s="45">
        <f t="shared" si="922"/>
        <v>0</v>
      </c>
      <c r="CO27" s="45">
        <f t="shared" si="922"/>
        <v>0</v>
      </c>
      <c r="CP27" s="45">
        <f t="shared" si="922"/>
        <v>0</v>
      </c>
      <c r="CQ27" s="45">
        <f t="shared" si="922"/>
        <v>0</v>
      </c>
      <c r="CR27" s="45">
        <f t="shared" si="922"/>
        <v>0</v>
      </c>
      <c r="CS27" s="45">
        <f t="shared" si="922"/>
        <v>0</v>
      </c>
      <c r="CT27" s="45">
        <f t="shared" si="922"/>
        <v>0</v>
      </c>
      <c r="CU27" s="45">
        <f t="shared" si="922"/>
        <v>0</v>
      </c>
      <c r="CV27" s="45">
        <f t="shared" si="922"/>
        <v>0</v>
      </c>
      <c r="CW27" s="45">
        <f t="shared" si="922"/>
        <v>0</v>
      </c>
      <c r="CX27" s="45">
        <f t="shared" si="922"/>
        <v>0</v>
      </c>
      <c r="CY27" s="45">
        <f t="shared" si="922"/>
        <v>0</v>
      </c>
      <c r="CZ27" s="45">
        <f t="shared" si="922"/>
        <v>0</v>
      </c>
      <c r="DA27" s="45">
        <f t="shared" si="922"/>
        <v>0</v>
      </c>
      <c r="DB27" s="45">
        <f t="shared" si="922"/>
        <v>0</v>
      </c>
      <c r="DC27" s="45">
        <f t="shared" si="922"/>
        <v>0</v>
      </c>
      <c r="DD27" s="45">
        <f t="shared" si="922"/>
        <v>0</v>
      </c>
      <c r="DE27" s="45">
        <f t="shared" si="922"/>
        <v>0</v>
      </c>
      <c r="DF27" s="45">
        <f t="shared" si="922"/>
        <v>0</v>
      </c>
      <c r="DG27" s="45">
        <f t="shared" si="922"/>
        <v>0</v>
      </c>
      <c r="DH27" s="45">
        <f t="shared" si="922"/>
        <v>0</v>
      </c>
      <c r="DI27" s="45">
        <f t="shared" si="922"/>
        <v>0</v>
      </c>
      <c r="DJ27" s="45">
        <f t="shared" si="922"/>
        <v>0</v>
      </c>
      <c r="DK27" s="45">
        <f t="shared" si="922"/>
        <v>0</v>
      </c>
      <c r="DL27" s="45">
        <f t="shared" si="922"/>
        <v>0</v>
      </c>
      <c r="DM27" s="45">
        <f t="shared" si="922"/>
        <v>0</v>
      </c>
      <c r="DN27" s="45">
        <f t="shared" si="922"/>
        <v>0</v>
      </c>
      <c r="DO27" s="45">
        <f t="shared" si="922"/>
        <v>0</v>
      </c>
      <c r="DP27" s="45">
        <f t="shared" si="922"/>
        <v>0</v>
      </c>
      <c r="DQ27" s="45">
        <f t="shared" si="922"/>
        <v>0</v>
      </c>
      <c r="DR27" s="45">
        <f t="shared" si="922"/>
        <v>0</v>
      </c>
      <c r="DS27" s="45">
        <f t="shared" si="922"/>
        <v>0</v>
      </c>
      <c r="DT27" s="45">
        <f t="shared" si="922"/>
        <v>0</v>
      </c>
      <c r="DU27" s="45">
        <f t="shared" si="922"/>
        <v>0</v>
      </c>
      <c r="DV27" s="45">
        <f t="shared" si="922"/>
        <v>0</v>
      </c>
      <c r="DW27" s="45">
        <f t="shared" si="922"/>
        <v>0</v>
      </c>
      <c r="DX27" s="45">
        <f t="shared" si="922"/>
        <v>0</v>
      </c>
      <c r="DY27" s="45">
        <f t="shared" si="922"/>
        <v>0</v>
      </c>
      <c r="DZ27" s="45">
        <f t="shared" si="922"/>
        <v>0</v>
      </c>
      <c r="EA27" s="45">
        <f t="shared" si="922"/>
        <v>0</v>
      </c>
      <c r="EB27" s="45">
        <f t="shared" si="922"/>
        <v>0</v>
      </c>
      <c r="EC27" s="45">
        <f t="shared" si="922"/>
        <v>0</v>
      </c>
      <c r="ED27" s="45">
        <f t="shared" si="922"/>
        <v>0</v>
      </c>
      <c r="EE27" s="45">
        <f t="shared" si="922"/>
        <v>0</v>
      </c>
      <c r="EF27" s="45">
        <f t="shared" si="922"/>
        <v>0</v>
      </c>
      <c r="EG27" s="45">
        <f t="shared" si="922"/>
        <v>0</v>
      </c>
      <c r="EH27" s="45">
        <f t="shared" si="922"/>
        <v>0</v>
      </c>
      <c r="EI27" s="45">
        <f t="shared" si="922"/>
        <v>0</v>
      </c>
      <c r="EJ27" s="45">
        <f t="shared" si="922"/>
        <v>0</v>
      </c>
      <c r="EK27" s="45">
        <f t="shared" si="922"/>
        <v>0</v>
      </c>
      <c r="EL27" s="45">
        <f t="shared" si="922"/>
        <v>0</v>
      </c>
      <c r="EM27" s="45">
        <f t="shared" si="922"/>
        <v>0</v>
      </c>
      <c r="EN27" s="45">
        <f t="shared" si="922"/>
        <v>0</v>
      </c>
      <c r="EO27" s="45">
        <f t="shared" si="922"/>
        <v>0</v>
      </c>
      <c r="EP27" s="45">
        <f t="shared" si="922"/>
        <v>0</v>
      </c>
      <c r="EQ27" s="45">
        <f t="shared" si="922"/>
        <v>0</v>
      </c>
      <c r="ER27" s="45">
        <f t="shared" ref="ER27:LY27" si="923">SUM(ER34)</f>
        <v>0</v>
      </c>
      <c r="ES27" s="45">
        <f t="shared" si="923"/>
        <v>0</v>
      </c>
      <c r="ET27" s="45">
        <f t="shared" si="923"/>
        <v>0</v>
      </c>
      <c r="EU27" s="45">
        <f t="shared" si="923"/>
        <v>0</v>
      </c>
      <c r="EV27" s="45">
        <f t="shared" si="923"/>
        <v>0</v>
      </c>
      <c r="EW27" s="45">
        <f t="shared" ref="EW27:HH27" si="924">SUM(EW34)</f>
        <v>0</v>
      </c>
      <c r="EX27" s="45">
        <f t="shared" si="924"/>
        <v>0</v>
      </c>
      <c r="EY27" s="45">
        <f t="shared" si="924"/>
        <v>0</v>
      </c>
      <c r="EZ27" s="45">
        <f t="shared" si="924"/>
        <v>0</v>
      </c>
      <c r="FA27" s="45">
        <f t="shared" si="924"/>
        <v>0</v>
      </c>
      <c r="FB27" s="45">
        <f t="shared" si="924"/>
        <v>0</v>
      </c>
      <c r="FC27" s="45">
        <f t="shared" si="924"/>
        <v>0</v>
      </c>
      <c r="FD27" s="45">
        <f t="shared" si="924"/>
        <v>0</v>
      </c>
      <c r="FE27" s="45">
        <f t="shared" si="924"/>
        <v>0</v>
      </c>
      <c r="FF27" s="45">
        <f t="shared" si="924"/>
        <v>0</v>
      </c>
      <c r="FG27" s="45">
        <f t="shared" si="924"/>
        <v>0</v>
      </c>
      <c r="FH27" s="45">
        <f t="shared" si="924"/>
        <v>0</v>
      </c>
      <c r="FI27" s="45">
        <f t="shared" si="924"/>
        <v>0</v>
      </c>
      <c r="FJ27" s="45">
        <f t="shared" si="924"/>
        <v>0</v>
      </c>
      <c r="FK27" s="45">
        <f t="shared" si="924"/>
        <v>0</v>
      </c>
      <c r="FL27" s="45">
        <f t="shared" si="924"/>
        <v>0</v>
      </c>
      <c r="FM27" s="45">
        <f t="shared" si="924"/>
        <v>0</v>
      </c>
      <c r="FN27" s="45">
        <f t="shared" si="924"/>
        <v>0</v>
      </c>
      <c r="FO27" s="45">
        <f t="shared" si="924"/>
        <v>0</v>
      </c>
      <c r="FP27" s="45">
        <f t="shared" si="924"/>
        <v>0</v>
      </c>
      <c r="FQ27" s="45">
        <f t="shared" si="924"/>
        <v>0</v>
      </c>
      <c r="FR27" s="45">
        <f t="shared" si="924"/>
        <v>0</v>
      </c>
      <c r="FS27" s="45">
        <f t="shared" si="924"/>
        <v>0</v>
      </c>
      <c r="FT27" s="45">
        <f t="shared" si="924"/>
        <v>0</v>
      </c>
      <c r="FU27" s="45">
        <f t="shared" si="924"/>
        <v>0</v>
      </c>
      <c r="FV27" s="45">
        <f t="shared" si="924"/>
        <v>0</v>
      </c>
      <c r="FW27" s="45">
        <f t="shared" si="924"/>
        <v>0</v>
      </c>
      <c r="FX27" s="45">
        <f t="shared" si="924"/>
        <v>0</v>
      </c>
      <c r="FY27" s="45">
        <f t="shared" si="924"/>
        <v>0</v>
      </c>
      <c r="FZ27" s="45">
        <f t="shared" si="924"/>
        <v>0</v>
      </c>
      <c r="GA27" s="45">
        <f t="shared" si="924"/>
        <v>0</v>
      </c>
      <c r="GB27" s="45">
        <f t="shared" si="924"/>
        <v>0</v>
      </c>
      <c r="GC27" s="45">
        <f t="shared" si="924"/>
        <v>0</v>
      </c>
      <c r="GD27" s="45">
        <f t="shared" si="924"/>
        <v>0</v>
      </c>
      <c r="GE27" s="45">
        <f t="shared" si="924"/>
        <v>0</v>
      </c>
      <c r="GF27" s="45">
        <f t="shared" si="924"/>
        <v>0</v>
      </c>
      <c r="GG27" s="45">
        <f t="shared" si="924"/>
        <v>0</v>
      </c>
      <c r="GH27" s="45">
        <f t="shared" si="924"/>
        <v>0</v>
      </c>
      <c r="GI27" s="45">
        <f t="shared" si="924"/>
        <v>0</v>
      </c>
      <c r="GJ27" s="45">
        <f t="shared" si="924"/>
        <v>0</v>
      </c>
      <c r="GK27" s="45">
        <f t="shared" si="924"/>
        <v>0</v>
      </c>
      <c r="GL27" s="45">
        <f t="shared" si="924"/>
        <v>0</v>
      </c>
      <c r="GM27" s="45">
        <f t="shared" si="924"/>
        <v>0</v>
      </c>
      <c r="GN27" s="45">
        <f t="shared" si="924"/>
        <v>0</v>
      </c>
      <c r="GO27" s="45">
        <f t="shared" si="924"/>
        <v>0</v>
      </c>
      <c r="GP27" s="45">
        <f t="shared" si="924"/>
        <v>0</v>
      </c>
      <c r="GQ27" s="45">
        <f t="shared" si="924"/>
        <v>0</v>
      </c>
      <c r="GR27" s="45">
        <f t="shared" si="924"/>
        <v>0</v>
      </c>
      <c r="GS27" s="45">
        <f t="shared" si="924"/>
        <v>0</v>
      </c>
      <c r="GT27" s="45">
        <f t="shared" si="924"/>
        <v>0</v>
      </c>
      <c r="GU27" s="45">
        <f t="shared" si="924"/>
        <v>0</v>
      </c>
      <c r="GV27" s="45">
        <f t="shared" si="924"/>
        <v>0</v>
      </c>
      <c r="GW27" s="45">
        <f t="shared" si="924"/>
        <v>0</v>
      </c>
      <c r="GX27" s="45">
        <f t="shared" si="924"/>
        <v>0</v>
      </c>
      <c r="GY27" s="45">
        <f t="shared" si="924"/>
        <v>0</v>
      </c>
      <c r="GZ27" s="45">
        <f t="shared" si="924"/>
        <v>0</v>
      </c>
      <c r="HA27" s="45">
        <f t="shared" si="924"/>
        <v>0</v>
      </c>
      <c r="HB27" s="45">
        <f t="shared" si="924"/>
        <v>0</v>
      </c>
      <c r="HC27" s="45">
        <f t="shared" si="924"/>
        <v>0</v>
      </c>
      <c r="HD27" s="45">
        <f t="shared" si="924"/>
        <v>0</v>
      </c>
      <c r="HE27" s="45">
        <f t="shared" si="924"/>
        <v>0</v>
      </c>
      <c r="HF27" s="45">
        <f t="shared" si="924"/>
        <v>0</v>
      </c>
      <c r="HG27" s="45">
        <f t="shared" si="924"/>
        <v>0</v>
      </c>
      <c r="HH27" s="45">
        <f t="shared" si="924"/>
        <v>0</v>
      </c>
      <c r="HI27" s="45">
        <f t="shared" ref="HI27:JT27" si="925">SUM(HI34)</f>
        <v>0</v>
      </c>
      <c r="HJ27" s="45">
        <f t="shared" si="925"/>
        <v>0</v>
      </c>
      <c r="HK27" s="45">
        <f t="shared" si="925"/>
        <v>0</v>
      </c>
      <c r="HL27" s="45">
        <f t="shared" si="925"/>
        <v>0</v>
      </c>
      <c r="HM27" s="45">
        <f t="shared" si="925"/>
        <v>0</v>
      </c>
      <c r="HN27" s="45">
        <f t="shared" si="925"/>
        <v>0</v>
      </c>
      <c r="HO27" s="45">
        <f t="shared" si="925"/>
        <v>0</v>
      </c>
      <c r="HP27" s="45">
        <f t="shared" si="925"/>
        <v>0</v>
      </c>
      <c r="HQ27" s="45">
        <f t="shared" si="925"/>
        <v>0</v>
      </c>
      <c r="HR27" s="45">
        <f t="shared" si="925"/>
        <v>0</v>
      </c>
      <c r="HS27" s="45">
        <f t="shared" si="925"/>
        <v>0</v>
      </c>
      <c r="HT27" s="45">
        <f t="shared" si="925"/>
        <v>0</v>
      </c>
      <c r="HU27" s="45">
        <f t="shared" si="925"/>
        <v>0</v>
      </c>
      <c r="HV27" s="45">
        <f t="shared" si="925"/>
        <v>0</v>
      </c>
      <c r="HW27" s="45">
        <f t="shared" si="925"/>
        <v>0</v>
      </c>
      <c r="HX27" s="45">
        <f t="shared" si="925"/>
        <v>0</v>
      </c>
      <c r="HY27" s="45">
        <f t="shared" si="925"/>
        <v>0</v>
      </c>
      <c r="HZ27" s="45">
        <f t="shared" si="925"/>
        <v>0</v>
      </c>
      <c r="IA27" s="45">
        <f t="shared" si="925"/>
        <v>0</v>
      </c>
      <c r="IB27" s="45">
        <f t="shared" si="925"/>
        <v>0</v>
      </c>
      <c r="IC27" s="45">
        <f t="shared" si="925"/>
        <v>0</v>
      </c>
      <c r="ID27" s="45">
        <f t="shared" si="925"/>
        <v>0</v>
      </c>
      <c r="IE27" s="45">
        <f t="shared" si="925"/>
        <v>0</v>
      </c>
      <c r="IF27" s="45">
        <f t="shared" si="925"/>
        <v>0</v>
      </c>
      <c r="IG27" s="45">
        <f t="shared" si="925"/>
        <v>0</v>
      </c>
      <c r="IH27" s="45">
        <f t="shared" si="925"/>
        <v>0</v>
      </c>
      <c r="II27" s="45">
        <f t="shared" si="925"/>
        <v>0</v>
      </c>
      <c r="IJ27" s="45">
        <f t="shared" si="925"/>
        <v>0</v>
      </c>
      <c r="IK27" s="45">
        <f t="shared" si="925"/>
        <v>0</v>
      </c>
      <c r="IL27" s="45">
        <f t="shared" si="925"/>
        <v>0</v>
      </c>
      <c r="IM27" s="45">
        <f t="shared" si="925"/>
        <v>0</v>
      </c>
      <c r="IN27" s="45">
        <f t="shared" si="925"/>
        <v>0</v>
      </c>
      <c r="IO27" s="45">
        <f t="shared" si="925"/>
        <v>0</v>
      </c>
      <c r="IP27" s="45">
        <f t="shared" si="925"/>
        <v>0</v>
      </c>
      <c r="IQ27" s="45">
        <f t="shared" si="925"/>
        <v>0</v>
      </c>
      <c r="IR27" s="45">
        <f t="shared" si="925"/>
        <v>0</v>
      </c>
      <c r="IS27" s="45">
        <f t="shared" si="925"/>
        <v>0</v>
      </c>
      <c r="IT27" s="45">
        <f t="shared" si="925"/>
        <v>0</v>
      </c>
      <c r="IU27" s="45">
        <f t="shared" si="925"/>
        <v>0</v>
      </c>
      <c r="IV27" s="45">
        <f t="shared" si="925"/>
        <v>0</v>
      </c>
      <c r="IW27" s="45">
        <f t="shared" si="925"/>
        <v>0</v>
      </c>
      <c r="IX27" s="45">
        <f t="shared" si="925"/>
        <v>0</v>
      </c>
      <c r="IY27" s="45">
        <f t="shared" si="925"/>
        <v>0</v>
      </c>
      <c r="IZ27" s="45">
        <f t="shared" si="925"/>
        <v>0</v>
      </c>
      <c r="JA27" s="45">
        <f t="shared" si="925"/>
        <v>0</v>
      </c>
      <c r="JB27" s="45">
        <f t="shared" si="925"/>
        <v>0</v>
      </c>
      <c r="JC27" s="45">
        <f t="shared" si="925"/>
        <v>0</v>
      </c>
      <c r="JD27" s="45">
        <f t="shared" si="925"/>
        <v>0</v>
      </c>
      <c r="JE27" s="45">
        <f t="shared" si="925"/>
        <v>0</v>
      </c>
      <c r="JF27" s="45">
        <f t="shared" si="925"/>
        <v>0</v>
      </c>
      <c r="JG27" s="45">
        <f t="shared" si="925"/>
        <v>0</v>
      </c>
      <c r="JH27" s="45">
        <f t="shared" si="925"/>
        <v>0</v>
      </c>
      <c r="JI27" s="45">
        <f t="shared" si="925"/>
        <v>0</v>
      </c>
      <c r="JJ27" s="45">
        <f t="shared" si="925"/>
        <v>0</v>
      </c>
      <c r="JK27" s="45">
        <f t="shared" si="925"/>
        <v>0</v>
      </c>
      <c r="JL27" s="45">
        <f t="shared" si="925"/>
        <v>0</v>
      </c>
      <c r="JM27" s="45">
        <f t="shared" si="925"/>
        <v>0</v>
      </c>
      <c r="JN27" s="45">
        <f t="shared" si="925"/>
        <v>0</v>
      </c>
      <c r="JO27" s="45">
        <f t="shared" si="925"/>
        <v>0</v>
      </c>
      <c r="JP27" s="45">
        <f t="shared" si="925"/>
        <v>0</v>
      </c>
      <c r="JQ27" s="45">
        <f t="shared" si="925"/>
        <v>0</v>
      </c>
      <c r="JR27" s="45">
        <f t="shared" si="925"/>
        <v>0</v>
      </c>
      <c r="JS27" s="45">
        <f t="shared" si="925"/>
        <v>0</v>
      </c>
      <c r="JT27" s="45">
        <f t="shared" si="925"/>
        <v>0</v>
      </c>
      <c r="JU27" s="45">
        <f t="shared" ref="JU27:LX27" si="926">SUM(JU34)</f>
        <v>0</v>
      </c>
      <c r="JV27" s="45">
        <f t="shared" si="926"/>
        <v>0</v>
      </c>
      <c r="JW27" s="45">
        <f t="shared" si="926"/>
        <v>0</v>
      </c>
      <c r="JX27" s="45">
        <f t="shared" si="926"/>
        <v>0</v>
      </c>
      <c r="JY27" s="45">
        <f t="shared" si="926"/>
        <v>0</v>
      </c>
      <c r="JZ27" s="45">
        <f t="shared" si="926"/>
        <v>0</v>
      </c>
      <c r="KA27" s="45">
        <f t="shared" si="926"/>
        <v>0</v>
      </c>
      <c r="KB27" s="45">
        <f t="shared" si="926"/>
        <v>0</v>
      </c>
      <c r="KC27" s="45">
        <f t="shared" si="926"/>
        <v>0</v>
      </c>
      <c r="KD27" s="45">
        <f t="shared" si="926"/>
        <v>0</v>
      </c>
      <c r="KE27" s="45">
        <f t="shared" si="926"/>
        <v>0</v>
      </c>
      <c r="KF27" s="45">
        <f t="shared" si="926"/>
        <v>0</v>
      </c>
      <c r="KG27" s="45">
        <f t="shared" si="926"/>
        <v>0</v>
      </c>
      <c r="KH27" s="45">
        <f t="shared" si="926"/>
        <v>0</v>
      </c>
      <c r="KI27" s="45">
        <f t="shared" si="926"/>
        <v>0</v>
      </c>
      <c r="KJ27" s="45">
        <f t="shared" si="926"/>
        <v>0</v>
      </c>
      <c r="KK27" s="45">
        <f t="shared" si="926"/>
        <v>0</v>
      </c>
      <c r="KL27" s="45">
        <f t="shared" si="926"/>
        <v>0</v>
      </c>
      <c r="KM27" s="45">
        <f t="shared" si="926"/>
        <v>0</v>
      </c>
      <c r="KN27" s="45">
        <f t="shared" si="926"/>
        <v>0</v>
      </c>
      <c r="KO27" s="45">
        <f t="shared" si="926"/>
        <v>0</v>
      </c>
      <c r="KP27" s="45">
        <f t="shared" si="926"/>
        <v>0</v>
      </c>
      <c r="KQ27" s="45">
        <f t="shared" si="926"/>
        <v>0</v>
      </c>
      <c r="KR27" s="45">
        <f t="shared" si="926"/>
        <v>0</v>
      </c>
      <c r="KS27" s="45">
        <f t="shared" si="926"/>
        <v>0</v>
      </c>
      <c r="KT27" s="45">
        <f t="shared" si="926"/>
        <v>0</v>
      </c>
      <c r="KU27" s="45">
        <f t="shared" si="926"/>
        <v>0</v>
      </c>
      <c r="KV27" s="45">
        <f t="shared" si="926"/>
        <v>0</v>
      </c>
      <c r="KW27" s="45">
        <f t="shared" si="926"/>
        <v>0</v>
      </c>
      <c r="KX27" s="45">
        <f t="shared" si="926"/>
        <v>0</v>
      </c>
      <c r="KY27" s="45">
        <f t="shared" si="926"/>
        <v>0</v>
      </c>
      <c r="KZ27" s="45">
        <f t="shared" si="926"/>
        <v>0</v>
      </c>
      <c r="LA27" s="45">
        <f t="shared" si="926"/>
        <v>0</v>
      </c>
      <c r="LB27" s="45">
        <f t="shared" si="926"/>
        <v>0</v>
      </c>
      <c r="LC27" s="45">
        <f t="shared" si="926"/>
        <v>0</v>
      </c>
      <c r="LD27" s="45">
        <f t="shared" si="926"/>
        <v>0</v>
      </c>
      <c r="LE27" s="45">
        <f t="shared" si="926"/>
        <v>0</v>
      </c>
      <c r="LF27" s="45">
        <f t="shared" si="926"/>
        <v>0</v>
      </c>
      <c r="LG27" s="45">
        <f t="shared" si="926"/>
        <v>0</v>
      </c>
      <c r="LH27" s="45">
        <f t="shared" si="926"/>
        <v>0</v>
      </c>
      <c r="LI27" s="45">
        <f t="shared" si="926"/>
        <v>0</v>
      </c>
      <c r="LJ27" s="45">
        <f t="shared" si="926"/>
        <v>0</v>
      </c>
      <c r="LK27" s="45">
        <f t="shared" si="926"/>
        <v>0</v>
      </c>
      <c r="LL27" s="45">
        <f t="shared" si="926"/>
        <v>0</v>
      </c>
      <c r="LM27" s="45">
        <f t="shared" si="926"/>
        <v>0</v>
      </c>
      <c r="LN27" s="45">
        <f t="shared" si="926"/>
        <v>0</v>
      </c>
      <c r="LO27" s="45">
        <f t="shared" si="926"/>
        <v>0</v>
      </c>
      <c r="LP27" s="45">
        <f t="shared" si="926"/>
        <v>0</v>
      </c>
      <c r="LQ27" s="45">
        <f t="shared" si="926"/>
        <v>0</v>
      </c>
      <c r="LR27" s="45">
        <f t="shared" si="926"/>
        <v>0</v>
      </c>
      <c r="LS27" s="45">
        <f t="shared" si="926"/>
        <v>0</v>
      </c>
      <c r="LT27" s="45">
        <f t="shared" si="926"/>
        <v>0</v>
      </c>
      <c r="LU27" s="45">
        <f t="shared" si="926"/>
        <v>0</v>
      </c>
      <c r="LV27" s="45">
        <f t="shared" si="926"/>
        <v>0</v>
      </c>
      <c r="LW27" s="45">
        <f t="shared" si="926"/>
        <v>0</v>
      </c>
      <c r="LX27" s="45">
        <f t="shared" si="926"/>
        <v>0</v>
      </c>
      <c r="LY27" s="45">
        <f t="shared" si="923"/>
        <v>0</v>
      </c>
      <c r="MA27" s="2">
        <f>SUM(E27:LY27)</f>
        <v>0</v>
      </c>
    </row>
    <row r="28" spans="2:339">
      <c r="B28" s="150"/>
      <c r="C28" s="51" t="s">
        <v>29</v>
      </c>
      <c r="E28" s="1" t="str">
        <f>IFERROR(((E27/E11)*200000*E4),"-")</f>
        <v>-</v>
      </c>
      <c r="F28" s="1" t="str">
        <f t="shared" ref="F28:Q28" si="927">IFERROR(((F27/F11)*200000*F4),"-")</f>
        <v>-</v>
      </c>
      <c r="G28" s="1" t="str">
        <f t="shared" si="927"/>
        <v>-</v>
      </c>
      <c r="H28" s="1" t="str">
        <f t="shared" si="927"/>
        <v>-</v>
      </c>
      <c r="I28" s="1" t="str">
        <f t="shared" si="927"/>
        <v>-</v>
      </c>
      <c r="J28" s="1" t="str">
        <f t="shared" si="927"/>
        <v>-</v>
      </c>
      <c r="K28" s="1" t="str">
        <f t="shared" si="927"/>
        <v>-</v>
      </c>
      <c r="L28" s="1" t="str">
        <f t="shared" si="927"/>
        <v>-</v>
      </c>
      <c r="M28" s="1" t="str">
        <f t="shared" si="927"/>
        <v>-</v>
      </c>
      <c r="N28" s="1" t="str">
        <f t="shared" si="927"/>
        <v>-</v>
      </c>
      <c r="O28" s="1" t="str">
        <f t="shared" si="927"/>
        <v>-</v>
      </c>
      <c r="P28" s="1" t="str">
        <f t="shared" si="927"/>
        <v>-</v>
      </c>
      <c r="Q28" s="1" t="str">
        <f t="shared" si="927"/>
        <v>-</v>
      </c>
      <c r="R28" s="1" t="str">
        <f t="shared" ref="R28" si="928">IFERROR(((R27/R11)*200000*R4),"-")</f>
        <v>-</v>
      </c>
      <c r="S28" s="1" t="str">
        <f t="shared" ref="S28" si="929">IFERROR(((S27/S11)*200000*S4),"-")</f>
        <v>-</v>
      </c>
      <c r="T28" s="1" t="str">
        <f t="shared" ref="T28" si="930">IFERROR(((T27/T11)*200000*T4),"-")</f>
        <v>-</v>
      </c>
      <c r="U28" s="1" t="str">
        <f t="shared" ref="U28" si="931">IFERROR(((U27/U11)*200000*U4),"-")</f>
        <v>-</v>
      </c>
      <c r="V28" s="1" t="str">
        <f t="shared" ref="V28" si="932">IFERROR(((V27/V11)*200000*V4),"-")</f>
        <v>-</v>
      </c>
      <c r="W28" s="1" t="str">
        <f t="shared" ref="W28" si="933">IFERROR(((W27/W11)*200000*W4),"-")</f>
        <v>-</v>
      </c>
      <c r="X28" s="1" t="str">
        <f t="shared" ref="X28" si="934">IFERROR(((X27/X11)*200000*X4),"-")</f>
        <v>-</v>
      </c>
      <c r="Y28" s="1" t="str">
        <f t="shared" ref="Y28" si="935">IFERROR(((Y27/Y11)*200000*Y4),"-")</f>
        <v>-</v>
      </c>
      <c r="Z28" s="1" t="str">
        <f t="shared" ref="Z28" si="936">IFERROR(((Z27/Z11)*200000*Z4),"-")</f>
        <v>-</v>
      </c>
      <c r="AA28" s="1" t="str">
        <f t="shared" ref="AA28" si="937">IFERROR(((AA27/AA11)*200000*AA4),"-")</f>
        <v>-</v>
      </c>
      <c r="AB28" s="1" t="str">
        <f t="shared" ref="AB28" si="938">IFERROR(((AB27/AB11)*200000*AB4),"-")</f>
        <v>-</v>
      </c>
      <c r="AC28" s="1" t="str">
        <f t="shared" ref="AC28" si="939">IFERROR(((AC27/AC11)*200000*AC4),"-")</f>
        <v>-</v>
      </c>
      <c r="AD28" s="1" t="str">
        <f t="shared" ref="AD28" si="940">IFERROR(((AD27/AD11)*200000*AD4),"-")</f>
        <v>-</v>
      </c>
      <c r="AE28" s="1" t="str">
        <f t="shared" ref="AE28" si="941">IFERROR(((AE27/AE11)*200000*AE4),"-")</f>
        <v>-</v>
      </c>
      <c r="AF28" s="1" t="str">
        <f t="shared" ref="AF28" si="942">IFERROR(((AF27/AF11)*200000*AF4),"-")</f>
        <v>-</v>
      </c>
      <c r="AG28" s="1" t="str">
        <f t="shared" ref="AG28" si="943">IFERROR(((AG27/AG11)*200000*AG4),"-")</f>
        <v>-</v>
      </c>
      <c r="AH28" s="1" t="str">
        <f t="shared" ref="AH28" si="944">IFERROR(((AH27/AH11)*200000*AH4),"-")</f>
        <v>-</v>
      </c>
      <c r="AI28" s="1" t="str">
        <f t="shared" ref="AI28" si="945">IFERROR(((AI27/AI11)*200000*AI4),"-")</f>
        <v>-</v>
      </c>
      <c r="AJ28" s="1" t="str">
        <f t="shared" ref="AJ28" si="946">IFERROR(((AJ27/AJ11)*200000*AJ4),"-")</f>
        <v>-</v>
      </c>
      <c r="AK28" s="1" t="str">
        <f t="shared" ref="AK28" si="947">IFERROR(((AK27/AK11)*200000*AK4),"-")</f>
        <v>-</v>
      </c>
      <c r="AL28" s="1" t="str">
        <f t="shared" ref="AL28" si="948">IFERROR(((AL27/AL11)*200000*AL4),"-")</f>
        <v>-</v>
      </c>
      <c r="AM28" s="1" t="str">
        <f t="shared" ref="AM28" si="949">IFERROR(((AM27/AM11)*200000*AM4),"-")</f>
        <v>-</v>
      </c>
      <c r="AN28" s="1" t="str">
        <f t="shared" ref="AN28" si="950">IFERROR(((AN27/AN11)*200000*AN4),"-")</f>
        <v>-</v>
      </c>
      <c r="AO28" s="1" t="str">
        <f t="shared" ref="AO28" si="951">IFERROR(((AO27/AO11)*200000*AO4),"-")</f>
        <v>-</v>
      </c>
      <c r="AP28" s="1" t="str">
        <f t="shared" ref="AP28" si="952">IFERROR(((AP27/AP11)*200000*AP4),"-")</f>
        <v>-</v>
      </c>
      <c r="AQ28" s="1" t="str">
        <f t="shared" ref="AQ28" si="953">IFERROR(((AQ27/AQ11)*200000*AQ4),"-")</f>
        <v>-</v>
      </c>
      <c r="AR28" s="1" t="str">
        <f t="shared" ref="AR28" si="954">IFERROR(((AR27/AR11)*200000*AR4),"-")</f>
        <v>-</v>
      </c>
      <c r="AS28" s="1" t="str">
        <f t="shared" ref="AS28" si="955">IFERROR(((AS27/AS11)*200000*AS4),"-")</f>
        <v>-</v>
      </c>
      <c r="AT28" s="1" t="str">
        <f t="shared" ref="AT28" si="956">IFERROR(((AT27/AT11)*200000*AT4),"-")</f>
        <v>-</v>
      </c>
      <c r="AU28" s="1" t="str">
        <f t="shared" ref="AU28" si="957">IFERROR(((AU27/AU11)*200000*AU4),"-")</f>
        <v>-</v>
      </c>
      <c r="AV28" s="1" t="str">
        <f t="shared" ref="AV28" si="958">IFERROR(((AV27/AV11)*200000*AV4),"-")</f>
        <v>-</v>
      </c>
      <c r="AW28" s="1" t="str">
        <f t="shared" ref="AW28" si="959">IFERROR(((AW27/AW11)*200000*AW4),"-")</f>
        <v>-</v>
      </c>
      <c r="AX28" s="1" t="str">
        <f t="shared" ref="AX28" si="960">IFERROR(((AX27/AX11)*200000*AX4),"-")</f>
        <v>-</v>
      </c>
      <c r="AY28" s="1" t="str">
        <f t="shared" ref="AY28" si="961">IFERROR(((AY27/AY11)*200000*AY4),"-")</f>
        <v>-</v>
      </c>
      <c r="AZ28" s="1" t="str">
        <f t="shared" ref="AZ28" si="962">IFERROR(((AZ27/AZ11)*200000*AZ4),"-")</f>
        <v>-</v>
      </c>
      <c r="BA28" s="1" t="str">
        <f t="shared" ref="BA28" si="963">IFERROR(((BA27/BA11)*200000*BA4),"-")</f>
        <v>-</v>
      </c>
      <c r="BB28" s="1" t="str">
        <f t="shared" ref="BB28" si="964">IFERROR(((BB27/BB11)*200000*BB4),"-")</f>
        <v>-</v>
      </c>
      <c r="BC28" s="1" t="str">
        <f t="shared" ref="BC28" si="965">IFERROR(((BC27/BC11)*200000*BC4),"-")</f>
        <v>-</v>
      </c>
      <c r="BD28" s="1" t="str">
        <f t="shared" ref="BD28" si="966">IFERROR(((BD27/BD11)*200000*BD4),"-")</f>
        <v>-</v>
      </c>
      <c r="BE28" s="1" t="str">
        <f t="shared" ref="BE28" si="967">IFERROR(((BE27/BE11)*200000*BE4),"-")</f>
        <v>-</v>
      </c>
      <c r="BF28" s="1" t="str">
        <f t="shared" ref="BF28" si="968">IFERROR(((BF27/BF11)*200000*BF4),"-")</f>
        <v>-</v>
      </c>
      <c r="BG28" s="1" t="str">
        <f t="shared" ref="BG28" si="969">IFERROR(((BG27/BG11)*200000*BG4),"-")</f>
        <v>-</v>
      </c>
      <c r="BH28" s="1" t="str">
        <f t="shared" ref="BH28" si="970">IFERROR(((BH27/BH11)*200000*BH4),"-")</f>
        <v>-</v>
      </c>
      <c r="BI28" s="1" t="str">
        <f t="shared" ref="BI28" si="971">IFERROR(((BI27/BI11)*200000*BI4),"-")</f>
        <v>-</v>
      </c>
      <c r="BJ28" s="1" t="str">
        <f t="shared" ref="BJ28" si="972">IFERROR(((BJ27/BJ11)*200000*BJ4),"-")</f>
        <v>-</v>
      </c>
      <c r="BK28" s="1" t="str">
        <f t="shared" ref="BK28" si="973">IFERROR(((BK27/BK11)*200000*BK4),"-")</f>
        <v>-</v>
      </c>
      <c r="BL28" s="1" t="str">
        <f t="shared" ref="BL28" si="974">IFERROR(((BL27/BL11)*200000*BL4),"-")</f>
        <v>-</v>
      </c>
      <c r="BM28" s="1" t="str">
        <f t="shared" ref="BM28" si="975">IFERROR(((BM27/BM11)*200000*BM4),"-")</f>
        <v>-</v>
      </c>
      <c r="BN28" s="1" t="str">
        <f t="shared" ref="BN28" si="976">IFERROR(((BN27/BN11)*200000*BN4),"-")</f>
        <v>-</v>
      </c>
      <c r="BO28" s="1" t="str">
        <f t="shared" ref="BO28" si="977">IFERROR(((BO27/BO11)*200000*BO4),"-")</f>
        <v>-</v>
      </c>
      <c r="BP28" s="1" t="str">
        <f t="shared" ref="BP28" si="978">IFERROR(((BP27/BP11)*200000*BP4),"-")</f>
        <v>-</v>
      </c>
      <c r="BQ28" s="1" t="str">
        <f t="shared" ref="BQ28" si="979">IFERROR(((BQ27/BQ11)*200000*BQ4),"-")</f>
        <v>-</v>
      </c>
      <c r="BR28" s="1" t="str">
        <f t="shared" ref="BR28" si="980">IFERROR(((BR27/BR11)*200000*BR4),"-")</f>
        <v>-</v>
      </c>
      <c r="BS28" s="1" t="str">
        <f t="shared" ref="BS28" si="981">IFERROR(((BS27/BS11)*200000*BS4),"-")</f>
        <v>-</v>
      </c>
      <c r="BT28" s="1" t="str">
        <f t="shared" ref="BT28" si="982">IFERROR(((BT27/BT11)*200000*BT4),"-")</f>
        <v>-</v>
      </c>
      <c r="BU28" s="1" t="str">
        <f t="shared" ref="BU28" si="983">IFERROR(((BU27/BU11)*200000*BU4),"-")</f>
        <v>-</v>
      </c>
      <c r="BV28" s="1" t="str">
        <f t="shared" ref="BV28" si="984">IFERROR(((BV27/BV11)*200000*BV4),"-")</f>
        <v>-</v>
      </c>
      <c r="BW28" s="1" t="str">
        <f t="shared" ref="BW28" si="985">IFERROR(((BW27/BW11)*200000*BW4),"-")</f>
        <v>-</v>
      </c>
      <c r="BX28" s="1" t="str">
        <f t="shared" ref="BX28" si="986">IFERROR(((BX27/BX11)*200000*BX4),"-")</f>
        <v>-</v>
      </c>
      <c r="BY28" s="1" t="str">
        <f t="shared" ref="BY28" si="987">IFERROR(((BY27/BY11)*200000*BY4),"-")</f>
        <v>-</v>
      </c>
      <c r="BZ28" s="1" t="str">
        <f t="shared" ref="BZ28" si="988">IFERROR(((BZ27/BZ11)*200000*BZ4),"-")</f>
        <v>-</v>
      </c>
      <c r="CA28" s="1" t="str">
        <f t="shared" ref="CA28" si="989">IFERROR(((CA27/CA11)*200000*CA4),"-")</f>
        <v>-</v>
      </c>
      <c r="CB28" s="1" t="str">
        <f t="shared" ref="CB28" si="990">IFERROR(((CB27/CB11)*200000*CB4),"-")</f>
        <v>-</v>
      </c>
      <c r="CC28" s="1" t="str">
        <f t="shared" ref="CC28" si="991">IFERROR(((CC27/CC11)*200000*CC4),"-")</f>
        <v>-</v>
      </c>
      <c r="CD28" s="1" t="str">
        <f t="shared" ref="CD28" si="992">IFERROR(((CD27/CD11)*200000*CD4),"-")</f>
        <v>-</v>
      </c>
      <c r="CE28" s="1" t="str">
        <f t="shared" ref="CE28" si="993">IFERROR(((CE27/CE11)*200000*CE4),"-")</f>
        <v>-</v>
      </c>
      <c r="CF28" s="1" t="str">
        <f t="shared" ref="CF28" si="994">IFERROR(((CF27/CF11)*200000*CF4),"-")</f>
        <v>-</v>
      </c>
      <c r="CG28" s="1" t="str">
        <f t="shared" ref="CG28" si="995">IFERROR(((CG27/CG11)*200000*CG4),"-")</f>
        <v>-</v>
      </c>
      <c r="CH28" s="1" t="str">
        <f t="shared" ref="CH28" si="996">IFERROR(((CH27/CH11)*200000*CH4),"-")</f>
        <v>-</v>
      </c>
      <c r="CI28" s="1" t="str">
        <f t="shared" ref="CI28" si="997">IFERROR(((CI27/CI11)*200000*CI4),"-")</f>
        <v>-</v>
      </c>
      <c r="CJ28" s="1" t="str">
        <f t="shared" ref="CJ28" si="998">IFERROR(((CJ27/CJ11)*200000*CJ4),"-")</f>
        <v>-</v>
      </c>
      <c r="CK28" s="1" t="str">
        <f t="shared" ref="CK28" si="999">IFERROR(((CK27/CK11)*200000*CK4),"-")</f>
        <v>-</v>
      </c>
      <c r="CL28" s="1" t="str">
        <f t="shared" ref="CL28" si="1000">IFERROR(((CL27/CL11)*200000*CL4),"-")</f>
        <v>-</v>
      </c>
      <c r="CM28" s="1" t="str">
        <f t="shared" ref="CM28" si="1001">IFERROR(((CM27/CM11)*200000*CM4),"-")</f>
        <v>-</v>
      </c>
      <c r="CN28" s="1" t="str">
        <f t="shared" ref="CN28" si="1002">IFERROR(((CN27/CN11)*200000*CN4),"-")</f>
        <v>-</v>
      </c>
      <c r="CO28" s="1" t="str">
        <f t="shared" ref="CO28" si="1003">IFERROR(((CO27/CO11)*200000*CO4),"-")</f>
        <v>-</v>
      </c>
      <c r="CP28" s="1" t="str">
        <f t="shared" ref="CP28" si="1004">IFERROR(((CP27/CP11)*200000*CP4),"-")</f>
        <v>-</v>
      </c>
      <c r="CQ28" s="1" t="str">
        <f t="shared" ref="CQ28" si="1005">IFERROR(((CQ27/CQ11)*200000*CQ4),"-")</f>
        <v>-</v>
      </c>
      <c r="CR28" s="1" t="str">
        <f t="shared" ref="CR28" si="1006">IFERROR(((CR27/CR11)*200000*CR4),"-")</f>
        <v>-</v>
      </c>
      <c r="CS28" s="1" t="str">
        <f t="shared" ref="CS28" si="1007">IFERROR(((CS27/CS11)*200000*CS4),"-")</f>
        <v>-</v>
      </c>
      <c r="CT28" s="1" t="str">
        <f t="shared" ref="CT28" si="1008">IFERROR(((CT27/CT11)*200000*CT4),"-")</f>
        <v>-</v>
      </c>
      <c r="CU28" s="1" t="str">
        <f t="shared" ref="CU28" si="1009">IFERROR(((CU27/CU11)*200000*CU4),"-")</f>
        <v>-</v>
      </c>
      <c r="CV28" s="1" t="str">
        <f t="shared" ref="CV28" si="1010">IFERROR(((CV27/CV11)*200000*CV4),"-")</f>
        <v>-</v>
      </c>
      <c r="CW28" s="1" t="str">
        <f t="shared" ref="CW28" si="1011">IFERROR(((CW27/CW11)*200000*CW4),"-")</f>
        <v>-</v>
      </c>
      <c r="CX28" s="1" t="str">
        <f t="shared" ref="CX28" si="1012">IFERROR(((CX27/CX11)*200000*CX4),"-")</f>
        <v>-</v>
      </c>
      <c r="CY28" s="1" t="str">
        <f t="shared" ref="CY28" si="1013">IFERROR(((CY27/CY11)*200000*CY4),"-")</f>
        <v>-</v>
      </c>
      <c r="CZ28" s="1" t="str">
        <f t="shared" ref="CZ28" si="1014">IFERROR(((CZ27/CZ11)*200000*CZ4),"-")</f>
        <v>-</v>
      </c>
      <c r="DA28" s="1" t="str">
        <f t="shared" ref="DA28" si="1015">IFERROR(((DA27/DA11)*200000*DA4),"-")</f>
        <v>-</v>
      </c>
      <c r="DB28" s="1" t="str">
        <f t="shared" ref="DB28" si="1016">IFERROR(((DB27/DB11)*200000*DB4),"-")</f>
        <v>-</v>
      </c>
      <c r="DC28" s="1" t="str">
        <f t="shared" ref="DC28" si="1017">IFERROR(((DC27/DC11)*200000*DC4),"-")</f>
        <v>-</v>
      </c>
      <c r="DD28" s="1" t="str">
        <f t="shared" ref="DD28" si="1018">IFERROR(((DD27/DD11)*200000*DD4),"-")</f>
        <v>-</v>
      </c>
      <c r="DE28" s="1" t="str">
        <f t="shared" ref="DE28" si="1019">IFERROR(((DE27/DE11)*200000*DE4),"-")</f>
        <v>-</v>
      </c>
      <c r="DF28" s="1" t="str">
        <f t="shared" ref="DF28" si="1020">IFERROR(((DF27/DF11)*200000*DF4),"-")</f>
        <v>-</v>
      </c>
      <c r="DG28" s="1" t="str">
        <f t="shared" ref="DG28" si="1021">IFERROR(((DG27/DG11)*200000*DG4),"-")</f>
        <v>-</v>
      </c>
      <c r="DH28" s="1" t="str">
        <f t="shared" ref="DH28" si="1022">IFERROR(((DH27/DH11)*200000*DH4),"-")</f>
        <v>-</v>
      </c>
      <c r="DI28" s="1" t="str">
        <f t="shared" ref="DI28" si="1023">IFERROR(((DI27/DI11)*200000*DI4),"-")</f>
        <v>-</v>
      </c>
      <c r="DJ28" s="1" t="str">
        <f t="shared" ref="DJ28" si="1024">IFERROR(((DJ27/DJ11)*200000*DJ4),"-")</f>
        <v>-</v>
      </c>
      <c r="DK28" s="1" t="str">
        <f t="shared" ref="DK28" si="1025">IFERROR(((DK27/DK11)*200000*DK4),"-")</f>
        <v>-</v>
      </c>
      <c r="DL28" s="1" t="str">
        <f t="shared" ref="DL28" si="1026">IFERROR(((DL27/DL11)*200000*DL4),"-")</f>
        <v>-</v>
      </c>
      <c r="DM28" s="1" t="str">
        <f t="shared" ref="DM28" si="1027">IFERROR(((DM27/DM11)*200000*DM4),"-")</f>
        <v>-</v>
      </c>
      <c r="DN28" s="1" t="str">
        <f t="shared" ref="DN28" si="1028">IFERROR(((DN27/DN11)*200000*DN4),"-")</f>
        <v>-</v>
      </c>
      <c r="DO28" s="1" t="str">
        <f t="shared" ref="DO28" si="1029">IFERROR(((DO27/DO11)*200000*DO4),"-")</f>
        <v>-</v>
      </c>
      <c r="DP28" s="1" t="str">
        <f t="shared" ref="DP28" si="1030">IFERROR(((DP27/DP11)*200000*DP4),"-")</f>
        <v>-</v>
      </c>
      <c r="DQ28" s="1" t="str">
        <f t="shared" ref="DQ28" si="1031">IFERROR(((DQ27/DQ11)*200000*DQ4),"-")</f>
        <v>-</v>
      </c>
      <c r="DR28" s="1" t="str">
        <f t="shared" ref="DR28" si="1032">IFERROR(((DR27/DR11)*200000*DR4),"-")</f>
        <v>-</v>
      </c>
      <c r="DS28" s="1" t="str">
        <f t="shared" ref="DS28" si="1033">IFERROR(((DS27/DS11)*200000*DS4),"-")</f>
        <v>-</v>
      </c>
      <c r="DT28" s="1" t="str">
        <f t="shared" ref="DT28" si="1034">IFERROR(((DT27/DT11)*200000*DT4),"-")</f>
        <v>-</v>
      </c>
      <c r="DU28" s="1" t="str">
        <f t="shared" ref="DU28" si="1035">IFERROR(((DU27/DU11)*200000*DU4),"-")</f>
        <v>-</v>
      </c>
      <c r="DV28" s="1" t="str">
        <f t="shared" ref="DV28" si="1036">IFERROR(((DV27/DV11)*200000*DV4),"-")</f>
        <v>-</v>
      </c>
      <c r="DW28" s="1" t="str">
        <f t="shared" ref="DW28" si="1037">IFERROR(((DW27/DW11)*200000*DW4),"-")</f>
        <v>-</v>
      </c>
      <c r="DX28" s="1" t="str">
        <f t="shared" ref="DX28" si="1038">IFERROR(((DX27/DX11)*200000*DX4),"-")</f>
        <v>-</v>
      </c>
      <c r="DY28" s="1" t="str">
        <f t="shared" ref="DY28" si="1039">IFERROR(((DY27/DY11)*200000*DY4),"-")</f>
        <v>-</v>
      </c>
      <c r="DZ28" s="1" t="str">
        <f t="shared" ref="DZ28" si="1040">IFERROR(((DZ27/DZ11)*200000*DZ4),"-")</f>
        <v>-</v>
      </c>
      <c r="EA28" s="1" t="str">
        <f t="shared" ref="EA28" si="1041">IFERROR(((EA27/EA11)*200000*EA4),"-")</f>
        <v>-</v>
      </c>
      <c r="EB28" s="1" t="str">
        <f t="shared" ref="EB28" si="1042">IFERROR(((EB27/EB11)*200000*EB4),"-")</f>
        <v>-</v>
      </c>
      <c r="EC28" s="1" t="str">
        <f t="shared" ref="EC28" si="1043">IFERROR(((EC27/EC11)*200000*EC4),"-")</f>
        <v>-</v>
      </c>
      <c r="ED28" s="1" t="str">
        <f t="shared" ref="ED28" si="1044">IFERROR(((ED27/ED11)*200000*ED4),"-")</f>
        <v>-</v>
      </c>
      <c r="EE28" s="1" t="str">
        <f t="shared" ref="EE28" si="1045">IFERROR(((EE27/EE11)*200000*EE4),"-")</f>
        <v>-</v>
      </c>
      <c r="EF28" s="1" t="str">
        <f t="shared" ref="EF28" si="1046">IFERROR(((EF27/EF11)*200000*EF4),"-")</f>
        <v>-</v>
      </c>
      <c r="EG28" s="1" t="str">
        <f t="shared" ref="EG28" si="1047">IFERROR(((EG27/EG11)*200000*EG4),"-")</f>
        <v>-</v>
      </c>
      <c r="EH28" s="1" t="str">
        <f t="shared" ref="EH28" si="1048">IFERROR(((EH27/EH11)*200000*EH4),"-")</f>
        <v>-</v>
      </c>
      <c r="EI28" s="1" t="str">
        <f t="shared" ref="EI28" si="1049">IFERROR(((EI27/EI11)*200000*EI4),"-")</f>
        <v>-</v>
      </c>
      <c r="EJ28" s="1" t="str">
        <f t="shared" ref="EJ28" si="1050">IFERROR(((EJ27/EJ11)*200000*EJ4),"-")</f>
        <v>-</v>
      </c>
      <c r="EK28" s="1" t="str">
        <f t="shared" ref="EK28" si="1051">IFERROR(((EK27/EK11)*200000*EK4),"-")</f>
        <v>-</v>
      </c>
      <c r="EL28" s="1" t="str">
        <f t="shared" ref="EL28" si="1052">IFERROR(((EL27/EL11)*200000*EL4),"-")</f>
        <v>-</v>
      </c>
      <c r="EM28" s="1" t="str">
        <f t="shared" ref="EM28" si="1053">IFERROR(((EM27/EM11)*200000*EM4),"-")</f>
        <v>-</v>
      </c>
      <c r="EN28" s="1" t="str">
        <f t="shared" ref="EN28" si="1054">IFERROR(((EN27/EN11)*200000*EN4),"-")</f>
        <v>-</v>
      </c>
      <c r="EO28" s="1" t="str">
        <f t="shared" ref="EO28" si="1055">IFERROR(((EO27/EO11)*200000*EO4),"-")</f>
        <v>-</v>
      </c>
      <c r="EP28" s="1" t="str">
        <f t="shared" ref="EP28" si="1056">IFERROR(((EP27/EP11)*200000*EP4),"-")</f>
        <v>-</v>
      </c>
      <c r="EQ28" s="1" t="str">
        <f t="shared" ref="EQ28" si="1057">IFERROR(((EQ27/EQ11)*200000*EQ4),"-")</f>
        <v>-</v>
      </c>
      <c r="ER28" s="1" t="str">
        <f t="shared" ref="ER28" si="1058">IFERROR(((ER27/ER11)*200000*ER4),"-")</f>
        <v>-</v>
      </c>
      <c r="ES28" s="1" t="str">
        <f t="shared" ref="ES28" si="1059">IFERROR(((ES27/ES11)*200000*ES4),"-")</f>
        <v>-</v>
      </c>
      <c r="ET28" s="1" t="str">
        <f t="shared" ref="ET28" si="1060">IFERROR(((ET27/ET11)*200000*ET4),"-")</f>
        <v>-</v>
      </c>
      <c r="EU28" s="1" t="str">
        <f t="shared" ref="EU28" si="1061">IFERROR(((EU27/EU11)*200000*EU4),"-")</f>
        <v>-</v>
      </c>
      <c r="EV28" s="1" t="str">
        <f t="shared" ref="EV28:HG28" si="1062">IFERROR(((EV27/EV11)*200000*EV4),"-")</f>
        <v>-</v>
      </c>
      <c r="EW28" s="1" t="str">
        <f t="shared" si="1062"/>
        <v>-</v>
      </c>
      <c r="EX28" s="1" t="str">
        <f t="shared" si="1062"/>
        <v>-</v>
      </c>
      <c r="EY28" s="1" t="str">
        <f t="shared" si="1062"/>
        <v>-</v>
      </c>
      <c r="EZ28" s="1" t="str">
        <f t="shared" si="1062"/>
        <v>-</v>
      </c>
      <c r="FA28" s="1" t="str">
        <f t="shared" si="1062"/>
        <v>-</v>
      </c>
      <c r="FB28" s="1" t="str">
        <f t="shared" si="1062"/>
        <v>-</v>
      </c>
      <c r="FC28" s="1" t="str">
        <f t="shared" si="1062"/>
        <v>-</v>
      </c>
      <c r="FD28" s="1" t="str">
        <f t="shared" si="1062"/>
        <v>-</v>
      </c>
      <c r="FE28" s="1" t="str">
        <f t="shared" si="1062"/>
        <v>-</v>
      </c>
      <c r="FF28" s="1" t="str">
        <f t="shared" si="1062"/>
        <v>-</v>
      </c>
      <c r="FG28" s="1" t="str">
        <f t="shared" si="1062"/>
        <v>-</v>
      </c>
      <c r="FH28" s="1" t="str">
        <f t="shared" si="1062"/>
        <v>-</v>
      </c>
      <c r="FI28" s="1" t="str">
        <f t="shared" si="1062"/>
        <v>-</v>
      </c>
      <c r="FJ28" s="1" t="str">
        <f t="shared" si="1062"/>
        <v>-</v>
      </c>
      <c r="FK28" s="1" t="str">
        <f t="shared" si="1062"/>
        <v>-</v>
      </c>
      <c r="FL28" s="1" t="str">
        <f t="shared" si="1062"/>
        <v>-</v>
      </c>
      <c r="FM28" s="1" t="str">
        <f t="shared" si="1062"/>
        <v>-</v>
      </c>
      <c r="FN28" s="1" t="str">
        <f t="shared" si="1062"/>
        <v>-</v>
      </c>
      <c r="FO28" s="1" t="str">
        <f t="shared" si="1062"/>
        <v>-</v>
      </c>
      <c r="FP28" s="1" t="str">
        <f t="shared" si="1062"/>
        <v>-</v>
      </c>
      <c r="FQ28" s="1" t="str">
        <f t="shared" si="1062"/>
        <v>-</v>
      </c>
      <c r="FR28" s="1" t="str">
        <f t="shared" si="1062"/>
        <v>-</v>
      </c>
      <c r="FS28" s="1" t="str">
        <f t="shared" si="1062"/>
        <v>-</v>
      </c>
      <c r="FT28" s="1" t="str">
        <f t="shared" si="1062"/>
        <v>-</v>
      </c>
      <c r="FU28" s="1" t="str">
        <f t="shared" si="1062"/>
        <v>-</v>
      </c>
      <c r="FV28" s="1" t="str">
        <f t="shared" si="1062"/>
        <v>-</v>
      </c>
      <c r="FW28" s="1" t="str">
        <f t="shared" si="1062"/>
        <v>-</v>
      </c>
      <c r="FX28" s="1" t="str">
        <f t="shared" si="1062"/>
        <v>-</v>
      </c>
      <c r="FY28" s="1" t="str">
        <f t="shared" si="1062"/>
        <v>-</v>
      </c>
      <c r="FZ28" s="1" t="str">
        <f t="shared" si="1062"/>
        <v>-</v>
      </c>
      <c r="GA28" s="1" t="str">
        <f t="shared" si="1062"/>
        <v>-</v>
      </c>
      <c r="GB28" s="1" t="str">
        <f t="shared" si="1062"/>
        <v>-</v>
      </c>
      <c r="GC28" s="1" t="str">
        <f t="shared" si="1062"/>
        <v>-</v>
      </c>
      <c r="GD28" s="1" t="str">
        <f t="shared" si="1062"/>
        <v>-</v>
      </c>
      <c r="GE28" s="1" t="str">
        <f t="shared" si="1062"/>
        <v>-</v>
      </c>
      <c r="GF28" s="1" t="str">
        <f t="shared" si="1062"/>
        <v>-</v>
      </c>
      <c r="GG28" s="1" t="str">
        <f t="shared" si="1062"/>
        <v>-</v>
      </c>
      <c r="GH28" s="1" t="str">
        <f t="shared" si="1062"/>
        <v>-</v>
      </c>
      <c r="GI28" s="1" t="str">
        <f t="shared" si="1062"/>
        <v>-</v>
      </c>
      <c r="GJ28" s="1" t="str">
        <f t="shared" si="1062"/>
        <v>-</v>
      </c>
      <c r="GK28" s="1" t="str">
        <f t="shared" si="1062"/>
        <v>-</v>
      </c>
      <c r="GL28" s="1" t="str">
        <f t="shared" si="1062"/>
        <v>-</v>
      </c>
      <c r="GM28" s="1" t="str">
        <f t="shared" si="1062"/>
        <v>-</v>
      </c>
      <c r="GN28" s="1" t="str">
        <f t="shared" si="1062"/>
        <v>-</v>
      </c>
      <c r="GO28" s="1" t="str">
        <f t="shared" si="1062"/>
        <v>-</v>
      </c>
      <c r="GP28" s="1" t="str">
        <f t="shared" si="1062"/>
        <v>-</v>
      </c>
      <c r="GQ28" s="1" t="str">
        <f t="shared" si="1062"/>
        <v>-</v>
      </c>
      <c r="GR28" s="1" t="str">
        <f t="shared" si="1062"/>
        <v>-</v>
      </c>
      <c r="GS28" s="1" t="str">
        <f t="shared" si="1062"/>
        <v>-</v>
      </c>
      <c r="GT28" s="1" t="str">
        <f t="shared" si="1062"/>
        <v>-</v>
      </c>
      <c r="GU28" s="1" t="str">
        <f t="shared" si="1062"/>
        <v>-</v>
      </c>
      <c r="GV28" s="1" t="str">
        <f t="shared" si="1062"/>
        <v>-</v>
      </c>
      <c r="GW28" s="1" t="str">
        <f t="shared" si="1062"/>
        <v>-</v>
      </c>
      <c r="GX28" s="1" t="str">
        <f t="shared" si="1062"/>
        <v>-</v>
      </c>
      <c r="GY28" s="1" t="str">
        <f t="shared" si="1062"/>
        <v>-</v>
      </c>
      <c r="GZ28" s="1" t="str">
        <f t="shared" si="1062"/>
        <v>-</v>
      </c>
      <c r="HA28" s="1" t="str">
        <f t="shared" si="1062"/>
        <v>-</v>
      </c>
      <c r="HB28" s="1" t="str">
        <f t="shared" si="1062"/>
        <v>-</v>
      </c>
      <c r="HC28" s="1" t="str">
        <f t="shared" si="1062"/>
        <v>-</v>
      </c>
      <c r="HD28" s="1" t="str">
        <f t="shared" si="1062"/>
        <v>-</v>
      </c>
      <c r="HE28" s="1" t="str">
        <f t="shared" si="1062"/>
        <v>-</v>
      </c>
      <c r="HF28" s="1" t="str">
        <f t="shared" si="1062"/>
        <v>-</v>
      </c>
      <c r="HG28" s="1" t="str">
        <f t="shared" si="1062"/>
        <v>-</v>
      </c>
      <c r="HH28" s="1" t="str">
        <f t="shared" ref="HH28:JS28" si="1063">IFERROR(((HH27/HH11)*200000*HH4),"-")</f>
        <v>-</v>
      </c>
      <c r="HI28" s="1" t="str">
        <f t="shared" si="1063"/>
        <v>-</v>
      </c>
      <c r="HJ28" s="1" t="str">
        <f t="shared" si="1063"/>
        <v>-</v>
      </c>
      <c r="HK28" s="1" t="str">
        <f t="shared" si="1063"/>
        <v>-</v>
      </c>
      <c r="HL28" s="1" t="str">
        <f t="shared" si="1063"/>
        <v>-</v>
      </c>
      <c r="HM28" s="1" t="str">
        <f t="shared" si="1063"/>
        <v>-</v>
      </c>
      <c r="HN28" s="1" t="str">
        <f t="shared" si="1063"/>
        <v>-</v>
      </c>
      <c r="HO28" s="1" t="str">
        <f t="shared" si="1063"/>
        <v>-</v>
      </c>
      <c r="HP28" s="1" t="str">
        <f t="shared" si="1063"/>
        <v>-</v>
      </c>
      <c r="HQ28" s="1" t="str">
        <f t="shared" si="1063"/>
        <v>-</v>
      </c>
      <c r="HR28" s="1" t="str">
        <f t="shared" si="1063"/>
        <v>-</v>
      </c>
      <c r="HS28" s="1" t="str">
        <f t="shared" si="1063"/>
        <v>-</v>
      </c>
      <c r="HT28" s="1" t="str">
        <f t="shared" si="1063"/>
        <v>-</v>
      </c>
      <c r="HU28" s="1" t="str">
        <f t="shared" si="1063"/>
        <v>-</v>
      </c>
      <c r="HV28" s="1" t="str">
        <f t="shared" si="1063"/>
        <v>-</v>
      </c>
      <c r="HW28" s="1" t="str">
        <f t="shared" si="1063"/>
        <v>-</v>
      </c>
      <c r="HX28" s="1" t="str">
        <f t="shared" si="1063"/>
        <v>-</v>
      </c>
      <c r="HY28" s="1" t="str">
        <f t="shared" si="1063"/>
        <v>-</v>
      </c>
      <c r="HZ28" s="1" t="str">
        <f t="shared" si="1063"/>
        <v>-</v>
      </c>
      <c r="IA28" s="1" t="str">
        <f t="shared" si="1063"/>
        <v>-</v>
      </c>
      <c r="IB28" s="1" t="str">
        <f t="shared" si="1063"/>
        <v>-</v>
      </c>
      <c r="IC28" s="1" t="str">
        <f t="shared" si="1063"/>
        <v>-</v>
      </c>
      <c r="ID28" s="1" t="str">
        <f t="shared" si="1063"/>
        <v>-</v>
      </c>
      <c r="IE28" s="1" t="str">
        <f t="shared" si="1063"/>
        <v>-</v>
      </c>
      <c r="IF28" s="1" t="str">
        <f t="shared" si="1063"/>
        <v>-</v>
      </c>
      <c r="IG28" s="1" t="str">
        <f t="shared" si="1063"/>
        <v>-</v>
      </c>
      <c r="IH28" s="1" t="str">
        <f t="shared" si="1063"/>
        <v>-</v>
      </c>
      <c r="II28" s="1" t="str">
        <f t="shared" si="1063"/>
        <v>-</v>
      </c>
      <c r="IJ28" s="1" t="str">
        <f t="shared" si="1063"/>
        <v>-</v>
      </c>
      <c r="IK28" s="1" t="str">
        <f t="shared" si="1063"/>
        <v>-</v>
      </c>
      <c r="IL28" s="1" t="str">
        <f t="shared" si="1063"/>
        <v>-</v>
      </c>
      <c r="IM28" s="1" t="str">
        <f t="shared" si="1063"/>
        <v>-</v>
      </c>
      <c r="IN28" s="1" t="str">
        <f t="shared" si="1063"/>
        <v>-</v>
      </c>
      <c r="IO28" s="1" t="str">
        <f t="shared" si="1063"/>
        <v>-</v>
      </c>
      <c r="IP28" s="1" t="str">
        <f t="shared" si="1063"/>
        <v>-</v>
      </c>
      <c r="IQ28" s="1" t="str">
        <f t="shared" si="1063"/>
        <v>-</v>
      </c>
      <c r="IR28" s="1" t="str">
        <f t="shared" si="1063"/>
        <v>-</v>
      </c>
      <c r="IS28" s="1" t="str">
        <f t="shared" si="1063"/>
        <v>-</v>
      </c>
      <c r="IT28" s="1" t="str">
        <f t="shared" si="1063"/>
        <v>-</v>
      </c>
      <c r="IU28" s="1" t="str">
        <f t="shared" si="1063"/>
        <v>-</v>
      </c>
      <c r="IV28" s="1" t="str">
        <f t="shared" si="1063"/>
        <v>-</v>
      </c>
      <c r="IW28" s="1" t="str">
        <f t="shared" si="1063"/>
        <v>-</v>
      </c>
      <c r="IX28" s="1" t="str">
        <f t="shared" si="1063"/>
        <v>-</v>
      </c>
      <c r="IY28" s="1" t="str">
        <f t="shared" si="1063"/>
        <v>-</v>
      </c>
      <c r="IZ28" s="1" t="str">
        <f t="shared" si="1063"/>
        <v>-</v>
      </c>
      <c r="JA28" s="1" t="str">
        <f t="shared" si="1063"/>
        <v>-</v>
      </c>
      <c r="JB28" s="1" t="str">
        <f t="shared" si="1063"/>
        <v>-</v>
      </c>
      <c r="JC28" s="1" t="str">
        <f t="shared" si="1063"/>
        <v>-</v>
      </c>
      <c r="JD28" s="1" t="str">
        <f t="shared" si="1063"/>
        <v>-</v>
      </c>
      <c r="JE28" s="1" t="str">
        <f t="shared" si="1063"/>
        <v>-</v>
      </c>
      <c r="JF28" s="1" t="str">
        <f t="shared" si="1063"/>
        <v>-</v>
      </c>
      <c r="JG28" s="1" t="str">
        <f t="shared" si="1063"/>
        <v>-</v>
      </c>
      <c r="JH28" s="1" t="str">
        <f t="shared" si="1063"/>
        <v>-</v>
      </c>
      <c r="JI28" s="1" t="str">
        <f t="shared" si="1063"/>
        <v>-</v>
      </c>
      <c r="JJ28" s="1" t="str">
        <f t="shared" si="1063"/>
        <v>-</v>
      </c>
      <c r="JK28" s="1" t="str">
        <f t="shared" si="1063"/>
        <v>-</v>
      </c>
      <c r="JL28" s="1" t="str">
        <f t="shared" si="1063"/>
        <v>-</v>
      </c>
      <c r="JM28" s="1" t="str">
        <f t="shared" si="1063"/>
        <v>-</v>
      </c>
      <c r="JN28" s="1" t="str">
        <f t="shared" si="1063"/>
        <v>-</v>
      </c>
      <c r="JO28" s="1" t="str">
        <f t="shared" si="1063"/>
        <v>-</v>
      </c>
      <c r="JP28" s="1" t="str">
        <f t="shared" si="1063"/>
        <v>-</v>
      </c>
      <c r="JQ28" s="1" t="str">
        <f t="shared" si="1063"/>
        <v>-</v>
      </c>
      <c r="JR28" s="1" t="str">
        <f t="shared" si="1063"/>
        <v>-</v>
      </c>
      <c r="JS28" s="1" t="str">
        <f t="shared" si="1063"/>
        <v>-</v>
      </c>
      <c r="JT28" s="1" t="str">
        <f t="shared" ref="JT28:LX28" si="1064">IFERROR(((JT27/JT11)*200000*JT4),"-")</f>
        <v>-</v>
      </c>
      <c r="JU28" s="1" t="str">
        <f t="shared" si="1064"/>
        <v>-</v>
      </c>
      <c r="JV28" s="1" t="str">
        <f t="shared" si="1064"/>
        <v>-</v>
      </c>
      <c r="JW28" s="1" t="str">
        <f t="shared" si="1064"/>
        <v>-</v>
      </c>
      <c r="JX28" s="1" t="str">
        <f t="shared" si="1064"/>
        <v>-</v>
      </c>
      <c r="JY28" s="1" t="str">
        <f t="shared" si="1064"/>
        <v>-</v>
      </c>
      <c r="JZ28" s="1" t="str">
        <f t="shared" si="1064"/>
        <v>-</v>
      </c>
      <c r="KA28" s="1" t="str">
        <f t="shared" si="1064"/>
        <v>-</v>
      </c>
      <c r="KB28" s="1" t="str">
        <f t="shared" si="1064"/>
        <v>-</v>
      </c>
      <c r="KC28" s="1" t="str">
        <f t="shared" si="1064"/>
        <v>-</v>
      </c>
      <c r="KD28" s="1" t="str">
        <f t="shared" si="1064"/>
        <v>-</v>
      </c>
      <c r="KE28" s="1" t="str">
        <f t="shared" si="1064"/>
        <v>-</v>
      </c>
      <c r="KF28" s="1" t="str">
        <f t="shared" si="1064"/>
        <v>-</v>
      </c>
      <c r="KG28" s="1" t="str">
        <f t="shared" si="1064"/>
        <v>-</v>
      </c>
      <c r="KH28" s="1" t="str">
        <f t="shared" si="1064"/>
        <v>-</v>
      </c>
      <c r="KI28" s="1" t="str">
        <f t="shared" si="1064"/>
        <v>-</v>
      </c>
      <c r="KJ28" s="1" t="str">
        <f t="shared" si="1064"/>
        <v>-</v>
      </c>
      <c r="KK28" s="1" t="str">
        <f t="shared" si="1064"/>
        <v>-</v>
      </c>
      <c r="KL28" s="1" t="str">
        <f t="shared" si="1064"/>
        <v>-</v>
      </c>
      <c r="KM28" s="1" t="str">
        <f t="shared" si="1064"/>
        <v>-</v>
      </c>
      <c r="KN28" s="1" t="str">
        <f t="shared" si="1064"/>
        <v>-</v>
      </c>
      <c r="KO28" s="1" t="str">
        <f t="shared" si="1064"/>
        <v>-</v>
      </c>
      <c r="KP28" s="1" t="str">
        <f t="shared" si="1064"/>
        <v>-</v>
      </c>
      <c r="KQ28" s="1" t="str">
        <f t="shared" si="1064"/>
        <v>-</v>
      </c>
      <c r="KR28" s="1" t="str">
        <f t="shared" si="1064"/>
        <v>-</v>
      </c>
      <c r="KS28" s="1" t="str">
        <f t="shared" si="1064"/>
        <v>-</v>
      </c>
      <c r="KT28" s="1" t="str">
        <f t="shared" si="1064"/>
        <v>-</v>
      </c>
      <c r="KU28" s="1" t="str">
        <f t="shared" si="1064"/>
        <v>-</v>
      </c>
      <c r="KV28" s="1" t="str">
        <f t="shared" si="1064"/>
        <v>-</v>
      </c>
      <c r="KW28" s="1" t="str">
        <f t="shared" si="1064"/>
        <v>-</v>
      </c>
      <c r="KX28" s="1" t="str">
        <f t="shared" si="1064"/>
        <v>-</v>
      </c>
      <c r="KY28" s="1" t="str">
        <f t="shared" si="1064"/>
        <v>-</v>
      </c>
      <c r="KZ28" s="1" t="str">
        <f t="shared" si="1064"/>
        <v>-</v>
      </c>
      <c r="LA28" s="1" t="str">
        <f t="shared" si="1064"/>
        <v>-</v>
      </c>
      <c r="LB28" s="1" t="str">
        <f t="shared" si="1064"/>
        <v>-</v>
      </c>
      <c r="LC28" s="1" t="str">
        <f t="shared" si="1064"/>
        <v>-</v>
      </c>
      <c r="LD28" s="1" t="str">
        <f t="shared" si="1064"/>
        <v>-</v>
      </c>
      <c r="LE28" s="1" t="str">
        <f t="shared" si="1064"/>
        <v>-</v>
      </c>
      <c r="LF28" s="1" t="str">
        <f t="shared" si="1064"/>
        <v>-</v>
      </c>
      <c r="LG28" s="1" t="str">
        <f t="shared" si="1064"/>
        <v>-</v>
      </c>
      <c r="LH28" s="1" t="str">
        <f t="shared" si="1064"/>
        <v>-</v>
      </c>
      <c r="LI28" s="1" t="str">
        <f t="shared" si="1064"/>
        <v>-</v>
      </c>
      <c r="LJ28" s="1" t="str">
        <f t="shared" si="1064"/>
        <v>-</v>
      </c>
      <c r="LK28" s="1" t="str">
        <f t="shared" si="1064"/>
        <v>-</v>
      </c>
      <c r="LL28" s="1" t="str">
        <f t="shared" si="1064"/>
        <v>-</v>
      </c>
      <c r="LM28" s="1" t="str">
        <f t="shared" si="1064"/>
        <v>-</v>
      </c>
      <c r="LN28" s="1" t="str">
        <f t="shared" si="1064"/>
        <v>-</v>
      </c>
      <c r="LO28" s="1" t="str">
        <f t="shared" si="1064"/>
        <v>-</v>
      </c>
      <c r="LP28" s="1" t="str">
        <f t="shared" si="1064"/>
        <v>-</v>
      </c>
      <c r="LQ28" s="1" t="str">
        <f t="shared" si="1064"/>
        <v>-</v>
      </c>
      <c r="LR28" s="1" t="str">
        <f t="shared" si="1064"/>
        <v>-</v>
      </c>
      <c r="LS28" s="1" t="str">
        <f t="shared" si="1064"/>
        <v>-</v>
      </c>
      <c r="LT28" s="1" t="str">
        <f t="shared" si="1064"/>
        <v>-</v>
      </c>
      <c r="LU28" s="1" t="str">
        <f t="shared" si="1064"/>
        <v>-</v>
      </c>
      <c r="LV28" s="1" t="str">
        <f t="shared" si="1064"/>
        <v>-</v>
      </c>
      <c r="LW28" s="1" t="str">
        <f t="shared" si="1064"/>
        <v>-</v>
      </c>
      <c r="LX28" s="1" t="str">
        <f t="shared" si="1064"/>
        <v>-</v>
      </c>
      <c r="LY28" s="1" t="str">
        <f t="shared" ref="LY28" si="1065">IFERROR(((LY27/LY11)*200000*LY4),"-")</f>
        <v>-</v>
      </c>
      <c r="MA28" s="6" t="e">
        <f>(MA27*200000)/MA11</f>
        <v>#DIV/0!</v>
      </c>
    </row>
    <row r="29" spans="2:339">
      <c r="B29" s="150"/>
      <c r="C29" s="40" t="s">
        <v>53</v>
      </c>
      <c r="E29" s="44">
        <f>SUMIFS($D$27:E27,$D$6:E6,(KPI!E8-'Info Sheet'!$D$22)+1)</f>
        <v>0</v>
      </c>
      <c r="F29" s="44">
        <f>SUMIFS($D$27:F27,$D$6:F6,(KPI!F8-'Info Sheet'!$D$22)+1)</f>
        <v>0</v>
      </c>
      <c r="G29" s="44">
        <f>SUMIFS($D$27:G27,$D$6:G6,(KPI!G8-'Info Sheet'!$D$22)+1)</f>
        <v>0</v>
      </c>
      <c r="H29" s="44">
        <f>SUMIFS($D$27:H27,$D$6:H6,(KPI!H8-'Info Sheet'!$D$22)+1)</f>
        <v>0</v>
      </c>
      <c r="I29" s="44">
        <f>SUMIFS($D$27:I27,$D$6:I6,(KPI!I8-'Info Sheet'!$D$22)+1)</f>
        <v>0</v>
      </c>
      <c r="J29" s="44">
        <f>SUMIFS($D$27:J27,$D$6:J6,(KPI!J8-'Info Sheet'!$D$22)+1)</f>
        <v>0</v>
      </c>
      <c r="K29" s="44">
        <f>SUMIFS($D$27:K27,$D$6:K6,(KPI!K8-'Info Sheet'!$D$22)+1)</f>
        <v>0</v>
      </c>
      <c r="L29" s="44">
        <f>SUMIFS($D$27:L27,$D$6:L6,(KPI!L8-'Info Sheet'!$D$22)+1)</f>
        <v>0</v>
      </c>
      <c r="M29" s="44">
        <f>SUMIFS($D$27:M27,$D$6:M6,(KPI!M8-'Info Sheet'!$D$22)+1)</f>
        <v>0</v>
      </c>
      <c r="N29" s="44">
        <f>SUMIFS($D$27:N27,$D$6:N6,(KPI!N8-'Info Sheet'!$D$22)+1)</f>
        <v>0</v>
      </c>
      <c r="O29" s="44">
        <f>SUMIFS($D$27:O27,$D$6:O6,(KPI!O8-'Info Sheet'!$D$22)+1)</f>
        <v>0</v>
      </c>
      <c r="P29" s="44">
        <f>SUMIFS($D$27:P27,$D$6:P6,(KPI!P8-'Info Sheet'!$D$22)+1)</f>
        <v>0</v>
      </c>
      <c r="Q29" s="44">
        <f>SUMIFS($D$27:Q27,$D$6:Q6,(KPI!Q8-'Info Sheet'!$D$22)+1)</f>
        <v>0</v>
      </c>
      <c r="R29" s="44">
        <f>SUMIFS($D$27:R27,$D$6:R6,(KPI!R8-'Info Sheet'!$D$22)+1)</f>
        <v>0</v>
      </c>
      <c r="S29" s="44">
        <f>SUMIFS($D$27:S27,$D$6:S6,(KPI!S8-'Info Sheet'!$D$22)+1)</f>
        <v>0</v>
      </c>
      <c r="T29" s="44">
        <f>SUMIFS($D$27:T27,$D$6:T6,(KPI!T8-'Info Sheet'!$D$22)+1)</f>
        <v>0</v>
      </c>
      <c r="U29" s="44">
        <f>SUMIFS($D$27:U27,$D$6:U6,(KPI!U8-'Info Sheet'!$D$22)+1)</f>
        <v>0</v>
      </c>
      <c r="V29" s="44">
        <f>SUMIFS($D$27:V27,$D$6:V6,(KPI!V8-'Info Sheet'!$D$22)+1)</f>
        <v>0</v>
      </c>
      <c r="W29" s="44">
        <f>SUMIFS($D$27:W27,$D$6:W6,(KPI!W8-'Info Sheet'!$D$22)+1)</f>
        <v>0</v>
      </c>
      <c r="X29" s="44">
        <f>SUMIFS($D$27:X27,$D$6:X6,(KPI!X8-'Info Sheet'!$D$22)+1)</f>
        <v>0</v>
      </c>
      <c r="Y29" s="44">
        <f>SUMIFS($D$27:Y27,$D$6:Y6,(KPI!Y8-'Info Sheet'!$D$22)+1)</f>
        <v>0</v>
      </c>
      <c r="Z29" s="44">
        <f>SUMIFS($D$27:Z27,$D$6:Z6,(KPI!Z8-'Info Sheet'!$D$22)+1)</f>
        <v>0</v>
      </c>
      <c r="AA29" s="44">
        <f>SUMIFS($D$27:AA27,$D$6:AA6,(KPI!AA8-'Info Sheet'!$D$22)+1)</f>
        <v>0</v>
      </c>
      <c r="AB29" s="44">
        <f>SUMIFS($D$27:AB27,$D$6:AB6,(KPI!AB8-'Info Sheet'!$D$22)+1)</f>
        <v>0</v>
      </c>
      <c r="AC29" s="44">
        <f>SUMIFS($D$27:AC27,$D$6:AC6,(KPI!AC8-'Info Sheet'!$D$22)+1)</f>
        <v>0</v>
      </c>
      <c r="AD29" s="44">
        <f>SUMIFS($D$27:AD27,$D$6:AD6,(KPI!AD8-'Info Sheet'!$D$22)+1)</f>
        <v>0</v>
      </c>
      <c r="AE29" s="44">
        <f>SUMIFS($D$27:AE27,$D$6:AE6,(KPI!AE8-'Info Sheet'!$D$22)+1)</f>
        <v>0</v>
      </c>
      <c r="AF29" s="44">
        <f>SUMIFS($D$27:AF27,$D$6:AF6,(KPI!AF8-'Info Sheet'!$D$22)+1)</f>
        <v>0</v>
      </c>
      <c r="AG29" s="44">
        <f>SUMIFS($D$27:AG27,$D$6:AG6,(KPI!AG8-'Info Sheet'!$D$22)+1)</f>
        <v>0</v>
      </c>
      <c r="AH29" s="44">
        <f>SUMIFS($D$27:AH27,$D$6:AH6,(KPI!AH8-'Info Sheet'!$D$22)+1)</f>
        <v>0</v>
      </c>
      <c r="AI29" s="44">
        <f>SUMIFS($D$27:AI27,$D$6:AI6,(KPI!AI8-'Info Sheet'!$D$22)+1)</f>
        <v>0</v>
      </c>
      <c r="AJ29" s="44">
        <f>SUMIFS($D$27:AJ27,$D$6:AJ6,(KPI!AJ8-'Info Sheet'!$D$22)+1)</f>
        <v>0</v>
      </c>
      <c r="AK29" s="44">
        <f>SUMIFS($D$27:AK27,$D$6:AK6,(KPI!AK8-'Info Sheet'!$D$22)+1)</f>
        <v>0</v>
      </c>
      <c r="AL29" s="44">
        <f>SUMIFS($D$27:AL27,$D$6:AL6,(KPI!AL8-'Info Sheet'!$D$22)+1)</f>
        <v>0</v>
      </c>
      <c r="AM29" s="44">
        <f>SUMIFS($D$27:AM27,$D$6:AM6,(KPI!AM8-'Info Sheet'!$D$22)+1)</f>
        <v>0</v>
      </c>
      <c r="AN29" s="44">
        <f>SUMIFS($D$27:AN27,$D$6:AN6,(KPI!AN8-'Info Sheet'!$D$22)+1)</f>
        <v>0</v>
      </c>
      <c r="AO29" s="44">
        <f>SUMIFS($D$27:AO27,$D$6:AO6,(KPI!AO8-'Info Sheet'!$D$22)+1)</f>
        <v>0</v>
      </c>
      <c r="AP29" s="44">
        <f>SUMIFS($D$27:AP27,$D$6:AP6,(KPI!AP8-'Info Sheet'!$D$22)+1)</f>
        <v>0</v>
      </c>
      <c r="AQ29" s="44">
        <f>SUMIFS($D$27:AQ27,$D$6:AQ6,(KPI!AQ8-'Info Sheet'!$D$22)+1)</f>
        <v>0</v>
      </c>
      <c r="AR29" s="44">
        <f>SUMIFS($D$27:AR27,$D$6:AR6,(KPI!AR8-'Info Sheet'!$D$22)+1)</f>
        <v>0</v>
      </c>
      <c r="AS29" s="44">
        <f>SUMIFS($D$27:AS27,$D$6:AS6,(KPI!AS8-'Info Sheet'!$D$22)+1)</f>
        <v>0</v>
      </c>
      <c r="AT29" s="44">
        <f>SUMIFS($D$27:AT27,$D$6:AT6,(KPI!AT8-'Info Sheet'!$D$22)+1)</f>
        <v>0</v>
      </c>
      <c r="AU29" s="44">
        <f>SUMIFS($D$27:AU27,$D$6:AU6,(KPI!AU8-'Info Sheet'!$D$22)+1)</f>
        <v>0</v>
      </c>
      <c r="AV29" s="44">
        <f>SUMIFS($D$27:AV27,$D$6:AV6,(KPI!AV8-'Info Sheet'!$D$22)+1)</f>
        <v>0</v>
      </c>
      <c r="AW29" s="44">
        <f>SUMIFS($D$27:AW27,$D$6:AW6,(KPI!AW8-'Info Sheet'!$D$22)+1)</f>
        <v>0</v>
      </c>
      <c r="AX29" s="44">
        <f>SUMIFS($D$27:AX27,$D$6:AX6,(KPI!AX8-'Info Sheet'!$D$22)+1)</f>
        <v>0</v>
      </c>
      <c r="AY29" s="44">
        <f>SUMIFS($D$27:AY27,$D$6:AY6,(KPI!AY8-'Info Sheet'!$D$22)+1)</f>
        <v>0</v>
      </c>
      <c r="AZ29" s="44">
        <f>SUMIFS($D$27:AZ27,$D$6:AZ6,(KPI!AZ8-'Info Sheet'!$D$22)+1)</f>
        <v>0</v>
      </c>
      <c r="BA29" s="44">
        <f>SUMIFS($D$27:BA27,$D$6:BA6,(KPI!BA8-'Info Sheet'!$D$22)+1)</f>
        <v>0</v>
      </c>
      <c r="BB29" s="44">
        <f>SUMIFS($D$27:BB27,$D$6:BB6,(KPI!BB8-'Info Sheet'!$D$22)+1)</f>
        <v>0</v>
      </c>
      <c r="BC29" s="44">
        <f>SUMIFS($D$27:BC27,$D$6:BC6,(KPI!BC8-'Info Sheet'!$D$22)+1)</f>
        <v>0</v>
      </c>
      <c r="BD29" s="44">
        <f>SUMIFS($D$27:BD27,$D$6:BD6,(KPI!BD8-'Info Sheet'!$D$22)+1)</f>
        <v>0</v>
      </c>
      <c r="BE29" s="44">
        <f>SUMIFS($D$27:BE27,$D$6:BE6,(KPI!BE8-'Info Sheet'!$D$22)+1)</f>
        <v>0</v>
      </c>
      <c r="BF29" s="44">
        <f>SUMIFS($D$27:BF27,$D$6:BF6,(KPI!BF8-'Info Sheet'!$D$22)+1)</f>
        <v>0</v>
      </c>
      <c r="BG29" s="44">
        <f>SUMIFS($D$27:BG27,$D$6:BG6,(KPI!BG8-'Info Sheet'!$D$22)+1)</f>
        <v>0</v>
      </c>
      <c r="BH29" s="44">
        <f>SUMIFS($D$27:BH27,$D$6:BH6,(KPI!BH8-'Info Sheet'!$D$22)+1)</f>
        <v>0</v>
      </c>
      <c r="BI29" s="44">
        <f>SUMIFS($D$27:BI27,$D$6:BI6,(KPI!BI8-'Info Sheet'!$D$22)+1)</f>
        <v>0</v>
      </c>
      <c r="BJ29" s="44">
        <f>SUMIFS($D$27:BJ27,$D$6:BJ6,(KPI!BJ8-'Info Sheet'!$D$22)+1)</f>
        <v>0</v>
      </c>
      <c r="BK29" s="44">
        <f>SUMIFS($D$27:BK27,$D$6:BK6,(KPI!BK8-'Info Sheet'!$D$22)+1)</f>
        <v>0</v>
      </c>
      <c r="BL29" s="44">
        <f>SUMIFS($D$27:BL27,$D$6:BL6,(KPI!BL8-'Info Sheet'!$D$22)+1)</f>
        <v>0</v>
      </c>
      <c r="BM29" s="44">
        <f>SUMIFS($D$27:BM27,$D$6:BM6,(KPI!BM8-'Info Sheet'!$D$22)+1)</f>
        <v>0</v>
      </c>
      <c r="BN29" s="44">
        <f>SUMIFS($D$27:BN27,$D$6:BN6,(KPI!BN8-'Info Sheet'!$D$22)+1)</f>
        <v>0</v>
      </c>
      <c r="BO29" s="44">
        <f>SUMIFS($D$27:BO27,$D$6:BO6,(KPI!BO8-'Info Sheet'!$D$22)+1)</f>
        <v>0</v>
      </c>
      <c r="BP29" s="44">
        <f>SUMIFS($D$27:BP27,$D$6:BP6,(KPI!BP8-'Info Sheet'!$D$22)+1)</f>
        <v>0</v>
      </c>
      <c r="BQ29" s="44">
        <f>SUMIFS($D$27:BQ27,$D$6:BQ6,(KPI!BQ8-'Info Sheet'!$D$22)+1)</f>
        <v>0</v>
      </c>
      <c r="BR29" s="44">
        <f>SUMIFS($D$27:BR27,$D$6:BR6,(KPI!BR8-'Info Sheet'!$D$22)+1)</f>
        <v>0</v>
      </c>
      <c r="BS29" s="44">
        <f>SUMIFS($D$27:BS27,$D$6:BS6,(KPI!BS8-'Info Sheet'!$D$22)+1)</f>
        <v>0</v>
      </c>
      <c r="BT29" s="44">
        <f>SUMIFS($D$27:BT27,$D$6:BT6,(KPI!BT8-'Info Sheet'!$D$22)+1)</f>
        <v>0</v>
      </c>
      <c r="BU29" s="44">
        <f>SUMIFS($D$27:BU27,$D$6:BU6,(KPI!BU8-'Info Sheet'!$D$22)+1)</f>
        <v>0</v>
      </c>
      <c r="BV29" s="44">
        <f>SUMIFS($D$27:BV27,$D$6:BV6,(KPI!BV8-'Info Sheet'!$D$22)+1)</f>
        <v>0</v>
      </c>
      <c r="BW29" s="44">
        <f>SUMIFS($D$27:BW27,$D$6:BW6,(KPI!BW8-'Info Sheet'!$D$22)+1)</f>
        <v>0</v>
      </c>
      <c r="BX29" s="44">
        <f>SUMIFS($D$27:BX27,$D$6:BX6,(KPI!BX8-'Info Sheet'!$D$22)+1)</f>
        <v>0</v>
      </c>
      <c r="BY29" s="44">
        <f>SUMIFS($D$27:BY27,$D$6:BY6,(KPI!BY8-'Info Sheet'!$D$22)+1)</f>
        <v>0</v>
      </c>
      <c r="BZ29" s="44">
        <f>SUMIFS($D$27:BZ27,$D$6:BZ6,(KPI!BZ8-'Info Sheet'!$D$22)+1)</f>
        <v>0</v>
      </c>
      <c r="CA29" s="44">
        <f>SUMIFS($D$27:CA27,$D$6:CA6,(KPI!CA8-'Info Sheet'!$D$22)+1)</f>
        <v>0</v>
      </c>
      <c r="CB29" s="44">
        <f>SUMIFS($D$27:CB27,$D$6:CB6,(KPI!CB8-'Info Sheet'!$D$22)+1)</f>
        <v>0</v>
      </c>
      <c r="CC29" s="44">
        <f>SUMIFS($D$27:CC27,$D$6:CC6,(KPI!CC8-'Info Sheet'!$D$22)+1)</f>
        <v>0</v>
      </c>
      <c r="CD29" s="44">
        <f>SUMIFS($D$27:CD27,$D$6:CD6,(KPI!CD8-'Info Sheet'!$D$22)+1)</f>
        <v>0</v>
      </c>
      <c r="CE29" s="44">
        <f>SUMIFS($D$27:CE27,$D$6:CE6,(KPI!CE8-'Info Sheet'!$D$22)+1)</f>
        <v>0</v>
      </c>
      <c r="CF29" s="44">
        <f>SUMIFS($D$27:CF27,$D$6:CF6,(KPI!CF8-'Info Sheet'!$D$22)+1)</f>
        <v>0</v>
      </c>
      <c r="CG29" s="44">
        <f>SUMIFS($D$27:CG27,$D$6:CG6,(KPI!CG8-'Info Sheet'!$D$22)+1)</f>
        <v>0</v>
      </c>
      <c r="CH29" s="44">
        <f>SUMIFS($D$27:CH27,$D$6:CH6,(KPI!CH8-'Info Sheet'!$D$22)+1)</f>
        <v>0</v>
      </c>
      <c r="CI29" s="44">
        <f>SUMIFS($D$27:CI27,$D$6:CI6,(KPI!CI8-'Info Sheet'!$D$22)+1)</f>
        <v>0</v>
      </c>
      <c r="CJ29" s="44">
        <f>SUMIFS($D$27:CJ27,$D$6:CJ6,(KPI!CJ8-'Info Sheet'!$D$22)+1)</f>
        <v>0</v>
      </c>
      <c r="CK29" s="44">
        <f>SUMIFS($D$27:CK27,$D$6:CK6,(KPI!CK8-'Info Sheet'!$D$22)+1)</f>
        <v>0</v>
      </c>
      <c r="CL29" s="44">
        <f>SUMIFS($D$27:CL27,$D$6:CL6,(KPI!CL8-'Info Sheet'!$D$22)+1)</f>
        <v>0</v>
      </c>
      <c r="CM29" s="44">
        <f>SUMIFS($D$27:CM27,$D$6:CM6,(KPI!CM8-'Info Sheet'!$D$22)+1)</f>
        <v>0</v>
      </c>
      <c r="CN29" s="44">
        <f>SUMIFS($D$27:CN27,$D$6:CN6,(KPI!CN8-'Info Sheet'!$D$22)+1)</f>
        <v>0</v>
      </c>
      <c r="CO29" s="44">
        <f>SUMIFS($D$27:CO27,$D$6:CO6,(KPI!CO8-'Info Sheet'!$D$22)+1)</f>
        <v>0</v>
      </c>
      <c r="CP29" s="44">
        <f>SUMIFS($D$27:CP27,$D$6:CP6,(KPI!CP8-'Info Sheet'!$D$22)+1)</f>
        <v>0</v>
      </c>
      <c r="CQ29" s="44">
        <f>SUMIFS($D$27:CQ27,$D$6:CQ6,(KPI!CQ8-'Info Sheet'!$D$22)+1)</f>
        <v>0</v>
      </c>
      <c r="CR29" s="44">
        <f>SUMIFS($D$27:CR27,$D$6:CR6,(KPI!CR8-'Info Sheet'!$D$22)+1)</f>
        <v>0</v>
      </c>
      <c r="CS29" s="44">
        <f>SUMIFS($D$27:CS27,$D$6:CS6,(KPI!CS8-'Info Sheet'!$D$22)+1)</f>
        <v>0</v>
      </c>
      <c r="CT29" s="44">
        <f>SUMIFS($D$27:CT27,$D$6:CT6,(KPI!CT8-'Info Sheet'!$D$22)+1)</f>
        <v>0</v>
      </c>
      <c r="CU29" s="44">
        <f>SUMIFS($D$27:CU27,$D$6:CU6,(KPI!CU8-'Info Sheet'!$D$22)+1)</f>
        <v>0</v>
      </c>
      <c r="CV29" s="44">
        <f>SUMIFS($D$27:CV27,$D$6:CV6,(KPI!CV8-'Info Sheet'!$D$22)+1)</f>
        <v>0</v>
      </c>
      <c r="CW29" s="44">
        <f>SUMIFS($D$27:CW27,$D$6:CW6,(KPI!CW8-'Info Sheet'!$D$22)+1)</f>
        <v>0</v>
      </c>
      <c r="CX29" s="44">
        <f>SUMIFS($D$27:CX27,$D$6:CX6,(KPI!CX8-'Info Sheet'!$D$22)+1)</f>
        <v>0</v>
      </c>
      <c r="CY29" s="44">
        <f>SUMIFS($D$27:CY27,$D$6:CY6,(KPI!CY8-'Info Sheet'!$D$22)+1)</f>
        <v>0</v>
      </c>
      <c r="CZ29" s="44">
        <f>SUMIFS($D$27:CZ27,$D$6:CZ6,(KPI!CZ8-'Info Sheet'!$D$22)+1)</f>
        <v>0</v>
      </c>
      <c r="DA29" s="44">
        <f>SUMIFS($D$27:DA27,$D$6:DA6,(KPI!DA8-'Info Sheet'!$D$22)+1)</f>
        <v>0</v>
      </c>
      <c r="DB29" s="44">
        <f>SUMIFS($D$27:DB27,$D$6:DB6,(KPI!DB8-'Info Sheet'!$D$22)+1)</f>
        <v>0</v>
      </c>
      <c r="DC29" s="44">
        <f>SUMIFS($D$27:DC27,$D$6:DC6,(KPI!DC8-'Info Sheet'!$D$22)+1)</f>
        <v>0</v>
      </c>
      <c r="DD29" s="44">
        <f>SUMIFS($D$27:DD27,$D$6:DD6,(KPI!DD8-'Info Sheet'!$D$22)+1)</f>
        <v>0</v>
      </c>
      <c r="DE29" s="44">
        <f>SUMIFS($D$27:DE27,$D$6:DE6,(KPI!DE8-'Info Sheet'!$D$22)+1)</f>
        <v>0</v>
      </c>
      <c r="DF29" s="44">
        <f>SUMIFS($D$27:DF27,$D$6:DF6,(KPI!DF8-'Info Sheet'!$D$22)+1)</f>
        <v>0</v>
      </c>
      <c r="DG29" s="44">
        <f>SUMIFS($D$27:DG27,$D$6:DG6,(KPI!DG8-'Info Sheet'!$D$22)+1)</f>
        <v>0</v>
      </c>
      <c r="DH29" s="44">
        <f>SUMIFS($D$27:DH27,$D$6:DH6,(KPI!DH8-'Info Sheet'!$D$22)+1)</f>
        <v>0</v>
      </c>
      <c r="DI29" s="44">
        <f>SUMIFS($D$27:DI27,$D$6:DI6,(KPI!DI8-'Info Sheet'!$D$22)+1)</f>
        <v>0</v>
      </c>
      <c r="DJ29" s="44">
        <f>SUMIFS($D$27:DJ27,$D$6:DJ6,(KPI!DJ8-'Info Sheet'!$D$22)+1)</f>
        <v>0</v>
      </c>
      <c r="DK29" s="44">
        <f>SUMIFS($D$27:DK27,$D$6:DK6,(KPI!DK8-'Info Sheet'!$D$22)+1)</f>
        <v>0</v>
      </c>
      <c r="DL29" s="44">
        <f>SUMIFS($D$27:DL27,$D$6:DL6,(KPI!DL8-'Info Sheet'!$D$22)+1)</f>
        <v>0</v>
      </c>
      <c r="DM29" s="44">
        <f>SUMIFS($D$27:DM27,$D$6:DM6,(KPI!DM8-'Info Sheet'!$D$22)+1)</f>
        <v>0</v>
      </c>
      <c r="DN29" s="44">
        <f>SUMIFS($D$27:DN27,$D$6:DN6,(KPI!DN8-'Info Sheet'!$D$22)+1)</f>
        <v>0</v>
      </c>
      <c r="DO29" s="44">
        <f>SUMIFS($D$27:DO27,$D$6:DO6,(KPI!DO8-'Info Sheet'!$D$22)+1)</f>
        <v>0</v>
      </c>
      <c r="DP29" s="44">
        <f>SUMIFS($D$27:DP27,$D$6:DP6,(KPI!DP8-'Info Sheet'!$D$22)+1)</f>
        <v>0</v>
      </c>
      <c r="DQ29" s="44">
        <f>SUMIFS($D$27:DQ27,$D$6:DQ6,(KPI!DQ8-'Info Sheet'!$D$22)+1)</f>
        <v>0</v>
      </c>
      <c r="DR29" s="44">
        <f>SUMIFS($D$27:DR27,$D$6:DR6,(KPI!DR8-'Info Sheet'!$D$22)+1)</f>
        <v>0</v>
      </c>
      <c r="DS29" s="44">
        <f>SUMIFS($D$27:DS27,$D$6:DS6,(KPI!DS8-'Info Sheet'!$D$22)+1)</f>
        <v>0</v>
      </c>
      <c r="DT29" s="44">
        <f>SUMIFS($D$27:DT27,$D$6:DT6,(KPI!DT8-'Info Sheet'!$D$22)+1)</f>
        <v>0</v>
      </c>
      <c r="DU29" s="44">
        <f>SUMIFS($D$27:DU27,$D$6:DU6,(KPI!DU8-'Info Sheet'!$D$22)+1)</f>
        <v>0</v>
      </c>
      <c r="DV29" s="44">
        <f>SUMIFS($D$27:DV27,$D$6:DV6,(KPI!DV8-'Info Sheet'!$D$22)+1)</f>
        <v>0</v>
      </c>
      <c r="DW29" s="44">
        <f>SUMIFS($D$27:DW27,$D$6:DW6,(KPI!DW8-'Info Sheet'!$D$22)+1)</f>
        <v>0</v>
      </c>
      <c r="DX29" s="44">
        <f>SUMIFS($D$27:DX27,$D$6:DX6,(KPI!DX8-'Info Sheet'!$D$22)+1)</f>
        <v>0</v>
      </c>
      <c r="DY29" s="44">
        <f>SUMIFS($D$27:DY27,$D$6:DY6,(KPI!DY8-'Info Sheet'!$D$22)+1)</f>
        <v>0</v>
      </c>
      <c r="DZ29" s="44">
        <f>SUMIFS($D$27:DZ27,$D$6:DZ6,(KPI!DZ8-'Info Sheet'!$D$22)+1)</f>
        <v>0</v>
      </c>
      <c r="EA29" s="44">
        <f>SUMIFS($D$27:EA27,$D$6:EA6,(KPI!EA8-'Info Sheet'!$D$22)+1)</f>
        <v>0</v>
      </c>
      <c r="EB29" s="44">
        <f>SUMIFS($D$27:EB27,$D$6:EB6,(KPI!EB8-'Info Sheet'!$D$22)+1)</f>
        <v>0</v>
      </c>
      <c r="EC29" s="44">
        <f>SUMIFS($D$27:EC27,$D$6:EC6,(KPI!EC8-'Info Sheet'!$D$22)+1)</f>
        <v>0</v>
      </c>
      <c r="ED29" s="44">
        <f>SUMIFS($D$27:ED27,$D$6:ED6,(KPI!ED8-'Info Sheet'!$D$22)+1)</f>
        <v>0</v>
      </c>
      <c r="EE29" s="44">
        <f>SUMIFS($D$27:EE27,$D$6:EE6,(KPI!EE8-'Info Sheet'!$D$22)+1)</f>
        <v>0</v>
      </c>
      <c r="EF29" s="44">
        <f>SUMIFS($D$27:EF27,$D$6:EF6,(KPI!EF8-'Info Sheet'!$D$22)+1)</f>
        <v>0</v>
      </c>
      <c r="EG29" s="44">
        <f>SUMIFS($D$27:EG27,$D$6:EG6,(KPI!EG8-'Info Sheet'!$D$22)+1)</f>
        <v>0</v>
      </c>
      <c r="EH29" s="44">
        <f>SUMIFS($D$27:EH27,$D$6:EH6,(KPI!EH8-'Info Sheet'!$D$22)+1)</f>
        <v>0</v>
      </c>
      <c r="EI29" s="44">
        <f>SUMIFS($D$27:EI27,$D$6:EI6,(KPI!EI8-'Info Sheet'!$D$22)+1)</f>
        <v>0</v>
      </c>
      <c r="EJ29" s="44">
        <f>SUMIFS($D$27:EJ27,$D$6:EJ6,(KPI!EJ8-'Info Sheet'!$D$22)+1)</f>
        <v>0</v>
      </c>
      <c r="EK29" s="44">
        <f>SUMIFS($D$27:EK27,$D$6:EK6,(KPI!EK8-'Info Sheet'!$D$22)+1)</f>
        <v>0</v>
      </c>
      <c r="EL29" s="44">
        <f>SUMIFS($D$27:EL27,$D$6:EL6,(KPI!EL8-'Info Sheet'!$D$22)+1)</f>
        <v>0</v>
      </c>
      <c r="EM29" s="44">
        <f>SUMIFS($D$27:EM27,$D$6:EM6,(KPI!EM8-'Info Sheet'!$D$22)+1)</f>
        <v>0</v>
      </c>
      <c r="EN29" s="44">
        <f>SUMIFS($D$27:EN27,$D$6:EN6,(KPI!EN8-'Info Sheet'!$D$22)+1)</f>
        <v>0</v>
      </c>
      <c r="EO29" s="44">
        <f>SUMIFS($D$27:EO27,$D$6:EO6,(KPI!EO8-'Info Sheet'!$D$22)+1)</f>
        <v>0</v>
      </c>
      <c r="EP29" s="44">
        <f>SUMIFS($D$27:EP27,$D$6:EP6,(KPI!EP8-'Info Sheet'!$D$22)+1)</f>
        <v>0</v>
      </c>
      <c r="EQ29" s="44">
        <f>SUMIFS($D$27:EQ27,$D$6:EQ6,(KPI!EQ8-'Info Sheet'!$D$22)+1)</f>
        <v>0</v>
      </c>
      <c r="ER29" s="44">
        <f>SUMIFS($D$27:ER27,$D$6:ER6,(KPI!ER8-'Info Sheet'!$D$22)+1)</f>
        <v>0</v>
      </c>
      <c r="ES29" s="44">
        <f>SUMIFS($D$27:ES27,$D$6:ES6,(KPI!ES8-'Info Sheet'!$D$22)+1)</f>
        <v>0</v>
      </c>
      <c r="ET29" s="44">
        <f>SUMIFS($D$27:ET27,$D$6:ET6,(KPI!ET8-'Info Sheet'!$D$22)+1)</f>
        <v>0</v>
      </c>
      <c r="EU29" s="44">
        <f>SUMIFS($D$27:EU27,$D$6:EU6,(KPI!EU8-'Info Sheet'!$D$22)+1)</f>
        <v>0</v>
      </c>
      <c r="EV29" s="44">
        <f>SUMIFS($D$27:EV27,$D$6:EV6,(KPI!EV8-'Info Sheet'!$D$22)+1)</f>
        <v>0</v>
      </c>
      <c r="EW29" s="44">
        <f>SUMIFS($D$27:EW27,$D$6:EW6,(KPI!EW8-'Info Sheet'!$D$22)+1)</f>
        <v>0</v>
      </c>
      <c r="EX29" s="44">
        <f>SUMIFS($D$27:EX27,$D$6:EX6,(KPI!EX8-'Info Sheet'!$D$22)+1)</f>
        <v>0</v>
      </c>
      <c r="EY29" s="44">
        <f>SUMIFS($D$27:EY27,$D$6:EY6,(KPI!EY8-'Info Sheet'!$D$22)+1)</f>
        <v>0</v>
      </c>
      <c r="EZ29" s="44">
        <f>SUMIFS($D$27:EZ27,$D$6:EZ6,(KPI!EZ8-'Info Sheet'!$D$22)+1)</f>
        <v>0</v>
      </c>
      <c r="FA29" s="44">
        <f>SUMIFS($D$27:FA27,$D$6:FA6,(KPI!FA8-'Info Sheet'!$D$22)+1)</f>
        <v>0</v>
      </c>
      <c r="FB29" s="44">
        <f>SUMIFS($D$27:FB27,$D$6:FB6,(KPI!FB8-'Info Sheet'!$D$22)+1)</f>
        <v>0</v>
      </c>
      <c r="FC29" s="44">
        <f>SUMIFS($D$27:FC27,$D$6:FC6,(KPI!FC8-'Info Sheet'!$D$22)+1)</f>
        <v>0</v>
      </c>
      <c r="FD29" s="44">
        <f>SUMIFS($D$27:FD27,$D$6:FD6,(KPI!FD8-'Info Sheet'!$D$22)+1)</f>
        <v>0</v>
      </c>
      <c r="FE29" s="44">
        <f>SUMIFS($D$27:FE27,$D$6:FE6,(KPI!FE8-'Info Sheet'!$D$22)+1)</f>
        <v>0</v>
      </c>
      <c r="FF29" s="44">
        <f>SUMIFS($D$27:FF27,$D$6:FF6,(KPI!FF8-'Info Sheet'!$D$22)+1)</f>
        <v>0</v>
      </c>
      <c r="FG29" s="44">
        <f>SUMIFS($D$27:FG27,$D$6:FG6,(KPI!FG8-'Info Sheet'!$D$22)+1)</f>
        <v>0</v>
      </c>
      <c r="FH29" s="44">
        <f>SUMIFS($D$27:FH27,$D$6:FH6,(KPI!FH8-'Info Sheet'!$D$22)+1)</f>
        <v>0</v>
      </c>
      <c r="FI29" s="44">
        <f>SUMIFS($D$27:FI27,$D$6:FI6,(KPI!FI8-'Info Sheet'!$D$22)+1)</f>
        <v>0</v>
      </c>
      <c r="FJ29" s="44">
        <f>SUMIFS($D$27:FJ27,$D$6:FJ6,(KPI!FJ8-'Info Sheet'!$D$22)+1)</f>
        <v>0</v>
      </c>
      <c r="FK29" s="44">
        <f>SUMIFS($D$27:FK27,$D$6:FK6,(KPI!FK8-'Info Sheet'!$D$22)+1)</f>
        <v>0</v>
      </c>
      <c r="FL29" s="44">
        <f>SUMIFS($D$27:FL27,$D$6:FL6,(KPI!FL8-'Info Sheet'!$D$22)+1)</f>
        <v>0</v>
      </c>
      <c r="FM29" s="44">
        <f>SUMIFS($D$27:FM27,$D$6:FM6,(KPI!FM8-'Info Sheet'!$D$22)+1)</f>
        <v>0</v>
      </c>
      <c r="FN29" s="44">
        <f>SUMIFS($D$27:FN27,$D$6:FN6,(KPI!FN8-'Info Sheet'!$D$22)+1)</f>
        <v>0</v>
      </c>
      <c r="FO29" s="44">
        <f>SUMIFS($D$27:FO27,$D$6:FO6,(KPI!FO8-'Info Sheet'!$D$22)+1)</f>
        <v>0</v>
      </c>
      <c r="FP29" s="44">
        <f>SUMIFS($D$27:FP27,$D$6:FP6,(KPI!FP8-'Info Sheet'!$D$22)+1)</f>
        <v>0</v>
      </c>
      <c r="FQ29" s="44">
        <f>SUMIFS($D$27:FQ27,$D$6:FQ6,(KPI!FQ8-'Info Sheet'!$D$22)+1)</f>
        <v>0</v>
      </c>
      <c r="FR29" s="44">
        <f>SUMIFS($D$27:FR27,$D$6:FR6,(KPI!FR8-'Info Sheet'!$D$22)+1)</f>
        <v>0</v>
      </c>
      <c r="FS29" s="44">
        <f>SUMIFS($D$27:FS27,$D$6:FS6,(KPI!FS8-'Info Sheet'!$D$22)+1)</f>
        <v>0</v>
      </c>
      <c r="FT29" s="44">
        <f>SUMIFS($D$27:FT27,$D$6:FT6,(KPI!FT8-'Info Sheet'!$D$22)+1)</f>
        <v>0</v>
      </c>
      <c r="FU29" s="44">
        <f>SUMIFS($D$27:FU27,$D$6:FU6,(KPI!FU8-'Info Sheet'!$D$22)+1)</f>
        <v>0</v>
      </c>
      <c r="FV29" s="44">
        <f>SUMIFS($D$27:FV27,$D$6:FV6,(KPI!FV8-'Info Sheet'!$D$22)+1)</f>
        <v>0</v>
      </c>
      <c r="FW29" s="44">
        <f>SUMIFS($D$27:FW27,$D$6:FW6,(KPI!FW8-'Info Sheet'!$D$22)+1)</f>
        <v>0</v>
      </c>
      <c r="FX29" s="44">
        <f>SUMIFS($D$27:FX27,$D$6:FX6,(KPI!FX8-'Info Sheet'!$D$22)+1)</f>
        <v>0</v>
      </c>
      <c r="FY29" s="44">
        <f>SUMIFS($D$27:FY27,$D$6:FY6,(KPI!FY8-'Info Sheet'!$D$22)+1)</f>
        <v>0</v>
      </c>
      <c r="FZ29" s="44">
        <f>SUMIFS($D$27:FZ27,$D$6:FZ6,(KPI!FZ8-'Info Sheet'!$D$22)+1)</f>
        <v>0</v>
      </c>
      <c r="GA29" s="44">
        <f>SUMIFS($D$27:GA27,$D$6:GA6,(KPI!GA8-'Info Sheet'!$D$22)+1)</f>
        <v>0</v>
      </c>
      <c r="GB29" s="44">
        <f>SUMIFS($D$27:GB27,$D$6:GB6,(KPI!GB8-'Info Sheet'!$D$22)+1)</f>
        <v>0</v>
      </c>
      <c r="GC29" s="44">
        <f>SUMIFS($D$27:GC27,$D$6:GC6,(KPI!GC8-'Info Sheet'!$D$22)+1)</f>
        <v>0</v>
      </c>
      <c r="GD29" s="44">
        <f>SUMIFS($D$27:GD27,$D$6:GD6,(KPI!GD8-'Info Sheet'!$D$22)+1)</f>
        <v>0</v>
      </c>
      <c r="GE29" s="44">
        <f>SUMIFS($D$27:GE27,$D$6:GE6,(KPI!GE8-'Info Sheet'!$D$22)+1)</f>
        <v>0</v>
      </c>
      <c r="GF29" s="44">
        <f>SUMIFS($D$27:GF27,$D$6:GF6,(KPI!GF8-'Info Sheet'!$D$22)+1)</f>
        <v>0</v>
      </c>
      <c r="GG29" s="44">
        <f>SUMIFS($D$27:GG27,$D$6:GG6,(KPI!GG8-'Info Sheet'!$D$22)+1)</f>
        <v>0</v>
      </c>
      <c r="GH29" s="44">
        <f>SUMIFS($D$27:GH27,$D$6:GH6,(KPI!GH8-'Info Sheet'!$D$22)+1)</f>
        <v>0</v>
      </c>
      <c r="GI29" s="44">
        <f>SUMIFS($D$27:GI27,$D$6:GI6,(KPI!GI8-'Info Sheet'!$D$22)+1)</f>
        <v>0</v>
      </c>
      <c r="GJ29" s="44">
        <f>SUMIFS($D$27:GJ27,$D$6:GJ6,(KPI!GJ8-'Info Sheet'!$D$22)+1)</f>
        <v>0</v>
      </c>
      <c r="GK29" s="44">
        <f>SUMIFS($D$27:GK27,$D$6:GK6,(KPI!GK8-'Info Sheet'!$D$22)+1)</f>
        <v>0</v>
      </c>
      <c r="GL29" s="44">
        <f>SUMIFS($D$27:GL27,$D$6:GL6,(KPI!GL8-'Info Sheet'!$D$22)+1)</f>
        <v>0</v>
      </c>
      <c r="GM29" s="44">
        <f>SUMIFS($D$27:GM27,$D$6:GM6,(KPI!GM8-'Info Sheet'!$D$22)+1)</f>
        <v>0</v>
      </c>
      <c r="GN29" s="44">
        <f>SUMIFS($D$27:GN27,$D$6:GN6,(KPI!GN8-'Info Sheet'!$D$22)+1)</f>
        <v>0</v>
      </c>
      <c r="GO29" s="44">
        <f>SUMIFS($D$27:GO27,$D$6:GO6,(KPI!GO8-'Info Sheet'!$D$22)+1)</f>
        <v>0</v>
      </c>
      <c r="GP29" s="44">
        <f>SUMIFS($D$27:GP27,$D$6:GP6,(KPI!GP8-'Info Sheet'!$D$22)+1)</f>
        <v>0</v>
      </c>
      <c r="GQ29" s="44">
        <f>SUMIFS($D$27:GQ27,$D$6:GQ6,(KPI!GQ8-'Info Sheet'!$D$22)+1)</f>
        <v>0</v>
      </c>
      <c r="GR29" s="44">
        <f>SUMIFS($D$27:GR27,$D$6:GR6,(KPI!GR8-'Info Sheet'!$D$22)+1)</f>
        <v>0</v>
      </c>
      <c r="GS29" s="44">
        <f>SUMIFS($D$27:GS27,$D$6:GS6,(KPI!GS8-'Info Sheet'!$D$22)+1)</f>
        <v>0</v>
      </c>
      <c r="GT29" s="44">
        <f>SUMIFS($D$27:GT27,$D$6:GT6,(KPI!GT8-'Info Sheet'!$D$22)+1)</f>
        <v>0</v>
      </c>
      <c r="GU29" s="44">
        <f>SUMIFS($D$27:GU27,$D$6:GU6,(KPI!GU8-'Info Sheet'!$D$22)+1)</f>
        <v>0</v>
      </c>
      <c r="GV29" s="44">
        <f>SUMIFS($D$27:GV27,$D$6:GV6,(KPI!GV8-'Info Sheet'!$D$22)+1)</f>
        <v>0</v>
      </c>
      <c r="GW29" s="44">
        <f>SUMIFS($D$27:GW27,$D$6:GW6,(KPI!GW8-'Info Sheet'!$D$22)+1)</f>
        <v>0</v>
      </c>
      <c r="GX29" s="44">
        <f>SUMIFS($D$27:GX27,$D$6:GX6,(KPI!GX8-'Info Sheet'!$D$22)+1)</f>
        <v>0</v>
      </c>
      <c r="GY29" s="44">
        <f>SUMIFS($D$27:GY27,$D$6:GY6,(KPI!GY8-'Info Sheet'!$D$22)+1)</f>
        <v>0</v>
      </c>
      <c r="GZ29" s="44">
        <f>SUMIFS($D$27:GZ27,$D$6:GZ6,(KPI!GZ8-'Info Sheet'!$D$22)+1)</f>
        <v>0</v>
      </c>
      <c r="HA29" s="44">
        <f>SUMIFS($D$27:HA27,$D$6:HA6,(KPI!HA8-'Info Sheet'!$D$22)+1)</f>
        <v>0</v>
      </c>
      <c r="HB29" s="44">
        <f>SUMIFS($D$27:HB27,$D$6:HB6,(KPI!HB8-'Info Sheet'!$D$22)+1)</f>
        <v>0</v>
      </c>
      <c r="HC29" s="44">
        <f>SUMIFS($D$27:HC27,$D$6:HC6,(KPI!HC8-'Info Sheet'!$D$22)+1)</f>
        <v>0</v>
      </c>
      <c r="HD29" s="44">
        <f>SUMIFS($D$27:HD27,$D$6:HD6,(KPI!HD8-'Info Sheet'!$D$22)+1)</f>
        <v>0</v>
      </c>
      <c r="HE29" s="44">
        <f>SUMIFS($D$27:HE27,$D$6:HE6,(KPI!HE8-'Info Sheet'!$D$22)+1)</f>
        <v>0</v>
      </c>
      <c r="HF29" s="44">
        <f>SUMIFS($D$27:HF27,$D$6:HF6,(KPI!HF8-'Info Sheet'!$D$22)+1)</f>
        <v>0</v>
      </c>
      <c r="HG29" s="44">
        <f>SUMIFS($D$27:HG27,$D$6:HG6,(KPI!HG8-'Info Sheet'!$D$22)+1)</f>
        <v>0</v>
      </c>
      <c r="HH29" s="44">
        <f>SUMIFS($D$27:HH27,$D$6:HH6,(KPI!HH8-'Info Sheet'!$D$22)+1)</f>
        <v>0</v>
      </c>
      <c r="HI29" s="44">
        <f>SUMIFS($D$27:HI27,$D$6:HI6,(KPI!HI8-'Info Sheet'!$D$22)+1)</f>
        <v>0</v>
      </c>
      <c r="HJ29" s="44">
        <f>SUMIFS($D$27:HJ27,$D$6:HJ6,(KPI!HJ8-'Info Sheet'!$D$22)+1)</f>
        <v>0</v>
      </c>
      <c r="HK29" s="44">
        <f>SUMIFS($D$27:HK27,$D$6:HK6,(KPI!HK8-'Info Sheet'!$D$22)+1)</f>
        <v>0</v>
      </c>
      <c r="HL29" s="44">
        <f>SUMIFS($D$27:HL27,$D$6:HL6,(KPI!HL8-'Info Sheet'!$D$22)+1)</f>
        <v>0</v>
      </c>
      <c r="HM29" s="44">
        <f>SUMIFS($D$27:HM27,$D$6:HM6,(KPI!HM8-'Info Sheet'!$D$22)+1)</f>
        <v>0</v>
      </c>
      <c r="HN29" s="44">
        <f>SUMIFS($D$27:HN27,$D$6:HN6,(KPI!HN8-'Info Sheet'!$D$22)+1)</f>
        <v>0</v>
      </c>
      <c r="HO29" s="44">
        <f>SUMIFS($D$27:HO27,$D$6:HO6,(KPI!HO8-'Info Sheet'!$D$22)+1)</f>
        <v>0</v>
      </c>
      <c r="HP29" s="44">
        <f>SUMIFS($D$27:HP27,$D$6:HP6,(KPI!HP8-'Info Sheet'!$D$22)+1)</f>
        <v>0</v>
      </c>
      <c r="HQ29" s="44">
        <f>SUMIFS($D$27:HQ27,$D$6:HQ6,(KPI!HQ8-'Info Sheet'!$D$22)+1)</f>
        <v>0</v>
      </c>
      <c r="HR29" s="44">
        <f>SUMIFS($D$27:HR27,$D$6:HR6,(KPI!HR8-'Info Sheet'!$D$22)+1)</f>
        <v>0</v>
      </c>
      <c r="HS29" s="44">
        <f>SUMIFS($D$27:HS27,$D$6:HS6,(KPI!HS8-'Info Sheet'!$D$22)+1)</f>
        <v>0</v>
      </c>
      <c r="HT29" s="44">
        <f>SUMIFS($D$27:HT27,$D$6:HT6,(KPI!HT8-'Info Sheet'!$D$22)+1)</f>
        <v>0</v>
      </c>
      <c r="HU29" s="44">
        <f>SUMIFS($D$27:HU27,$D$6:HU6,(KPI!HU8-'Info Sheet'!$D$22)+1)</f>
        <v>0</v>
      </c>
      <c r="HV29" s="44">
        <f>SUMIFS($D$27:HV27,$D$6:HV6,(KPI!HV8-'Info Sheet'!$D$22)+1)</f>
        <v>0</v>
      </c>
      <c r="HW29" s="44">
        <f>SUMIFS($D$27:HW27,$D$6:HW6,(KPI!HW8-'Info Sheet'!$D$22)+1)</f>
        <v>0</v>
      </c>
      <c r="HX29" s="44">
        <f>SUMIFS($D$27:HX27,$D$6:HX6,(KPI!HX8-'Info Sheet'!$D$22)+1)</f>
        <v>0</v>
      </c>
      <c r="HY29" s="44">
        <f>SUMIFS($D$27:HY27,$D$6:HY6,(KPI!HY8-'Info Sheet'!$D$22)+1)</f>
        <v>0</v>
      </c>
      <c r="HZ29" s="44">
        <f>SUMIFS($D$27:HZ27,$D$6:HZ6,(KPI!HZ8-'Info Sheet'!$D$22)+1)</f>
        <v>0</v>
      </c>
      <c r="IA29" s="44">
        <f>SUMIFS($D$27:IA27,$D$6:IA6,(KPI!IA8-'Info Sheet'!$D$22)+1)</f>
        <v>0</v>
      </c>
      <c r="IB29" s="44">
        <f>SUMIFS($D$27:IB27,$D$6:IB6,(KPI!IB8-'Info Sheet'!$D$22)+1)</f>
        <v>0</v>
      </c>
      <c r="IC29" s="44">
        <f>SUMIFS($D$27:IC27,$D$6:IC6,(KPI!IC8-'Info Sheet'!$D$22)+1)</f>
        <v>0</v>
      </c>
      <c r="ID29" s="44">
        <f>SUMIFS($D$27:ID27,$D$6:ID6,(KPI!ID8-'Info Sheet'!$D$22)+1)</f>
        <v>0</v>
      </c>
      <c r="IE29" s="44">
        <f>SUMIFS($D$27:IE27,$D$6:IE6,(KPI!IE8-'Info Sheet'!$D$22)+1)</f>
        <v>0</v>
      </c>
      <c r="IF29" s="44">
        <f>SUMIFS($D$27:IF27,$D$6:IF6,(KPI!IF8-'Info Sheet'!$D$22)+1)</f>
        <v>0</v>
      </c>
      <c r="IG29" s="44">
        <f>SUMIFS($D$27:IG27,$D$6:IG6,(KPI!IG8-'Info Sheet'!$D$22)+1)</f>
        <v>0</v>
      </c>
      <c r="IH29" s="44">
        <f>SUMIFS($D$27:IH27,$D$6:IH6,(KPI!IH8-'Info Sheet'!$D$22)+1)</f>
        <v>0</v>
      </c>
      <c r="II29" s="44">
        <f>SUMIFS($D$27:II27,$D$6:II6,(KPI!II8-'Info Sheet'!$D$22)+1)</f>
        <v>0</v>
      </c>
      <c r="IJ29" s="44">
        <f>SUMIFS($D$27:IJ27,$D$6:IJ6,(KPI!IJ8-'Info Sheet'!$D$22)+1)</f>
        <v>0</v>
      </c>
      <c r="IK29" s="44">
        <f>SUMIFS($D$27:IK27,$D$6:IK6,(KPI!IK8-'Info Sheet'!$D$22)+1)</f>
        <v>0</v>
      </c>
      <c r="IL29" s="44">
        <f>SUMIFS($D$27:IL27,$D$6:IL6,(KPI!IL8-'Info Sheet'!$D$22)+1)</f>
        <v>0</v>
      </c>
      <c r="IM29" s="44">
        <f>SUMIFS($D$27:IM27,$D$6:IM6,(KPI!IM8-'Info Sheet'!$D$22)+1)</f>
        <v>0</v>
      </c>
      <c r="IN29" s="44">
        <f>SUMIFS($D$27:IN27,$D$6:IN6,(KPI!IN8-'Info Sheet'!$D$22)+1)</f>
        <v>0</v>
      </c>
      <c r="IO29" s="44">
        <f>SUMIFS($D$27:IO27,$D$6:IO6,(KPI!IO8-'Info Sheet'!$D$22)+1)</f>
        <v>0</v>
      </c>
      <c r="IP29" s="44">
        <f>SUMIFS($D$27:IP27,$D$6:IP6,(KPI!IP8-'Info Sheet'!$D$22)+1)</f>
        <v>0</v>
      </c>
      <c r="IQ29" s="44">
        <f>SUMIFS($D$27:IQ27,$D$6:IQ6,(KPI!IQ8-'Info Sheet'!$D$22)+1)</f>
        <v>0</v>
      </c>
      <c r="IR29" s="44">
        <f>SUMIFS($D$27:IR27,$D$6:IR6,(KPI!IR8-'Info Sheet'!$D$22)+1)</f>
        <v>0</v>
      </c>
      <c r="IS29" s="44">
        <f>SUMIFS($D$27:IS27,$D$6:IS6,(KPI!IS8-'Info Sheet'!$D$22)+1)</f>
        <v>0</v>
      </c>
      <c r="IT29" s="44">
        <f>SUMIFS($D$27:IT27,$D$6:IT6,(KPI!IT8-'Info Sheet'!$D$22)+1)</f>
        <v>0</v>
      </c>
      <c r="IU29" s="44">
        <f>SUMIFS($D$27:IU27,$D$6:IU6,(KPI!IU8-'Info Sheet'!$D$22)+1)</f>
        <v>0</v>
      </c>
      <c r="IV29" s="44">
        <f>SUMIFS($D$27:IV27,$D$6:IV6,(KPI!IV8-'Info Sheet'!$D$22)+1)</f>
        <v>0</v>
      </c>
      <c r="IW29" s="44">
        <f>SUMIFS($D$27:IW27,$D$6:IW6,(KPI!IW8-'Info Sheet'!$D$22)+1)</f>
        <v>0</v>
      </c>
      <c r="IX29" s="44">
        <f>SUMIFS($D$27:IX27,$D$6:IX6,(KPI!IX8-'Info Sheet'!$D$22)+1)</f>
        <v>0</v>
      </c>
      <c r="IY29" s="44">
        <f>SUMIFS($D$27:IY27,$D$6:IY6,(KPI!IY8-'Info Sheet'!$D$22)+1)</f>
        <v>0</v>
      </c>
      <c r="IZ29" s="44">
        <f>SUMIFS($D$27:IZ27,$D$6:IZ6,(KPI!IZ8-'Info Sheet'!$D$22)+1)</f>
        <v>0</v>
      </c>
      <c r="JA29" s="44">
        <f>SUMIFS($D$27:JA27,$D$6:JA6,(KPI!JA8-'Info Sheet'!$D$22)+1)</f>
        <v>0</v>
      </c>
      <c r="JB29" s="44">
        <f>SUMIFS($D$27:JB27,$D$6:JB6,(KPI!JB8-'Info Sheet'!$D$22)+1)</f>
        <v>0</v>
      </c>
      <c r="JC29" s="44">
        <f>SUMIFS($D$27:JC27,$D$6:JC6,(KPI!JC8-'Info Sheet'!$D$22)+1)</f>
        <v>0</v>
      </c>
      <c r="JD29" s="44">
        <f>SUMIFS($D$27:JD27,$D$6:JD6,(KPI!JD8-'Info Sheet'!$D$22)+1)</f>
        <v>0</v>
      </c>
      <c r="JE29" s="44">
        <f>SUMIFS($D$27:JE27,$D$6:JE6,(KPI!JE8-'Info Sheet'!$D$22)+1)</f>
        <v>0</v>
      </c>
      <c r="JF29" s="44">
        <f>SUMIFS($D$27:JF27,$D$6:JF6,(KPI!JF8-'Info Sheet'!$D$22)+1)</f>
        <v>0</v>
      </c>
      <c r="JG29" s="44">
        <f>SUMIFS($D$27:JG27,$D$6:JG6,(KPI!JG8-'Info Sheet'!$D$22)+1)</f>
        <v>0</v>
      </c>
      <c r="JH29" s="44">
        <f>SUMIFS($D$27:JH27,$D$6:JH6,(KPI!JH8-'Info Sheet'!$D$22)+1)</f>
        <v>0</v>
      </c>
      <c r="JI29" s="44">
        <f>SUMIFS($D$27:JI27,$D$6:JI6,(KPI!JI8-'Info Sheet'!$D$22)+1)</f>
        <v>0</v>
      </c>
      <c r="JJ29" s="44">
        <f>SUMIFS($D$27:JJ27,$D$6:JJ6,(KPI!JJ8-'Info Sheet'!$D$22)+1)</f>
        <v>0</v>
      </c>
      <c r="JK29" s="44">
        <f>SUMIFS($D$27:JK27,$D$6:JK6,(KPI!JK8-'Info Sheet'!$D$22)+1)</f>
        <v>0</v>
      </c>
      <c r="JL29" s="44">
        <f>SUMIFS($D$27:JL27,$D$6:JL6,(KPI!JL8-'Info Sheet'!$D$22)+1)</f>
        <v>0</v>
      </c>
      <c r="JM29" s="44">
        <f>SUMIFS($D$27:JM27,$D$6:JM6,(KPI!JM8-'Info Sheet'!$D$22)+1)</f>
        <v>0</v>
      </c>
      <c r="JN29" s="44">
        <f>SUMIFS($D$27:JN27,$D$6:JN6,(KPI!JN8-'Info Sheet'!$D$22)+1)</f>
        <v>0</v>
      </c>
      <c r="JO29" s="44">
        <f>SUMIFS($D$27:JO27,$D$6:JO6,(KPI!JO8-'Info Sheet'!$D$22)+1)</f>
        <v>0</v>
      </c>
      <c r="JP29" s="44">
        <f>SUMIFS($D$27:JP27,$D$6:JP6,(KPI!JP8-'Info Sheet'!$D$22)+1)</f>
        <v>0</v>
      </c>
      <c r="JQ29" s="44">
        <f>SUMIFS($D$27:JQ27,$D$6:JQ6,(KPI!JQ8-'Info Sheet'!$D$22)+1)</f>
        <v>0</v>
      </c>
      <c r="JR29" s="44">
        <f>SUMIFS($D$27:JR27,$D$6:JR6,(KPI!JR8-'Info Sheet'!$D$22)+1)</f>
        <v>0</v>
      </c>
      <c r="JS29" s="44">
        <f>SUMIFS($D$27:JS27,$D$6:JS6,(KPI!JS8-'Info Sheet'!$D$22)+1)</f>
        <v>0</v>
      </c>
      <c r="JT29" s="44">
        <f>SUMIFS($D$27:JT27,$D$6:JT6,(KPI!JT8-'Info Sheet'!$D$22)+1)</f>
        <v>0</v>
      </c>
      <c r="JU29" s="44">
        <f>SUMIFS($D$27:JU27,$D$6:JU6,(KPI!JU8-'Info Sheet'!$D$22)+1)</f>
        <v>0</v>
      </c>
      <c r="JV29" s="44">
        <f>SUMIFS($D$27:JV27,$D$6:JV6,(KPI!JV8-'Info Sheet'!$D$22)+1)</f>
        <v>0</v>
      </c>
      <c r="JW29" s="44">
        <f>SUMIFS($D$27:JW27,$D$6:JW6,(KPI!JW8-'Info Sheet'!$D$22)+1)</f>
        <v>0</v>
      </c>
      <c r="JX29" s="44">
        <f>SUMIFS($D$27:JX27,$D$6:JX6,(KPI!JX8-'Info Sheet'!$D$22)+1)</f>
        <v>0</v>
      </c>
      <c r="JY29" s="44">
        <f>SUMIFS($D$27:JY27,$D$6:JY6,(KPI!JY8-'Info Sheet'!$D$22)+1)</f>
        <v>0</v>
      </c>
      <c r="JZ29" s="44">
        <f>SUMIFS($D$27:JZ27,$D$6:JZ6,(KPI!JZ8-'Info Sheet'!$D$22)+1)</f>
        <v>0</v>
      </c>
      <c r="KA29" s="44">
        <f>SUMIFS($D$27:KA27,$D$6:KA6,(KPI!KA8-'Info Sheet'!$D$22)+1)</f>
        <v>0</v>
      </c>
      <c r="KB29" s="44">
        <f>SUMIFS($D$27:KB27,$D$6:KB6,(KPI!KB8-'Info Sheet'!$D$22)+1)</f>
        <v>0</v>
      </c>
      <c r="KC29" s="44">
        <f>SUMIFS($D$27:KC27,$D$6:KC6,(KPI!KC8-'Info Sheet'!$D$22)+1)</f>
        <v>0</v>
      </c>
      <c r="KD29" s="44">
        <f>SUMIFS($D$27:KD27,$D$6:KD6,(KPI!KD8-'Info Sheet'!$D$22)+1)</f>
        <v>0</v>
      </c>
      <c r="KE29" s="44">
        <f>SUMIFS($D$27:KE27,$D$6:KE6,(KPI!KE8-'Info Sheet'!$D$22)+1)</f>
        <v>0</v>
      </c>
      <c r="KF29" s="44">
        <f>SUMIFS($D$27:KF27,$D$6:KF6,(KPI!KF8-'Info Sheet'!$D$22)+1)</f>
        <v>0</v>
      </c>
      <c r="KG29" s="44">
        <f>SUMIFS($D$27:KG27,$D$6:KG6,(KPI!KG8-'Info Sheet'!$D$22)+1)</f>
        <v>0</v>
      </c>
      <c r="KH29" s="44">
        <f>SUMIFS($D$27:KH27,$D$6:KH6,(KPI!KH8-'Info Sheet'!$D$22)+1)</f>
        <v>0</v>
      </c>
      <c r="KI29" s="44">
        <f>SUMIFS($D$27:KI27,$D$6:KI6,(KPI!KI8-'Info Sheet'!$D$22)+1)</f>
        <v>0</v>
      </c>
      <c r="KJ29" s="44">
        <f>SUMIFS($D$27:KJ27,$D$6:KJ6,(KPI!KJ8-'Info Sheet'!$D$22)+1)</f>
        <v>0</v>
      </c>
      <c r="KK29" s="44">
        <f>SUMIFS($D$27:KK27,$D$6:KK6,(KPI!KK8-'Info Sheet'!$D$22)+1)</f>
        <v>0</v>
      </c>
      <c r="KL29" s="44">
        <f>SUMIFS($D$27:KL27,$D$6:KL6,(KPI!KL8-'Info Sheet'!$D$22)+1)</f>
        <v>0</v>
      </c>
      <c r="KM29" s="44">
        <f>SUMIFS($D$27:KM27,$D$6:KM6,(KPI!KM8-'Info Sheet'!$D$22)+1)</f>
        <v>0</v>
      </c>
      <c r="KN29" s="44">
        <f>SUMIFS($D$27:KN27,$D$6:KN6,(KPI!KN8-'Info Sheet'!$D$22)+1)</f>
        <v>0</v>
      </c>
      <c r="KO29" s="44">
        <f>SUMIFS($D$27:KO27,$D$6:KO6,(KPI!KO8-'Info Sheet'!$D$22)+1)</f>
        <v>0</v>
      </c>
      <c r="KP29" s="44">
        <f>SUMIFS($D$27:KP27,$D$6:KP6,(KPI!KP8-'Info Sheet'!$D$22)+1)</f>
        <v>0</v>
      </c>
      <c r="KQ29" s="44">
        <f>SUMIFS($D$27:KQ27,$D$6:KQ6,(KPI!KQ8-'Info Sheet'!$D$22)+1)</f>
        <v>0</v>
      </c>
      <c r="KR29" s="44">
        <f>SUMIFS($D$27:KR27,$D$6:KR6,(KPI!KR8-'Info Sheet'!$D$22)+1)</f>
        <v>0</v>
      </c>
      <c r="KS29" s="44">
        <f>SUMIFS($D$27:KS27,$D$6:KS6,(KPI!KS8-'Info Sheet'!$D$22)+1)</f>
        <v>0</v>
      </c>
      <c r="KT29" s="44">
        <f>SUMIFS($D$27:KT27,$D$6:KT6,(KPI!KT8-'Info Sheet'!$D$22)+1)</f>
        <v>0</v>
      </c>
      <c r="KU29" s="44">
        <f>SUMIFS($D$27:KU27,$D$6:KU6,(KPI!KU8-'Info Sheet'!$D$22)+1)</f>
        <v>0</v>
      </c>
      <c r="KV29" s="44">
        <f>SUMIFS($D$27:KV27,$D$6:KV6,(KPI!KV8-'Info Sheet'!$D$22)+1)</f>
        <v>0</v>
      </c>
      <c r="KW29" s="44">
        <f>SUMIFS($D$27:KW27,$D$6:KW6,(KPI!KW8-'Info Sheet'!$D$22)+1)</f>
        <v>0</v>
      </c>
      <c r="KX29" s="44">
        <f>SUMIFS($D$27:KX27,$D$6:KX6,(KPI!KX8-'Info Sheet'!$D$22)+1)</f>
        <v>0</v>
      </c>
      <c r="KY29" s="44">
        <f>SUMIFS($D$27:KY27,$D$6:KY6,(KPI!KY8-'Info Sheet'!$D$22)+1)</f>
        <v>0</v>
      </c>
      <c r="KZ29" s="44">
        <f>SUMIFS($D$27:KZ27,$D$6:KZ6,(KPI!KZ8-'Info Sheet'!$D$22)+1)</f>
        <v>0</v>
      </c>
      <c r="LA29" s="44">
        <f>SUMIFS($D$27:LA27,$D$6:LA6,(KPI!LA8-'Info Sheet'!$D$22)+1)</f>
        <v>0</v>
      </c>
      <c r="LB29" s="44">
        <f>SUMIFS($D$27:LB27,$D$6:LB6,(KPI!LB8-'Info Sheet'!$D$22)+1)</f>
        <v>0</v>
      </c>
      <c r="LC29" s="44">
        <f>SUMIFS($D$27:LC27,$D$6:LC6,(KPI!LC8-'Info Sheet'!$D$22)+1)</f>
        <v>0</v>
      </c>
      <c r="LD29" s="44">
        <f>SUMIFS($D$27:LD27,$D$6:LD6,(KPI!LD8-'Info Sheet'!$D$22)+1)</f>
        <v>0</v>
      </c>
      <c r="LE29" s="44">
        <f>SUMIFS($D$27:LE27,$D$6:LE6,(KPI!LE8-'Info Sheet'!$D$22)+1)</f>
        <v>0</v>
      </c>
      <c r="LF29" s="44">
        <f>SUMIFS($D$27:LF27,$D$6:LF6,(KPI!LF8-'Info Sheet'!$D$22)+1)</f>
        <v>0</v>
      </c>
      <c r="LG29" s="44">
        <f>SUMIFS($D$27:LG27,$D$6:LG6,(KPI!LG8-'Info Sheet'!$D$22)+1)</f>
        <v>0</v>
      </c>
      <c r="LH29" s="44">
        <f>SUMIFS($D$27:LH27,$D$6:LH6,(KPI!LH8-'Info Sheet'!$D$22)+1)</f>
        <v>0</v>
      </c>
      <c r="LI29" s="44">
        <f>SUMIFS($D$27:LI27,$D$6:LI6,(KPI!LI8-'Info Sheet'!$D$22)+1)</f>
        <v>0</v>
      </c>
      <c r="LJ29" s="44">
        <f>SUMIFS($D$27:LJ27,$D$6:LJ6,(KPI!LJ8-'Info Sheet'!$D$22)+1)</f>
        <v>0</v>
      </c>
      <c r="LK29" s="44">
        <f>SUMIFS($D$27:LK27,$D$6:LK6,(KPI!LK8-'Info Sheet'!$D$22)+1)</f>
        <v>0</v>
      </c>
      <c r="LL29" s="44">
        <f>SUMIFS($D$27:LL27,$D$6:LL6,(KPI!LL8-'Info Sheet'!$D$22)+1)</f>
        <v>0</v>
      </c>
      <c r="LM29" s="44">
        <f>SUMIFS($D$27:LM27,$D$6:LM6,(KPI!LM8-'Info Sheet'!$D$22)+1)</f>
        <v>0</v>
      </c>
      <c r="LN29" s="44">
        <f>SUMIFS($D$27:LN27,$D$6:LN6,(KPI!LN8-'Info Sheet'!$D$22)+1)</f>
        <v>0</v>
      </c>
      <c r="LO29" s="44">
        <f>SUMIFS($D$27:LO27,$D$6:LO6,(KPI!LO8-'Info Sheet'!$D$22)+1)</f>
        <v>0</v>
      </c>
      <c r="LP29" s="44">
        <f>SUMIFS($D$27:LP27,$D$6:LP6,(KPI!LP8-'Info Sheet'!$D$22)+1)</f>
        <v>0</v>
      </c>
      <c r="LQ29" s="44">
        <f>SUMIFS($D$27:LQ27,$D$6:LQ6,(KPI!LQ8-'Info Sheet'!$D$22)+1)</f>
        <v>0</v>
      </c>
      <c r="LR29" s="44">
        <f>SUMIFS($D$27:LR27,$D$6:LR6,(KPI!LR8-'Info Sheet'!$D$22)+1)</f>
        <v>0</v>
      </c>
      <c r="LS29" s="44">
        <f>SUMIFS($D$27:LS27,$D$6:LS6,(KPI!LS8-'Info Sheet'!$D$22)+1)</f>
        <v>0</v>
      </c>
      <c r="LT29" s="44">
        <f>SUMIFS($D$27:LT27,$D$6:LT6,(KPI!LT8-'Info Sheet'!$D$22)+1)</f>
        <v>0</v>
      </c>
      <c r="LU29" s="44">
        <f>SUMIFS($D$27:LU27,$D$6:LU6,(KPI!LU8-'Info Sheet'!$D$22)+1)</f>
        <v>0</v>
      </c>
      <c r="LV29" s="44">
        <f>SUMIFS($D$27:LV27,$D$6:LV6,(KPI!LV8-'Info Sheet'!$D$22)+1)</f>
        <v>0</v>
      </c>
      <c r="LW29" s="44">
        <f>SUMIFS($D$27:LW27,$D$6:LW6,(KPI!LW8-'Info Sheet'!$D$22)+1)</f>
        <v>0</v>
      </c>
      <c r="LX29" s="44">
        <f>SUMIFS($D$27:LX27,$D$6:LX6,(KPI!LX8-'Info Sheet'!$D$22)+1)</f>
        <v>0</v>
      </c>
      <c r="LY29" s="44">
        <f>SUMIFS($D$27:LY27,$D$6:LY6,(KPI!LY8-'Info Sheet'!$D$22)+1)</f>
        <v>0</v>
      </c>
      <c r="MA29" s="6"/>
    </row>
    <row r="30" spans="2:339">
      <c r="B30" s="150"/>
      <c r="C30" s="51" t="s">
        <v>52</v>
      </c>
      <c r="E30" s="1" t="str">
        <f>IFERROR(((E29/E12)*200000*E4),"-")</f>
        <v>-</v>
      </c>
      <c r="F30" s="1" t="str">
        <f t="shared" ref="F30:Q30" si="1066">IFERROR(((F29/F12)*200000*F4),"-")</f>
        <v>-</v>
      </c>
      <c r="G30" s="1" t="str">
        <f t="shared" si="1066"/>
        <v>-</v>
      </c>
      <c r="H30" s="1" t="str">
        <f t="shared" si="1066"/>
        <v>-</v>
      </c>
      <c r="I30" s="1" t="str">
        <f t="shared" si="1066"/>
        <v>-</v>
      </c>
      <c r="J30" s="1" t="str">
        <f t="shared" si="1066"/>
        <v>-</v>
      </c>
      <c r="K30" s="1" t="str">
        <f t="shared" si="1066"/>
        <v>-</v>
      </c>
      <c r="L30" s="1" t="str">
        <f t="shared" si="1066"/>
        <v>-</v>
      </c>
      <c r="M30" s="1" t="str">
        <f t="shared" si="1066"/>
        <v>-</v>
      </c>
      <c r="N30" s="1" t="str">
        <f t="shared" si="1066"/>
        <v>-</v>
      </c>
      <c r="O30" s="1" t="str">
        <f t="shared" si="1066"/>
        <v>-</v>
      </c>
      <c r="P30" s="1" t="str">
        <f t="shared" si="1066"/>
        <v>-</v>
      </c>
      <c r="Q30" s="1" t="str">
        <f t="shared" si="1066"/>
        <v>-</v>
      </c>
      <c r="R30" s="1" t="str">
        <f t="shared" ref="R30" si="1067">IFERROR(((R29/R12)*200000*R4),"-")</f>
        <v>-</v>
      </c>
      <c r="S30" s="1" t="str">
        <f t="shared" ref="S30" si="1068">IFERROR(((S29/S12)*200000*S4),"-")</f>
        <v>-</v>
      </c>
      <c r="T30" s="1" t="str">
        <f t="shared" ref="T30" si="1069">IFERROR(((T29/T12)*200000*T4),"-")</f>
        <v>-</v>
      </c>
      <c r="U30" s="1" t="str">
        <f t="shared" ref="U30" si="1070">IFERROR(((U29/U12)*200000*U4),"-")</f>
        <v>-</v>
      </c>
      <c r="V30" s="1" t="str">
        <f t="shared" ref="V30" si="1071">IFERROR(((V29/V12)*200000*V4),"-")</f>
        <v>-</v>
      </c>
      <c r="W30" s="1" t="str">
        <f t="shared" ref="W30" si="1072">IFERROR(((W29/W12)*200000*W4),"-")</f>
        <v>-</v>
      </c>
      <c r="X30" s="1" t="str">
        <f t="shared" ref="X30" si="1073">IFERROR(((X29/X12)*200000*X4),"-")</f>
        <v>-</v>
      </c>
      <c r="Y30" s="1" t="str">
        <f t="shared" ref="Y30" si="1074">IFERROR(((Y29/Y12)*200000*Y4),"-")</f>
        <v>-</v>
      </c>
      <c r="Z30" s="1" t="str">
        <f t="shared" ref="Z30" si="1075">IFERROR(((Z29/Z12)*200000*Z4),"-")</f>
        <v>-</v>
      </c>
      <c r="AA30" s="1" t="str">
        <f t="shared" ref="AA30" si="1076">IFERROR(((AA29/AA12)*200000*AA4),"-")</f>
        <v>-</v>
      </c>
      <c r="AB30" s="1" t="str">
        <f t="shared" ref="AB30" si="1077">IFERROR(((AB29/AB12)*200000*AB4),"-")</f>
        <v>-</v>
      </c>
      <c r="AC30" s="1" t="str">
        <f t="shared" ref="AC30" si="1078">IFERROR(((AC29/AC12)*200000*AC4),"-")</f>
        <v>-</v>
      </c>
      <c r="AD30" s="1" t="str">
        <f t="shared" ref="AD30" si="1079">IFERROR(((AD29/AD12)*200000*AD4),"-")</f>
        <v>-</v>
      </c>
      <c r="AE30" s="1" t="str">
        <f t="shared" ref="AE30" si="1080">IFERROR(((AE29/AE12)*200000*AE4),"-")</f>
        <v>-</v>
      </c>
      <c r="AF30" s="1" t="str">
        <f t="shared" ref="AF30" si="1081">IFERROR(((AF29/AF12)*200000*AF4),"-")</f>
        <v>-</v>
      </c>
      <c r="AG30" s="1" t="str">
        <f t="shared" ref="AG30" si="1082">IFERROR(((AG29/AG12)*200000*AG4),"-")</f>
        <v>-</v>
      </c>
      <c r="AH30" s="1" t="str">
        <f t="shared" ref="AH30" si="1083">IFERROR(((AH29/AH12)*200000*AH4),"-")</f>
        <v>-</v>
      </c>
      <c r="AI30" s="1" t="str">
        <f t="shared" ref="AI30" si="1084">IFERROR(((AI29/AI12)*200000*AI4),"-")</f>
        <v>-</v>
      </c>
      <c r="AJ30" s="1" t="str">
        <f t="shared" ref="AJ30" si="1085">IFERROR(((AJ29/AJ12)*200000*AJ4),"-")</f>
        <v>-</v>
      </c>
      <c r="AK30" s="1" t="str">
        <f t="shared" ref="AK30" si="1086">IFERROR(((AK29/AK12)*200000*AK4),"-")</f>
        <v>-</v>
      </c>
      <c r="AL30" s="1" t="str">
        <f t="shared" ref="AL30" si="1087">IFERROR(((AL29/AL12)*200000*AL4),"-")</f>
        <v>-</v>
      </c>
      <c r="AM30" s="1" t="str">
        <f t="shared" ref="AM30" si="1088">IFERROR(((AM29/AM12)*200000*AM4),"-")</f>
        <v>-</v>
      </c>
      <c r="AN30" s="1" t="str">
        <f t="shared" ref="AN30" si="1089">IFERROR(((AN29/AN12)*200000*AN4),"-")</f>
        <v>-</v>
      </c>
      <c r="AO30" s="1" t="str">
        <f t="shared" ref="AO30" si="1090">IFERROR(((AO29/AO12)*200000*AO4),"-")</f>
        <v>-</v>
      </c>
      <c r="AP30" s="1" t="str">
        <f t="shared" ref="AP30" si="1091">IFERROR(((AP29/AP12)*200000*AP4),"-")</f>
        <v>-</v>
      </c>
      <c r="AQ30" s="1" t="str">
        <f t="shared" ref="AQ30" si="1092">IFERROR(((AQ29/AQ12)*200000*AQ4),"-")</f>
        <v>-</v>
      </c>
      <c r="AR30" s="1" t="str">
        <f t="shared" ref="AR30" si="1093">IFERROR(((AR29/AR12)*200000*AR4),"-")</f>
        <v>-</v>
      </c>
      <c r="AS30" s="1" t="str">
        <f t="shared" ref="AS30" si="1094">IFERROR(((AS29/AS12)*200000*AS4),"-")</f>
        <v>-</v>
      </c>
      <c r="AT30" s="1" t="str">
        <f t="shared" ref="AT30" si="1095">IFERROR(((AT29/AT12)*200000*AT4),"-")</f>
        <v>-</v>
      </c>
      <c r="AU30" s="1" t="str">
        <f t="shared" ref="AU30" si="1096">IFERROR(((AU29/AU12)*200000*AU4),"-")</f>
        <v>-</v>
      </c>
      <c r="AV30" s="1" t="str">
        <f t="shared" ref="AV30" si="1097">IFERROR(((AV29/AV12)*200000*AV4),"-")</f>
        <v>-</v>
      </c>
      <c r="AW30" s="1" t="str">
        <f t="shared" ref="AW30" si="1098">IFERROR(((AW29/AW12)*200000*AW4),"-")</f>
        <v>-</v>
      </c>
      <c r="AX30" s="1" t="str">
        <f t="shared" ref="AX30" si="1099">IFERROR(((AX29/AX12)*200000*AX4),"-")</f>
        <v>-</v>
      </c>
      <c r="AY30" s="1" t="str">
        <f t="shared" ref="AY30" si="1100">IFERROR(((AY29/AY12)*200000*AY4),"-")</f>
        <v>-</v>
      </c>
      <c r="AZ30" s="1" t="str">
        <f t="shared" ref="AZ30" si="1101">IFERROR(((AZ29/AZ12)*200000*AZ4),"-")</f>
        <v>-</v>
      </c>
      <c r="BA30" s="1" t="str">
        <f t="shared" ref="BA30" si="1102">IFERROR(((BA29/BA12)*200000*BA4),"-")</f>
        <v>-</v>
      </c>
      <c r="BB30" s="1" t="str">
        <f t="shared" ref="BB30" si="1103">IFERROR(((BB29/BB12)*200000*BB4),"-")</f>
        <v>-</v>
      </c>
      <c r="BC30" s="1" t="str">
        <f t="shared" ref="BC30" si="1104">IFERROR(((BC29/BC12)*200000*BC4),"-")</f>
        <v>-</v>
      </c>
      <c r="BD30" s="1" t="str">
        <f t="shared" ref="BD30" si="1105">IFERROR(((BD29/BD12)*200000*BD4),"-")</f>
        <v>-</v>
      </c>
      <c r="BE30" s="1" t="str">
        <f t="shared" ref="BE30" si="1106">IFERROR(((BE29/BE12)*200000*BE4),"-")</f>
        <v>-</v>
      </c>
      <c r="BF30" s="1" t="str">
        <f t="shared" ref="BF30" si="1107">IFERROR(((BF29/BF12)*200000*BF4),"-")</f>
        <v>-</v>
      </c>
      <c r="BG30" s="1" t="str">
        <f t="shared" ref="BG30" si="1108">IFERROR(((BG29/BG12)*200000*BG4),"-")</f>
        <v>-</v>
      </c>
      <c r="BH30" s="1" t="str">
        <f t="shared" ref="BH30" si="1109">IFERROR(((BH29/BH12)*200000*BH4),"-")</f>
        <v>-</v>
      </c>
      <c r="BI30" s="1" t="str">
        <f t="shared" ref="BI30" si="1110">IFERROR(((BI29/BI12)*200000*BI4),"-")</f>
        <v>-</v>
      </c>
      <c r="BJ30" s="1" t="str">
        <f t="shared" ref="BJ30" si="1111">IFERROR(((BJ29/BJ12)*200000*BJ4),"-")</f>
        <v>-</v>
      </c>
      <c r="BK30" s="1" t="str">
        <f t="shared" ref="BK30" si="1112">IFERROR(((BK29/BK12)*200000*BK4),"-")</f>
        <v>-</v>
      </c>
      <c r="BL30" s="1" t="str">
        <f t="shared" ref="BL30" si="1113">IFERROR(((BL29/BL12)*200000*BL4),"-")</f>
        <v>-</v>
      </c>
      <c r="BM30" s="1" t="str">
        <f t="shared" ref="BM30" si="1114">IFERROR(((BM29/BM12)*200000*BM4),"-")</f>
        <v>-</v>
      </c>
      <c r="BN30" s="1" t="str">
        <f t="shared" ref="BN30" si="1115">IFERROR(((BN29/BN12)*200000*BN4),"-")</f>
        <v>-</v>
      </c>
      <c r="BO30" s="1" t="str">
        <f t="shared" ref="BO30" si="1116">IFERROR(((BO29/BO12)*200000*BO4),"-")</f>
        <v>-</v>
      </c>
      <c r="BP30" s="1" t="str">
        <f t="shared" ref="BP30" si="1117">IFERROR(((BP29/BP12)*200000*BP4),"-")</f>
        <v>-</v>
      </c>
      <c r="BQ30" s="1" t="str">
        <f t="shared" ref="BQ30" si="1118">IFERROR(((BQ29/BQ12)*200000*BQ4),"-")</f>
        <v>-</v>
      </c>
      <c r="BR30" s="1" t="str">
        <f t="shared" ref="BR30" si="1119">IFERROR(((BR29/BR12)*200000*BR4),"-")</f>
        <v>-</v>
      </c>
      <c r="BS30" s="1" t="str">
        <f t="shared" ref="BS30" si="1120">IFERROR(((BS29/BS12)*200000*BS4),"-")</f>
        <v>-</v>
      </c>
      <c r="BT30" s="1" t="str">
        <f t="shared" ref="BT30" si="1121">IFERROR(((BT29/BT12)*200000*BT4),"-")</f>
        <v>-</v>
      </c>
      <c r="BU30" s="1" t="str">
        <f t="shared" ref="BU30" si="1122">IFERROR(((BU29/BU12)*200000*BU4),"-")</f>
        <v>-</v>
      </c>
      <c r="BV30" s="1" t="str">
        <f t="shared" ref="BV30" si="1123">IFERROR(((BV29/BV12)*200000*BV4),"-")</f>
        <v>-</v>
      </c>
      <c r="BW30" s="1" t="str">
        <f t="shared" ref="BW30" si="1124">IFERROR(((BW29/BW12)*200000*BW4),"-")</f>
        <v>-</v>
      </c>
      <c r="BX30" s="1" t="str">
        <f t="shared" ref="BX30" si="1125">IFERROR(((BX29/BX12)*200000*BX4),"-")</f>
        <v>-</v>
      </c>
      <c r="BY30" s="1" t="str">
        <f t="shared" ref="BY30" si="1126">IFERROR(((BY29/BY12)*200000*BY4),"-")</f>
        <v>-</v>
      </c>
      <c r="BZ30" s="1" t="str">
        <f t="shared" ref="BZ30" si="1127">IFERROR(((BZ29/BZ12)*200000*BZ4),"-")</f>
        <v>-</v>
      </c>
      <c r="CA30" s="1" t="str">
        <f t="shared" ref="CA30" si="1128">IFERROR(((CA29/CA12)*200000*CA4),"-")</f>
        <v>-</v>
      </c>
      <c r="CB30" s="1" t="str">
        <f t="shared" ref="CB30" si="1129">IFERROR(((CB29/CB12)*200000*CB4),"-")</f>
        <v>-</v>
      </c>
      <c r="CC30" s="1" t="str">
        <f t="shared" ref="CC30" si="1130">IFERROR(((CC29/CC12)*200000*CC4),"-")</f>
        <v>-</v>
      </c>
      <c r="CD30" s="1" t="str">
        <f t="shared" ref="CD30" si="1131">IFERROR(((CD29/CD12)*200000*CD4),"-")</f>
        <v>-</v>
      </c>
      <c r="CE30" s="1" t="str">
        <f t="shared" ref="CE30" si="1132">IFERROR(((CE29/CE12)*200000*CE4),"-")</f>
        <v>-</v>
      </c>
      <c r="CF30" s="1" t="str">
        <f t="shared" ref="CF30" si="1133">IFERROR(((CF29/CF12)*200000*CF4),"-")</f>
        <v>-</v>
      </c>
      <c r="CG30" s="1" t="str">
        <f t="shared" ref="CG30" si="1134">IFERROR(((CG29/CG12)*200000*CG4),"-")</f>
        <v>-</v>
      </c>
      <c r="CH30" s="1" t="str">
        <f t="shared" ref="CH30" si="1135">IFERROR(((CH29/CH12)*200000*CH4),"-")</f>
        <v>-</v>
      </c>
      <c r="CI30" s="1" t="str">
        <f t="shared" ref="CI30" si="1136">IFERROR(((CI29/CI12)*200000*CI4),"-")</f>
        <v>-</v>
      </c>
      <c r="CJ30" s="1" t="str">
        <f t="shared" ref="CJ30" si="1137">IFERROR(((CJ29/CJ12)*200000*CJ4),"-")</f>
        <v>-</v>
      </c>
      <c r="CK30" s="1" t="str">
        <f t="shared" ref="CK30" si="1138">IFERROR(((CK29/CK12)*200000*CK4),"-")</f>
        <v>-</v>
      </c>
      <c r="CL30" s="1" t="str">
        <f t="shared" ref="CL30" si="1139">IFERROR(((CL29/CL12)*200000*CL4),"-")</f>
        <v>-</v>
      </c>
      <c r="CM30" s="1" t="str">
        <f t="shared" ref="CM30" si="1140">IFERROR(((CM29/CM12)*200000*CM4),"-")</f>
        <v>-</v>
      </c>
      <c r="CN30" s="1" t="str">
        <f t="shared" ref="CN30" si="1141">IFERROR(((CN29/CN12)*200000*CN4),"-")</f>
        <v>-</v>
      </c>
      <c r="CO30" s="1" t="str">
        <f t="shared" ref="CO30" si="1142">IFERROR(((CO29/CO12)*200000*CO4),"-")</f>
        <v>-</v>
      </c>
      <c r="CP30" s="1" t="str">
        <f t="shared" ref="CP30" si="1143">IFERROR(((CP29/CP12)*200000*CP4),"-")</f>
        <v>-</v>
      </c>
      <c r="CQ30" s="1" t="str">
        <f t="shared" ref="CQ30" si="1144">IFERROR(((CQ29/CQ12)*200000*CQ4),"-")</f>
        <v>-</v>
      </c>
      <c r="CR30" s="1" t="str">
        <f t="shared" ref="CR30" si="1145">IFERROR(((CR29/CR12)*200000*CR4),"-")</f>
        <v>-</v>
      </c>
      <c r="CS30" s="1" t="str">
        <f t="shared" ref="CS30" si="1146">IFERROR(((CS29/CS12)*200000*CS4),"-")</f>
        <v>-</v>
      </c>
      <c r="CT30" s="1" t="str">
        <f t="shared" ref="CT30" si="1147">IFERROR(((CT29/CT12)*200000*CT4),"-")</f>
        <v>-</v>
      </c>
      <c r="CU30" s="1" t="str">
        <f t="shared" ref="CU30" si="1148">IFERROR(((CU29/CU12)*200000*CU4),"-")</f>
        <v>-</v>
      </c>
      <c r="CV30" s="1" t="str">
        <f t="shared" ref="CV30" si="1149">IFERROR(((CV29/CV12)*200000*CV4),"-")</f>
        <v>-</v>
      </c>
      <c r="CW30" s="1" t="str">
        <f t="shared" ref="CW30" si="1150">IFERROR(((CW29/CW12)*200000*CW4),"-")</f>
        <v>-</v>
      </c>
      <c r="CX30" s="1" t="str">
        <f t="shared" ref="CX30" si="1151">IFERROR(((CX29/CX12)*200000*CX4),"-")</f>
        <v>-</v>
      </c>
      <c r="CY30" s="1" t="str">
        <f t="shared" ref="CY30" si="1152">IFERROR(((CY29/CY12)*200000*CY4),"-")</f>
        <v>-</v>
      </c>
      <c r="CZ30" s="1" t="str">
        <f t="shared" ref="CZ30" si="1153">IFERROR(((CZ29/CZ12)*200000*CZ4),"-")</f>
        <v>-</v>
      </c>
      <c r="DA30" s="1" t="str">
        <f t="shared" ref="DA30" si="1154">IFERROR(((DA29/DA12)*200000*DA4),"-")</f>
        <v>-</v>
      </c>
      <c r="DB30" s="1" t="str">
        <f t="shared" ref="DB30" si="1155">IFERROR(((DB29/DB12)*200000*DB4),"-")</f>
        <v>-</v>
      </c>
      <c r="DC30" s="1" t="str">
        <f t="shared" ref="DC30" si="1156">IFERROR(((DC29/DC12)*200000*DC4),"-")</f>
        <v>-</v>
      </c>
      <c r="DD30" s="1" t="str">
        <f t="shared" ref="DD30" si="1157">IFERROR(((DD29/DD12)*200000*DD4),"-")</f>
        <v>-</v>
      </c>
      <c r="DE30" s="1" t="str">
        <f t="shared" ref="DE30" si="1158">IFERROR(((DE29/DE12)*200000*DE4),"-")</f>
        <v>-</v>
      </c>
      <c r="DF30" s="1" t="str">
        <f t="shared" ref="DF30" si="1159">IFERROR(((DF29/DF12)*200000*DF4),"-")</f>
        <v>-</v>
      </c>
      <c r="DG30" s="1" t="str">
        <f t="shared" ref="DG30" si="1160">IFERROR(((DG29/DG12)*200000*DG4),"-")</f>
        <v>-</v>
      </c>
      <c r="DH30" s="1" t="str">
        <f t="shared" ref="DH30" si="1161">IFERROR(((DH29/DH12)*200000*DH4),"-")</f>
        <v>-</v>
      </c>
      <c r="DI30" s="1" t="str">
        <f t="shared" ref="DI30" si="1162">IFERROR(((DI29/DI12)*200000*DI4),"-")</f>
        <v>-</v>
      </c>
      <c r="DJ30" s="1" t="str">
        <f t="shared" ref="DJ30" si="1163">IFERROR(((DJ29/DJ12)*200000*DJ4),"-")</f>
        <v>-</v>
      </c>
      <c r="DK30" s="1" t="str">
        <f t="shared" ref="DK30" si="1164">IFERROR(((DK29/DK12)*200000*DK4),"-")</f>
        <v>-</v>
      </c>
      <c r="DL30" s="1" t="str">
        <f t="shared" ref="DL30" si="1165">IFERROR(((DL29/DL12)*200000*DL4),"-")</f>
        <v>-</v>
      </c>
      <c r="DM30" s="1" t="str">
        <f t="shared" ref="DM30" si="1166">IFERROR(((DM29/DM12)*200000*DM4),"-")</f>
        <v>-</v>
      </c>
      <c r="DN30" s="1" t="str">
        <f t="shared" ref="DN30" si="1167">IFERROR(((DN29/DN12)*200000*DN4),"-")</f>
        <v>-</v>
      </c>
      <c r="DO30" s="1" t="str">
        <f t="shared" ref="DO30" si="1168">IFERROR(((DO29/DO12)*200000*DO4),"-")</f>
        <v>-</v>
      </c>
      <c r="DP30" s="1" t="str">
        <f t="shared" ref="DP30" si="1169">IFERROR(((DP29/DP12)*200000*DP4),"-")</f>
        <v>-</v>
      </c>
      <c r="DQ30" s="1" t="str">
        <f t="shared" ref="DQ30" si="1170">IFERROR(((DQ29/DQ12)*200000*DQ4),"-")</f>
        <v>-</v>
      </c>
      <c r="DR30" s="1" t="str">
        <f t="shared" ref="DR30" si="1171">IFERROR(((DR29/DR12)*200000*DR4),"-")</f>
        <v>-</v>
      </c>
      <c r="DS30" s="1" t="str">
        <f t="shared" ref="DS30" si="1172">IFERROR(((DS29/DS12)*200000*DS4),"-")</f>
        <v>-</v>
      </c>
      <c r="DT30" s="1" t="str">
        <f t="shared" ref="DT30" si="1173">IFERROR(((DT29/DT12)*200000*DT4),"-")</f>
        <v>-</v>
      </c>
      <c r="DU30" s="1" t="str">
        <f t="shared" ref="DU30" si="1174">IFERROR(((DU29/DU12)*200000*DU4),"-")</f>
        <v>-</v>
      </c>
      <c r="DV30" s="1" t="str">
        <f t="shared" ref="DV30" si="1175">IFERROR(((DV29/DV12)*200000*DV4),"-")</f>
        <v>-</v>
      </c>
      <c r="DW30" s="1" t="str">
        <f t="shared" ref="DW30" si="1176">IFERROR(((DW29/DW12)*200000*DW4),"-")</f>
        <v>-</v>
      </c>
      <c r="DX30" s="1" t="str">
        <f t="shared" ref="DX30" si="1177">IFERROR(((DX29/DX12)*200000*DX4),"-")</f>
        <v>-</v>
      </c>
      <c r="DY30" s="1" t="str">
        <f t="shared" ref="DY30" si="1178">IFERROR(((DY29/DY12)*200000*DY4),"-")</f>
        <v>-</v>
      </c>
      <c r="DZ30" s="1" t="str">
        <f t="shared" ref="DZ30" si="1179">IFERROR(((DZ29/DZ12)*200000*DZ4),"-")</f>
        <v>-</v>
      </c>
      <c r="EA30" s="1" t="str">
        <f t="shared" ref="EA30" si="1180">IFERROR(((EA29/EA12)*200000*EA4),"-")</f>
        <v>-</v>
      </c>
      <c r="EB30" s="1" t="str">
        <f t="shared" ref="EB30" si="1181">IFERROR(((EB29/EB12)*200000*EB4),"-")</f>
        <v>-</v>
      </c>
      <c r="EC30" s="1" t="str">
        <f t="shared" ref="EC30" si="1182">IFERROR(((EC29/EC12)*200000*EC4),"-")</f>
        <v>-</v>
      </c>
      <c r="ED30" s="1" t="str">
        <f t="shared" ref="ED30" si="1183">IFERROR(((ED29/ED12)*200000*ED4),"-")</f>
        <v>-</v>
      </c>
      <c r="EE30" s="1" t="str">
        <f t="shared" ref="EE30" si="1184">IFERROR(((EE29/EE12)*200000*EE4),"-")</f>
        <v>-</v>
      </c>
      <c r="EF30" s="1" t="str">
        <f t="shared" ref="EF30" si="1185">IFERROR(((EF29/EF12)*200000*EF4),"-")</f>
        <v>-</v>
      </c>
      <c r="EG30" s="1" t="str">
        <f t="shared" ref="EG30" si="1186">IFERROR(((EG29/EG12)*200000*EG4),"-")</f>
        <v>-</v>
      </c>
      <c r="EH30" s="1" t="str">
        <f t="shared" ref="EH30" si="1187">IFERROR(((EH29/EH12)*200000*EH4),"-")</f>
        <v>-</v>
      </c>
      <c r="EI30" s="1" t="str">
        <f t="shared" ref="EI30" si="1188">IFERROR(((EI29/EI12)*200000*EI4),"-")</f>
        <v>-</v>
      </c>
      <c r="EJ30" s="1" t="str">
        <f t="shared" ref="EJ30" si="1189">IFERROR(((EJ29/EJ12)*200000*EJ4),"-")</f>
        <v>-</v>
      </c>
      <c r="EK30" s="1" t="str">
        <f t="shared" ref="EK30" si="1190">IFERROR(((EK29/EK12)*200000*EK4),"-")</f>
        <v>-</v>
      </c>
      <c r="EL30" s="1" t="str">
        <f t="shared" ref="EL30" si="1191">IFERROR(((EL29/EL12)*200000*EL4),"-")</f>
        <v>-</v>
      </c>
      <c r="EM30" s="1" t="str">
        <f t="shared" ref="EM30" si="1192">IFERROR(((EM29/EM12)*200000*EM4),"-")</f>
        <v>-</v>
      </c>
      <c r="EN30" s="1" t="str">
        <f t="shared" ref="EN30" si="1193">IFERROR(((EN29/EN12)*200000*EN4),"-")</f>
        <v>-</v>
      </c>
      <c r="EO30" s="1" t="str">
        <f t="shared" ref="EO30" si="1194">IFERROR(((EO29/EO12)*200000*EO4),"-")</f>
        <v>-</v>
      </c>
      <c r="EP30" s="1" t="str">
        <f t="shared" ref="EP30" si="1195">IFERROR(((EP29/EP12)*200000*EP4),"-")</f>
        <v>-</v>
      </c>
      <c r="EQ30" s="1" t="str">
        <f t="shared" ref="EQ30" si="1196">IFERROR(((EQ29/EQ12)*200000*EQ4),"-")</f>
        <v>-</v>
      </c>
      <c r="ER30" s="1" t="str">
        <f t="shared" ref="ER30" si="1197">IFERROR(((ER29/ER12)*200000*ER4),"-")</f>
        <v>-</v>
      </c>
      <c r="ES30" s="1" t="str">
        <f t="shared" ref="ES30" si="1198">IFERROR(((ES29/ES12)*200000*ES4),"-")</f>
        <v>-</v>
      </c>
      <c r="ET30" s="1" t="str">
        <f t="shared" ref="ET30" si="1199">IFERROR(((ET29/ET12)*200000*ET4),"-")</f>
        <v>-</v>
      </c>
      <c r="EU30" s="1" t="str">
        <f t="shared" ref="EU30" si="1200">IFERROR(((EU29/EU12)*200000*EU4),"-")</f>
        <v>-</v>
      </c>
      <c r="EV30" s="1" t="str">
        <f t="shared" ref="EV30:HG30" si="1201">IFERROR(((EV29/EV12)*200000*EV4),"-")</f>
        <v>-</v>
      </c>
      <c r="EW30" s="1" t="str">
        <f t="shared" si="1201"/>
        <v>-</v>
      </c>
      <c r="EX30" s="1" t="str">
        <f t="shared" si="1201"/>
        <v>-</v>
      </c>
      <c r="EY30" s="1" t="str">
        <f t="shared" si="1201"/>
        <v>-</v>
      </c>
      <c r="EZ30" s="1" t="str">
        <f t="shared" si="1201"/>
        <v>-</v>
      </c>
      <c r="FA30" s="1" t="str">
        <f t="shared" si="1201"/>
        <v>-</v>
      </c>
      <c r="FB30" s="1" t="str">
        <f t="shared" si="1201"/>
        <v>-</v>
      </c>
      <c r="FC30" s="1" t="str">
        <f t="shared" si="1201"/>
        <v>-</v>
      </c>
      <c r="FD30" s="1" t="str">
        <f t="shared" si="1201"/>
        <v>-</v>
      </c>
      <c r="FE30" s="1" t="str">
        <f t="shared" si="1201"/>
        <v>-</v>
      </c>
      <c r="FF30" s="1" t="str">
        <f t="shared" si="1201"/>
        <v>-</v>
      </c>
      <c r="FG30" s="1" t="str">
        <f t="shared" si="1201"/>
        <v>-</v>
      </c>
      <c r="FH30" s="1" t="str">
        <f t="shared" si="1201"/>
        <v>-</v>
      </c>
      <c r="FI30" s="1" t="str">
        <f t="shared" si="1201"/>
        <v>-</v>
      </c>
      <c r="FJ30" s="1" t="str">
        <f t="shared" si="1201"/>
        <v>-</v>
      </c>
      <c r="FK30" s="1" t="str">
        <f t="shared" si="1201"/>
        <v>-</v>
      </c>
      <c r="FL30" s="1" t="str">
        <f t="shared" si="1201"/>
        <v>-</v>
      </c>
      <c r="FM30" s="1" t="str">
        <f t="shared" si="1201"/>
        <v>-</v>
      </c>
      <c r="FN30" s="1" t="str">
        <f t="shared" si="1201"/>
        <v>-</v>
      </c>
      <c r="FO30" s="1" t="str">
        <f t="shared" si="1201"/>
        <v>-</v>
      </c>
      <c r="FP30" s="1" t="str">
        <f t="shared" si="1201"/>
        <v>-</v>
      </c>
      <c r="FQ30" s="1" t="str">
        <f t="shared" si="1201"/>
        <v>-</v>
      </c>
      <c r="FR30" s="1" t="str">
        <f t="shared" si="1201"/>
        <v>-</v>
      </c>
      <c r="FS30" s="1" t="str">
        <f t="shared" si="1201"/>
        <v>-</v>
      </c>
      <c r="FT30" s="1" t="str">
        <f t="shared" si="1201"/>
        <v>-</v>
      </c>
      <c r="FU30" s="1" t="str">
        <f t="shared" si="1201"/>
        <v>-</v>
      </c>
      <c r="FV30" s="1" t="str">
        <f t="shared" si="1201"/>
        <v>-</v>
      </c>
      <c r="FW30" s="1" t="str">
        <f t="shared" si="1201"/>
        <v>-</v>
      </c>
      <c r="FX30" s="1" t="str">
        <f t="shared" si="1201"/>
        <v>-</v>
      </c>
      <c r="FY30" s="1" t="str">
        <f t="shared" si="1201"/>
        <v>-</v>
      </c>
      <c r="FZ30" s="1" t="str">
        <f t="shared" si="1201"/>
        <v>-</v>
      </c>
      <c r="GA30" s="1" t="str">
        <f t="shared" si="1201"/>
        <v>-</v>
      </c>
      <c r="GB30" s="1" t="str">
        <f t="shared" si="1201"/>
        <v>-</v>
      </c>
      <c r="GC30" s="1" t="str">
        <f t="shared" si="1201"/>
        <v>-</v>
      </c>
      <c r="GD30" s="1" t="str">
        <f t="shared" si="1201"/>
        <v>-</v>
      </c>
      <c r="GE30" s="1" t="str">
        <f t="shared" si="1201"/>
        <v>-</v>
      </c>
      <c r="GF30" s="1" t="str">
        <f t="shared" si="1201"/>
        <v>-</v>
      </c>
      <c r="GG30" s="1" t="str">
        <f t="shared" si="1201"/>
        <v>-</v>
      </c>
      <c r="GH30" s="1" t="str">
        <f t="shared" si="1201"/>
        <v>-</v>
      </c>
      <c r="GI30" s="1" t="str">
        <f t="shared" si="1201"/>
        <v>-</v>
      </c>
      <c r="GJ30" s="1" t="str">
        <f t="shared" si="1201"/>
        <v>-</v>
      </c>
      <c r="GK30" s="1" t="str">
        <f t="shared" si="1201"/>
        <v>-</v>
      </c>
      <c r="GL30" s="1" t="str">
        <f t="shared" si="1201"/>
        <v>-</v>
      </c>
      <c r="GM30" s="1" t="str">
        <f t="shared" si="1201"/>
        <v>-</v>
      </c>
      <c r="GN30" s="1" t="str">
        <f t="shared" si="1201"/>
        <v>-</v>
      </c>
      <c r="GO30" s="1" t="str">
        <f t="shared" si="1201"/>
        <v>-</v>
      </c>
      <c r="GP30" s="1" t="str">
        <f t="shared" si="1201"/>
        <v>-</v>
      </c>
      <c r="GQ30" s="1" t="str">
        <f t="shared" si="1201"/>
        <v>-</v>
      </c>
      <c r="GR30" s="1" t="str">
        <f t="shared" si="1201"/>
        <v>-</v>
      </c>
      <c r="GS30" s="1" t="str">
        <f t="shared" si="1201"/>
        <v>-</v>
      </c>
      <c r="GT30" s="1" t="str">
        <f t="shared" si="1201"/>
        <v>-</v>
      </c>
      <c r="GU30" s="1" t="str">
        <f t="shared" si="1201"/>
        <v>-</v>
      </c>
      <c r="GV30" s="1" t="str">
        <f t="shared" si="1201"/>
        <v>-</v>
      </c>
      <c r="GW30" s="1" t="str">
        <f t="shared" si="1201"/>
        <v>-</v>
      </c>
      <c r="GX30" s="1" t="str">
        <f t="shared" si="1201"/>
        <v>-</v>
      </c>
      <c r="GY30" s="1" t="str">
        <f t="shared" si="1201"/>
        <v>-</v>
      </c>
      <c r="GZ30" s="1" t="str">
        <f t="shared" si="1201"/>
        <v>-</v>
      </c>
      <c r="HA30" s="1" t="str">
        <f t="shared" si="1201"/>
        <v>-</v>
      </c>
      <c r="HB30" s="1" t="str">
        <f t="shared" si="1201"/>
        <v>-</v>
      </c>
      <c r="HC30" s="1" t="str">
        <f t="shared" si="1201"/>
        <v>-</v>
      </c>
      <c r="HD30" s="1" t="str">
        <f t="shared" si="1201"/>
        <v>-</v>
      </c>
      <c r="HE30" s="1" t="str">
        <f t="shared" si="1201"/>
        <v>-</v>
      </c>
      <c r="HF30" s="1" t="str">
        <f t="shared" si="1201"/>
        <v>-</v>
      </c>
      <c r="HG30" s="1" t="str">
        <f t="shared" si="1201"/>
        <v>-</v>
      </c>
      <c r="HH30" s="1" t="str">
        <f t="shared" ref="HH30:JS30" si="1202">IFERROR(((HH29/HH12)*200000*HH4),"-")</f>
        <v>-</v>
      </c>
      <c r="HI30" s="1" t="str">
        <f t="shared" si="1202"/>
        <v>-</v>
      </c>
      <c r="HJ30" s="1" t="str">
        <f t="shared" si="1202"/>
        <v>-</v>
      </c>
      <c r="HK30" s="1" t="str">
        <f t="shared" si="1202"/>
        <v>-</v>
      </c>
      <c r="HL30" s="1" t="str">
        <f t="shared" si="1202"/>
        <v>-</v>
      </c>
      <c r="HM30" s="1" t="str">
        <f t="shared" si="1202"/>
        <v>-</v>
      </c>
      <c r="HN30" s="1" t="str">
        <f t="shared" si="1202"/>
        <v>-</v>
      </c>
      <c r="HO30" s="1" t="str">
        <f t="shared" si="1202"/>
        <v>-</v>
      </c>
      <c r="HP30" s="1" t="str">
        <f t="shared" si="1202"/>
        <v>-</v>
      </c>
      <c r="HQ30" s="1" t="str">
        <f t="shared" si="1202"/>
        <v>-</v>
      </c>
      <c r="HR30" s="1" t="str">
        <f t="shared" si="1202"/>
        <v>-</v>
      </c>
      <c r="HS30" s="1" t="str">
        <f t="shared" si="1202"/>
        <v>-</v>
      </c>
      <c r="HT30" s="1" t="str">
        <f t="shared" si="1202"/>
        <v>-</v>
      </c>
      <c r="HU30" s="1" t="str">
        <f t="shared" si="1202"/>
        <v>-</v>
      </c>
      <c r="HV30" s="1" t="str">
        <f t="shared" si="1202"/>
        <v>-</v>
      </c>
      <c r="HW30" s="1" t="str">
        <f t="shared" si="1202"/>
        <v>-</v>
      </c>
      <c r="HX30" s="1" t="str">
        <f t="shared" si="1202"/>
        <v>-</v>
      </c>
      <c r="HY30" s="1" t="str">
        <f t="shared" si="1202"/>
        <v>-</v>
      </c>
      <c r="HZ30" s="1" t="str">
        <f t="shared" si="1202"/>
        <v>-</v>
      </c>
      <c r="IA30" s="1" t="str">
        <f t="shared" si="1202"/>
        <v>-</v>
      </c>
      <c r="IB30" s="1" t="str">
        <f t="shared" si="1202"/>
        <v>-</v>
      </c>
      <c r="IC30" s="1" t="str">
        <f t="shared" si="1202"/>
        <v>-</v>
      </c>
      <c r="ID30" s="1" t="str">
        <f t="shared" si="1202"/>
        <v>-</v>
      </c>
      <c r="IE30" s="1" t="str">
        <f t="shared" si="1202"/>
        <v>-</v>
      </c>
      <c r="IF30" s="1" t="str">
        <f t="shared" si="1202"/>
        <v>-</v>
      </c>
      <c r="IG30" s="1" t="str">
        <f t="shared" si="1202"/>
        <v>-</v>
      </c>
      <c r="IH30" s="1" t="str">
        <f t="shared" si="1202"/>
        <v>-</v>
      </c>
      <c r="II30" s="1" t="str">
        <f t="shared" si="1202"/>
        <v>-</v>
      </c>
      <c r="IJ30" s="1" t="str">
        <f t="shared" si="1202"/>
        <v>-</v>
      </c>
      <c r="IK30" s="1" t="str">
        <f t="shared" si="1202"/>
        <v>-</v>
      </c>
      <c r="IL30" s="1" t="str">
        <f t="shared" si="1202"/>
        <v>-</v>
      </c>
      <c r="IM30" s="1" t="str">
        <f t="shared" si="1202"/>
        <v>-</v>
      </c>
      <c r="IN30" s="1" t="str">
        <f t="shared" si="1202"/>
        <v>-</v>
      </c>
      <c r="IO30" s="1" t="str">
        <f t="shared" si="1202"/>
        <v>-</v>
      </c>
      <c r="IP30" s="1" t="str">
        <f t="shared" si="1202"/>
        <v>-</v>
      </c>
      <c r="IQ30" s="1" t="str">
        <f t="shared" si="1202"/>
        <v>-</v>
      </c>
      <c r="IR30" s="1" t="str">
        <f t="shared" si="1202"/>
        <v>-</v>
      </c>
      <c r="IS30" s="1" t="str">
        <f t="shared" si="1202"/>
        <v>-</v>
      </c>
      <c r="IT30" s="1" t="str">
        <f t="shared" si="1202"/>
        <v>-</v>
      </c>
      <c r="IU30" s="1" t="str">
        <f t="shared" si="1202"/>
        <v>-</v>
      </c>
      <c r="IV30" s="1" t="str">
        <f t="shared" si="1202"/>
        <v>-</v>
      </c>
      <c r="IW30" s="1" t="str">
        <f t="shared" si="1202"/>
        <v>-</v>
      </c>
      <c r="IX30" s="1" t="str">
        <f t="shared" si="1202"/>
        <v>-</v>
      </c>
      <c r="IY30" s="1" t="str">
        <f t="shared" si="1202"/>
        <v>-</v>
      </c>
      <c r="IZ30" s="1" t="str">
        <f t="shared" si="1202"/>
        <v>-</v>
      </c>
      <c r="JA30" s="1" t="str">
        <f t="shared" si="1202"/>
        <v>-</v>
      </c>
      <c r="JB30" s="1" t="str">
        <f t="shared" si="1202"/>
        <v>-</v>
      </c>
      <c r="JC30" s="1" t="str">
        <f t="shared" si="1202"/>
        <v>-</v>
      </c>
      <c r="JD30" s="1" t="str">
        <f t="shared" si="1202"/>
        <v>-</v>
      </c>
      <c r="JE30" s="1" t="str">
        <f t="shared" si="1202"/>
        <v>-</v>
      </c>
      <c r="JF30" s="1" t="str">
        <f t="shared" si="1202"/>
        <v>-</v>
      </c>
      <c r="JG30" s="1" t="str">
        <f t="shared" si="1202"/>
        <v>-</v>
      </c>
      <c r="JH30" s="1" t="str">
        <f t="shared" si="1202"/>
        <v>-</v>
      </c>
      <c r="JI30" s="1" t="str">
        <f t="shared" si="1202"/>
        <v>-</v>
      </c>
      <c r="JJ30" s="1" t="str">
        <f t="shared" si="1202"/>
        <v>-</v>
      </c>
      <c r="JK30" s="1" t="str">
        <f t="shared" si="1202"/>
        <v>-</v>
      </c>
      <c r="JL30" s="1" t="str">
        <f t="shared" si="1202"/>
        <v>-</v>
      </c>
      <c r="JM30" s="1" t="str">
        <f t="shared" si="1202"/>
        <v>-</v>
      </c>
      <c r="JN30" s="1" t="str">
        <f t="shared" si="1202"/>
        <v>-</v>
      </c>
      <c r="JO30" s="1" t="str">
        <f t="shared" si="1202"/>
        <v>-</v>
      </c>
      <c r="JP30" s="1" t="str">
        <f t="shared" si="1202"/>
        <v>-</v>
      </c>
      <c r="JQ30" s="1" t="str">
        <f t="shared" si="1202"/>
        <v>-</v>
      </c>
      <c r="JR30" s="1" t="str">
        <f t="shared" si="1202"/>
        <v>-</v>
      </c>
      <c r="JS30" s="1" t="str">
        <f t="shared" si="1202"/>
        <v>-</v>
      </c>
      <c r="JT30" s="1" t="str">
        <f t="shared" ref="JT30:LX30" si="1203">IFERROR(((JT29/JT12)*200000*JT4),"-")</f>
        <v>-</v>
      </c>
      <c r="JU30" s="1" t="str">
        <f t="shared" si="1203"/>
        <v>-</v>
      </c>
      <c r="JV30" s="1" t="str">
        <f t="shared" si="1203"/>
        <v>-</v>
      </c>
      <c r="JW30" s="1" t="str">
        <f t="shared" si="1203"/>
        <v>-</v>
      </c>
      <c r="JX30" s="1" t="str">
        <f t="shared" si="1203"/>
        <v>-</v>
      </c>
      <c r="JY30" s="1" t="str">
        <f t="shared" si="1203"/>
        <v>-</v>
      </c>
      <c r="JZ30" s="1" t="str">
        <f t="shared" si="1203"/>
        <v>-</v>
      </c>
      <c r="KA30" s="1" t="str">
        <f t="shared" si="1203"/>
        <v>-</v>
      </c>
      <c r="KB30" s="1" t="str">
        <f t="shared" si="1203"/>
        <v>-</v>
      </c>
      <c r="KC30" s="1" t="str">
        <f t="shared" si="1203"/>
        <v>-</v>
      </c>
      <c r="KD30" s="1" t="str">
        <f t="shared" si="1203"/>
        <v>-</v>
      </c>
      <c r="KE30" s="1" t="str">
        <f t="shared" si="1203"/>
        <v>-</v>
      </c>
      <c r="KF30" s="1" t="str">
        <f t="shared" si="1203"/>
        <v>-</v>
      </c>
      <c r="KG30" s="1" t="str">
        <f t="shared" si="1203"/>
        <v>-</v>
      </c>
      <c r="KH30" s="1" t="str">
        <f t="shared" si="1203"/>
        <v>-</v>
      </c>
      <c r="KI30" s="1" t="str">
        <f t="shared" si="1203"/>
        <v>-</v>
      </c>
      <c r="KJ30" s="1" t="str">
        <f t="shared" si="1203"/>
        <v>-</v>
      </c>
      <c r="KK30" s="1" t="str">
        <f t="shared" si="1203"/>
        <v>-</v>
      </c>
      <c r="KL30" s="1" t="str">
        <f t="shared" si="1203"/>
        <v>-</v>
      </c>
      <c r="KM30" s="1" t="str">
        <f t="shared" si="1203"/>
        <v>-</v>
      </c>
      <c r="KN30" s="1" t="str">
        <f t="shared" si="1203"/>
        <v>-</v>
      </c>
      <c r="KO30" s="1" t="str">
        <f t="shared" si="1203"/>
        <v>-</v>
      </c>
      <c r="KP30" s="1" t="str">
        <f t="shared" si="1203"/>
        <v>-</v>
      </c>
      <c r="KQ30" s="1" t="str">
        <f t="shared" si="1203"/>
        <v>-</v>
      </c>
      <c r="KR30" s="1" t="str">
        <f t="shared" si="1203"/>
        <v>-</v>
      </c>
      <c r="KS30" s="1" t="str">
        <f t="shared" si="1203"/>
        <v>-</v>
      </c>
      <c r="KT30" s="1" t="str">
        <f t="shared" si="1203"/>
        <v>-</v>
      </c>
      <c r="KU30" s="1" t="str">
        <f t="shared" si="1203"/>
        <v>-</v>
      </c>
      <c r="KV30" s="1" t="str">
        <f t="shared" si="1203"/>
        <v>-</v>
      </c>
      <c r="KW30" s="1" t="str">
        <f t="shared" si="1203"/>
        <v>-</v>
      </c>
      <c r="KX30" s="1" t="str">
        <f t="shared" si="1203"/>
        <v>-</v>
      </c>
      <c r="KY30" s="1" t="str">
        <f t="shared" si="1203"/>
        <v>-</v>
      </c>
      <c r="KZ30" s="1" t="str">
        <f t="shared" si="1203"/>
        <v>-</v>
      </c>
      <c r="LA30" s="1" t="str">
        <f t="shared" si="1203"/>
        <v>-</v>
      </c>
      <c r="LB30" s="1" t="str">
        <f t="shared" si="1203"/>
        <v>-</v>
      </c>
      <c r="LC30" s="1" t="str">
        <f t="shared" si="1203"/>
        <v>-</v>
      </c>
      <c r="LD30" s="1" t="str">
        <f t="shared" si="1203"/>
        <v>-</v>
      </c>
      <c r="LE30" s="1" t="str">
        <f t="shared" si="1203"/>
        <v>-</v>
      </c>
      <c r="LF30" s="1" t="str">
        <f t="shared" si="1203"/>
        <v>-</v>
      </c>
      <c r="LG30" s="1" t="str">
        <f t="shared" si="1203"/>
        <v>-</v>
      </c>
      <c r="LH30" s="1" t="str">
        <f t="shared" si="1203"/>
        <v>-</v>
      </c>
      <c r="LI30" s="1" t="str">
        <f t="shared" si="1203"/>
        <v>-</v>
      </c>
      <c r="LJ30" s="1" t="str">
        <f t="shared" si="1203"/>
        <v>-</v>
      </c>
      <c r="LK30" s="1" t="str">
        <f t="shared" si="1203"/>
        <v>-</v>
      </c>
      <c r="LL30" s="1" t="str">
        <f t="shared" si="1203"/>
        <v>-</v>
      </c>
      <c r="LM30" s="1" t="str">
        <f t="shared" si="1203"/>
        <v>-</v>
      </c>
      <c r="LN30" s="1" t="str">
        <f t="shared" si="1203"/>
        <v>-</v>
      </c>
      <c r="LO30" s="1" t="str">
        <f t="shared" si="1203"/>
        <v>-</v>
      </c>
      <c r="LP30" s="1" t="str">
        <f t="shared" si="1203"/>
        <v>-</v>
      </c>
      <c r="LQ30" s="1" t="str">
        <f t="shared" si="1203"/>
        <v>-</v>
      </c>
      <c r="LR30" s="1" t="str">
        <f t="shared" si="1203"/>
        <v>-</v>
      </c>
      <c r="LS30" s="1" t="str">
        <f t="shared" si="1203"/>
        <v>-</v>
      </c>
      <c r="LT30" s="1" t="str">
        <f t="shared" si="1203"/>
        <v>-</v>
      </c>
      <c r="LU30" s="1" t="str">
        <f t="shared" si="1203"/>
        <v>-</v>
      </c>
      <c r="LV30" s="1" t="str">
        <f t="shared" si="1203"/>
        <v>-</v>
      </c>
      <c r="LW30" s="1" t="str">
        <f t="shared" si="1203"/>
        <v>-</v>
      </c>
      <c r="LX30" s="1" t="str">
        <f t="shared" si="1203"/>
        <v>-</v>
      </c>
      <c r="LY30" s="1" t="str">
        <f t="shared" ref="LY30" si="1204">IFERROR(((LY29/LY12)*200000*LY4),"-")</f>
        <v>-</v>
      </c>
      <c r="MA30" s="6"/>
    </row>
    <row r="31" spans="2:339">
      <c r="B31" s="150"/>
      <c r="C31" s="41" t="s">
        <v>49</v>
      </c>
      <c r="E31" s="44">
        <f>SUMIF($E$7:E7,"&gt;="&amp; DATE(YEAR(E7),MONTH(E7)-11,DAY(E7)),$E$27:E27)</f>
        <v>0</v>
      </c>
      <c r="F31" s="44">
        <f>SUMIF($E$7:F7,"&gt;="&amp; DATE(YEAR(F7),MONTH(F7)-11,DAY(F7)),$E$27:F27)</f>
        <v>0</v>
      </c>
      <c r="G31" s="44">
        <f>SUMIF($E$7:G7,"&gt;="&amp; DATE(YEAR(G7),MONTH(G7)-11,DAY(G7)),$E$27:G27)</f>
        <v>0</v>
      </c>
      <c r="H31" s="44">
        <f>SUMIF($E$7:H7,"&gt;="&amp; DATE(YEAR(H7),MONTH(H7)-11,DAY(H7)),$E$27:H27)</f>
        <v>0</v>
      </c>
      <c r="I31" s="44">
        <f>SUMIF($E$7:I7,"&gt;="&amp; DATE(YEAR(I7),MONTH(I7)-11,DAY(I7)),$E$27:I27)</f>
        <v>0</v>
      </c>
      <c r="J31" s="44">
        <f>SUMIF($E$7:J7,"&gt;="&amp; DATE(YEAR(J7),MONTH(J7)-11,DAY(J7)),$E$27:J27)</f>
        <v>0</v>
      </c>
      <c r="K31" s="44">
        <f>SUMIF($E$7:K7,"&gt;="&amp; DATE(YEAR(K7),MONTH(K7)-11,DAY(K7)),$E$27:K27)</f>
        <v>0</v>
      </c>
      <c r="L31" s="44">
        <f>SUMIF($E$7:L7,"&gt;="&amp; DATE(YEAR(L7),MONTH(L7)-11,DAY(L7)),$E$27:L27)</f>
        <v>0</v>
      </c>
      <c r="M31" s="44">
        <f>SUMIF($E$7:M7,"&gt;="&amp; DATE(YEAR(M7),MONTH(M7)-11,DAY(M7)),$E$27:M27)</f>
        <v>0</v>
      </c>
      <c r="N31" s="44">
        <f>SUMIF($E$7:N7,"&gt;="&amp; DATE(YEAR(N7),MONTH(N7)-11,DAY(N7)),$E$27:N27)</f>
        <v>0</v>
      </c>
      <c r="O31" s="44">
        <f>SUMIF($E$7:O7,"&gt;="&amp; DATE(YEAR(O7),MONTH(O7)-11,DAY(O7)),$E$27:O27)</f>
        <v>0</v>
      </c>
      <c r="P31" s="44">
        <f>SUMIF($E$7:P7,"&gt;="&amp; DATE(YEAR(P7),MONTH(P7)-11,DAY(P7)),$E$27:P27)</f>
        <v>0</v>
      </c>
      <c r="Q31" s="44">
        <f>SUMIF($E$7:Q7,"&gt;="&amp; DATE(YEAR(Q7),MONTH(Q7)-11,DAY(Q7)),$E$27:Q27)</f>
        <v>0</v>
      </c>
      <c r="R31" s="44">
        <f>SUMIF($E$7:R7,"&gt;="&amp; DATE(YEAR(R7),MONTH(R7)-11,DAY(R7)),$E$27:R27)</f>
        <v>0</v>
      </c>
      <c r="S31" s="44">
        <f>SUMIF($E$7:S7,"&gt;="&amp; DATE(YEAR(S7),MONTH(S7)-11,DAY(S7)),$E$27:S27)</f>
        <v>0</v>
      </c>
      <c r="T31" s="44">
        <f>SUMIF($E$7:T7,"&gt;="&amp; DATE(YEAR(T7),MONTH(T7)-11,DAY(T7)),$E$27:T27)</f>
        <v>0</v>
      </c>
      <c r="U31" s="44">
        <f>SUMIF($E$7:U7,"&gt;="&amp; DATE(YEAR(U7),MONTH(U7)-11,DAY(U7)),$E$27:U27)</f>
        <v>0</v>
      </c>
      <c r="V31" s="44">
        <f>SUMIF($E$7:V7,"&gt;="&amp; DATE(YEAR(V7),MONTH(V7)-11,DAY(V7)),$E$27:V27)</f>
        <v>0</v>
      </c>
      <c r="W31" s="44">
        <f>SUMIF($E$7:W7,"&gt;="&amp; DATE(YEAR(W7),MONTH(W7)-11,DAY(W7)),$E$27:W27)</f>
        <v>0</v>
      </c>
      <c r="X31" s="44">
        <f>SUMIF($E$7:X7,"&gt;="&amp; DATE(YEAR(X7),MONTH(X7)-11,DAY(X7)),$E$27:X27)</f>
        <v>0</v>
      </c>
      <c r="Y31" s="44">
        <f>SUMIF($E$7:Y7,"&gt;="&amp; DATE(YEAR(Y7),MONTH(Y7)-11,DAY(Y7)),$E$27:Y27)</f>
        <v>0</v>
      </c>
      <c r="Z31" s="44">
        <f>SUMIF($E$7:Z7,"&gt;="&amp; DATE(YEAR(Z7),MONTH(Z7)-11,DAY(Z7)),$E$27:Z27)</f>
        <v>0</v>
      </c>
      <c r="AA31" s="44">
        <f>SUMIF($E$7:AA7,"&gt;="&amp; DATE(YEAR(AA7),MONTH(AA7)-11,DAY(AA7)),$E$27:AA27)</f>
        <v>0</v>
      </c>
      <c r="AB31" s="44">
        <f>SUMIF($E$7:AB7,"&gt;="&amp; DATE(YEAR(AB7),MONTH(AB7)-11,DAY(AB7)),$E$27:AB27)</f>
        <v>0</v>
      </c>
      <c r="AC31" s="44">
        <f>SUMIF($E$7:AC7,"&gt;="&amp; DATE(YEAR(AC7),MONTH(AC7)-11,DAY(AC7)),$E$27:AC27)</f>
        <v>0</v>
      </c>
      <c r="AD31" s="44">
        <f>SUMIF($E$7:AD7,"&gt;="&amp; DATE(YEAR(AD7),MONTH(AD7)-11,DAY(AD7)),$E$27:AD27)</f>
        <v>0</v>
      </c>
      <c r="AE31" s="44">
        <f>SUMIF($E$7:AE7,"&gt;="&amp; DATE(YEAR(AE7),MONTH(AE7)-11,DAY(AE7)),$E$27:AE27)</f>
        <v>0</v>
      </c>
      <c r="AF31" s="44">
        <f>SUMIF($E$7:AF7,"&gt;="&amp; DATE(YEAR(AF7),MONTH(AF7)-11,DAY(AF7)),$E$27:AF27)</f>
        <v>0</v>
      </c>
      <c r="AG31" s="44">
        <f>SUMIF($E$7:AG7,"&gt;="&amp; DATE(YEAR(AG7),MONTH(AG7)-11,DAY(AG7)),$E$27:AG27)</f>
        <v>0</v>
      </c>
      <c r="AH31" s="44">
        <f>SUMIF($E$7:AH7,"&gt;="&amp; DATE(YEAR(AH7),MONTH(AH7)-11,DAY(AH7)),$E$27:AH27)</f>
        <v>0</v>
      </c>
      <c r="AI31" s="44">
        <f>SUMIF($E$7:AI7,"&gt;="&amp; DATE(YEAR(AI7),MONTH(AI7)-11,DAY(AI7)),$E$27:AI27)</f>
        <v>0</v>
      </c>
      <c r="AJ31" s="44">
        <f>SUMIF($E$7:AJ7,"&gt;="&amp; DATE(YEAR(AJ7),MONTH(AJ7)-11,DAY(AJ7)),$E$27:AJ27)</f>
        <v>0</v>
      </c>
      <c r="AK31" s="44">
        <f>SUMIF($E$7:AK7,"&gt;="&amp; DATE(YEAR(AK7),MONTH(AK7)-11,DAY(AK7)),$E$27:AK27)</f>
        <v>0</v>
      </c>
      <c r="AL31" s="44">
        <f>SUMIF($E$7:AL7,"&gt;="&amp; DATE(YEAR(AL7),MONTH(AL7)-11,DAY(AL7)),$E$27:AL27)</f>
        <v>0</v>
      </c>
      <c r="AM31" s="44">
        <f>SUMIF($E$7:AM7,"&gt;="&amp; DATE(YEAR(AM7),MONTH(AM7)-11,DAY(AM7)),$E$27:AM27)</f>
        <v>0</v>
      </c>
      <c r="AN31" s="44">
        <f>SUMIF($E$7:AN7,"&gt;="&amp; DATE(YEAR(AN7),MONTH(AN7)-11,DAY(AN7)),$E$27:AN27)</f>
        <v>0</v>
      </c>
      <c r="AO31" s="44">
        <f>SUMIF($E$7:AO7,"&gt;="&amp; DATE(YEAR(AO7),MONTH(AO7)-11,DAY(AO7)),$E$27:AO27)</f>
        <v>0</v>
      </c>
      <c r="AP31" s="44">
        <f>SUMIF($E$7:AP7,"&gt;="&amp; DATE(YEAR(AP7),MONTH(AP7)-11,DAY(AP7)),$E$27:AP27)</f>
        <v>0</v>
      </c>
      <c r="AQ31" s="44">
        <f>SUMIF($E$7:AQ7,"&gt;="&amp; DATE(YEAR(AQ7),MONTH(AQ7)-11,DAY(AQ7)),$E$27:AQ27)</f>
        <v>0</v>
      </c>
      <c r="AR31" s="44">
        <f>SUMIF($E$7:AR7,"&gt;="&amp; DATE(YEAR(AR7),MONTH(AR7)-11,DAY(AR7)),$E$27:AR27)</f>
        <v>0</v>
      </c>
      <c r="AS31" s="44">
        <f>SUMIF($E$7:AS7,"&gt;="&amp; DATE(YEAR(AS7),MONTH(AS7)-11,DAY(AS7)),$E$27:AS27)</f>
        <v>0</v>
      </c>
      <c r="AT31" s="44">
        <f>SUMIF($E$7:AT7,"&gt;="&amp; DATE(YEAR(AT7),MONTH(AT7)-11,DAY(AT7)),$E$27:AT27)</f>
        <v>0</v>
      </c>
      <c r="AU31" s="44">
        <f>SUMIF($E$7:AU7,"&gt;="&amp; DATE(YEAR(AU7),MONTH(AU7)-11,DAY(AU7)),$E$27:AU27)</f>
        <v>0</v>
      </c>
      <c r="AV31" s="44">
        <f>SUMIF($E$7:AV7,"&gt;="&amp; DATE(YEAR(AV7),MONTH(AV7)-11,DAY(AV7)),$E$27:AV27)</f>
        <v>0</v>
      </c>
      <c r="AW31" s="44">
        <f>SUMIF($E$7:AW7,"&gt;="&amp; DATE(YEAR(AW7),MONTH(AW7)-11,DAY(AW7)),$E$27:AW27)</f>
        <v>0</v>
      </c>
      <c r="AX31" s="44">
        <f>SUMIF($E$7:AX7,"&gt;="&amp; DATE(YEAR(AX7),MONTH(AX7)-11,DAY(AX7)),$E$27:AX27)</f>
        <v>0</v>
      </c>
      <c r="AY31" s="44">
        <f>SUMIF($E$7:AY7,"&gt;="&amp; DATE(YEAR(AY7),MONTH(AY7)-11,DAY(AY7)),$E$27:AY27)</f>
        <v>0</v>
      </c>
      <c r="AZ31" s="44">
        <f>SUMIF($E$7:AZ7,"&gt;="&amp; DATE(YEAR(AZ7),MONTH(AZ7)-11,DAY(AZ7)),$E$27:AZ27)</f>
        <v>0</v>
      </c>
      <c r="BA31" s="44">
        <f>SUMIF($E$7:BA7,"&gt;="&amp; DATE(YEAR(BA7),MONTH(BA7)-11,DAY(BA7)),$E$27:BA27)</f>
        <v>0</v>
      </c>
      <c r="BB31" s="44">
        <f>SUMIF($E$7:BB7,"&gt;="&amp; DATE(YEAR(BB7),MONTH(BB7)-11,DAY(BB7)),$E$27:BB27)</f>
        <v>0</v>
      </c>
      <c r="BC31" s="44">
        <f>SUMIF($E$7:BC7,"&gt;="&amp; DATE(YEAR(BC7),MONTH(BC7)-11,DAY(BC7)),$E$27:BC27)</f>
        <v>0</v>
      </c>
      <c r="BD31" s="44">
        <f>SUMIF($E$7:BD7,"&gt;="&amp; DATE(YEAR(BD7),MONTH(BD7)-11,DAY(BD7)),$E$27:BD27)</f>
        <v>0</v>
      </c>
      <c r="BE31" s="44">
        <f>SUMIF($E$7:BE7,"&gt;="&amp; DATE(YEAR(BE7),MONTH(BE7)-11,DAY(BE7)),$E$27:BE27)</f>
        <v>0</v>
      </c>
      <c r="BF31" s="44">
        <f>SUMIF($E$7:BF7,"&gt;="&amp; DATE(YEAR(BF7),MONTH(BF7)-11,DAY(BF7)),$E$27:BF27)</f>
        <v>0</v>
      </c>
      <c r="BG31" s="44">
        <f>SUMIF($E$7:BG7,"&gt;="&amp; DATE(YEAR(BG7),MONTH(BG7)-11,DAY(BG7)),$E$27:BG27)</f>
        <v>0</v>
      </c>
      <c r="BH31" s="44">
        <f>SUMIF($E$7:BH7,"&gt;="&amp; DATE(YEAR(BH7),MONTH(BH7)-11,DAY(BH7)),$E$27:BH27)</f>
        <v>0</v>
      </c>
      <c r="BI31" s="44">
        <f>SUMIF($E$7:BI7,"&gt;="&amp; DATE(YEAR(BI7),MONTH(BI7)-11,DAY(BI7)),$E$27:BI27)</f>
        <v>0</v>
      </c>
      <c r="BJ31" s="44">
        <f>SUMIF($E$7:BJ7,"&gt;="&amp; DATE(YEAR(BJ7),MONTH(BJ7)-11,DAY(BJ7)),$E$27:BJ27)</f>
        <v>0</v>
      </c>
      <c r="BK31" s="44">
        <f>SUMIF($E$7:BK7,"&gt;="&amp; DATE(YEAR(BK7),MONTH(BK7)-11,DAY(BK7)),$E$27:BK27)</f>
        <v>0</v>
      </c>
      <c r="BL31" s="44">
        <f>SUMIF($E$7:BL7,"&gt;="&amp; DATE(YEAR(BL7),MONTH(BL7)-11,DAY(BL7)),$E$27:BL27)</f>
        <v>0</v>
      </c>
      <c r="BM31" s="44">
        <f>SUMIF($E$7:BM7,"&gt;="&amp; DATE(YEAR(BM7),MONTH(BM7)-11,DAY(BM7)),$E$27:BM27)</f>
        <v>0</v>
      </c>
      <c r="BN31" s="44">
        <f>SUMIF($E$7:BN7,"&gt;="&amp; DATE(YEAR(BN7),MONTH(BN7)-11,DAY(BN7)),$E$27:BN27)</f>
        <v>0</v>
      </c>
      <c r="BO31" s="44">
        <f>SUMIF($E$7:BO7,"&gt;="&amp; DATE(YEAR(BO7),MONTH(BO7)-11,DAY(BO7)),$E$27:BO27)</f>
        <v>0</v>
      </c>
      <c r="BP31" s="44">
        <f>SUMIF($E$7:BP7,"&gt;="&amp; DATE(YEAR(BP7),MONTH(BP7)-11,DAY(BP7)),$E$27:BP27)</f>
        <v>0</v>
      </c>
      <c r="BQ31" s="44">
        <f>SUMIF($E$7:BQ7,"&gt;="&amp; DATE(YEAR(BQ7),MONTH(BQ7)-11,DAY(BQ7)),$E$27:BQ27)</f>
        <v>0</v>
      </c>
      <c r="BR31" s="44">
        <f>SUMIF($E$7:BR7,"&gt;="&amp; DATE(YEAR(BR7),MONTH(BR7)-11,DAY(BR7)),$E$27:BR27)</f>
        <v>0</v>
      </c>
      <c r="BS31" s="44">
        <f>SUMIF($E$7:BS7,"&gt;="&amp; DATE(YEAR(BS7),MONTH(BS7)-11,DAY(BS7)),$E$27:BS27)</f>
        <v>0</v>
      </c>
      <c r="BT31" s="44">
        <f>SUMIF($E$7:BT7,"&gt;="&amp; DATE(YEAR(BT7),MONTH(BT7)-11,DAY(BT7)),$E$27:BT27)</f>
        <v>0</v>
      </c>
      <c r="BU31" s="44">
        <f>SUMIF($E$7:BU7,"&gt;="&amp; DATE(YEAR(BU7),MONTH(BU7)-11,DAY(BU7)),$E$27:BU27)</f>
        <v>0</v>
      </c>
      <c r="BV31" s="44">
        <f>SUMIF($E$7:BV7,"&gt;="&amp; DATE(YEAR(BV7),MONTH(BV7)-11,DAY(BV7)),$E$27:BV27)</f>
        <v>0</v>
      </c>
      <c r="BW31" s="44">
        <f>SUMIF($E$7:BW7,"&gt;="&amp; DATE(YEAR(BW7),MONTH(BW7)-11,DAY(BW7)),$E$27:BW27)</f>
        <v>0</v>
      </c>
      <c r="BX31" s="44">
        <f>SUMIF($E$7:BX7,"&gt;="&amp; DATE(YEAR(BX7),MONTH(BX7)-11,DAY(BX7)),$E$27:BX27)</f>
        <v>0</v>
      </c>
      <c r="BY31" s="44">
        <f>SUMIF($E$7:BY7,"&gt;="&amp; DATE(YEAR(BY7),MONTH(BY7)-11,DAY(BY7)),$E$27:BY27)</f>
        <v>0</v>
      </c>
      <c r="BZ31" s="44">
        <f>SUMIF($E$7:BZ7,"&gt;="&amp; DATE(YEAR(BZ7),MONTH(BZ7)-11,DAY(BZ7)),$E$27:BZ27)</f>
        <v>0</v>
      </c>
      <c r="CA31" s="44">
        <f>SUMIF($E$7:CA7,"&gt;="&amp; DATE(YEAR(CA7),MONTH(CA7)-11,DAY(CA7)),$E$27:CA27)</f>
        <v>0</v>
      </c>
      <c r="CB31" s="44">
        <f>SUMIF($E$7:CB7,"&gt;="&amp; DATE(YEAR(CB7),MONTH(CB7)-11,DAY(CB7)),$E$27:CB27)</f>
        <v>0</v>
      </c>
      <c r="CC31" s="44">
        <f>SUMIF($E$7:CC7,"&gt;="&amp; DATE(YEAR(CC7),MONTH(CC7)-11,DAY(CC7)),$E$27:CC27)</f>
        <v>0</v>
      </c>
      <c r="CD31" s="44">
        <f>SUMIF($E$7:CD7,"&gt;="&amp; DATE(YEAR(CD7),MONTH(CD7)-11,DAY(CD7)),$E$27:CD27)</f>
        <v>0</v>
      </c>
      <c r="CE31" s="44">
        <f>SUMIF($E$7:CE7,"&gt;="&amp; DATE(YEAR(CE7),MONTH(CE7)-11,DAY(CE7)),$E$27:CE27)</f>
        <v>0</v>
      </c>
      <c r="CF31" s="44">
        <f>SUMIF($E$7:CF7,"&gt;="&amp; DATE(YEAR(CF7),MONTH(CF7)-11,DAY(CF7)),$E$27:CF27)</f>
        <v>0</v>
      </c>
      <c r="CG31" s="44">
        <f>SUMIF($E$7:CG7,"&gt;="&amp; DATE(YEAR(CG7),MONTH(CG7)-11,DAY(CG7)),$E$27:CG27)</f>
        <v>0</v>
      </c>
      <c r="CH31" s="44">
        <f>SUMIF($E$7:CH7,"&gt;="&amp; DATE(YEAR(CH7),MONTH(CH7)-11,DAY(CH7)),$E$27:CH27)</f>
        <v>0</v>
      </c>
      <c r="CI31" s="44">
        <f>SUMIF($E$7:CI7,"&gt;="&amp; DATE(YEAR(CI7),MONTH(CI7)-11,DAY(CI7)),$E$27:CI27)</f>
        <v>0</v>
      </c>
      <c r="CJ31" s="44">
        <f>SUMIF($E$7:CJ7,"&gt;="&amp; DATE(YEAR(CJ7),MONTH(CJ7)-11,DAY(CJ7)),$E$27:CJ27)</f>
        <v>0</v>
      </c>
      <c r="CK31" s="44">
        <f>SUMIF($E$7:CK7,"&gt;="&amp; DATE(YEAR(CK7),MONTH(CK7)-11,DAY(CK7)),$E$27:CK27)</f>
        <v>0</v>
      </c>
      <c r="CL31" s="44">
        <f>SUMIF($E$7:CL7,"&gt;="&amp; DATE(YEAR(CL7),MONTH(CL7)-11,DAY(CL7)),$E$27:CL27)</f>
        <v>0</v>
      </c>
      <c r="CM31" s="44">
        <f>SUMIF($E$7:CM7,"&gt;="&amp; DATE(YEAR(CM7),MONTH(CM7)-11,DAY(CM7)),$E$27:CM27)</f>
        <v>0</v>
      </c>
      <c r="CN31" s="44">
        <f>SUMIF($E$7:CN7,"&gt;="&amp; DATE(YEAR(CN7),MONTH(CN7)-11,DAY(CN7)),$E$27:CN27)</f>
        <v>0</v>
      </c>
      <c r="CO31" s="44">
        <f>SUMIF($E$7:CO7,"&gt;="&amp; DATE(YEAR(CO7),MONTH(CO7)-11,DAY(CO7)),$E$27:CO27)</f>
        <v>0</v>
      </c>
      <c r="CP31" s="44">
        <f>SUMIF($E$7:CP7,"&gt;="&amp; DATE(YEAR(CP7),MONTH(CP7)-11,DAY(CP7)),$E$27:CP27)</f>
        <v>0</v>
      </c>
      <c r="CQ31" s="44">
        <f>SUMIF($E$7:CQ7,"&gt;="&amp; DATE(YEAR(CQ7),MONTH(CQ7)-11,DAY(CQ7)),$E$27:CQ27)</f>
        <v>0</v>
      </c>
      <c r="CR31" s="44">
        <f>SUMIF($E$7:CR7,"&gt;="&amp; DATE(YEAR(CR7),MONTH(CR7)-11,DAY(CR7)),$E$27:CR27)</f>
        <v>0</v>
      </c>
      <c r="CS31" s="44">
        <f>SUMIF($E$7:CS7,"&gt;="&amp; DATE(YEAR(CS7),MONTH(CS7)-11,DAY(CS7)),$E$27:CS27)</f>
        <v>0</v>
      </c>
      <c r="CT31" s="44">
        <f>SUMIF($E$7:CT7,"&gt;="&amp; DATE(YEAR(CT7),MONTH(CT7)-11,DAY(CT7)),$E$27:CT27)</f>
        <v>0</v>
      </c>
      <c r="CU31" s="44">
        <f>SUMIF($E$7:CU7,"&gt;="&amp; DATE(YEAR(CU7),MONTH(CU7)-11,DAY(CU7)),$E$27:CU27)</f>
        <v>0</v>
      </c>
      <c r="CV31" s="44">
        <f>SUMIF($E$7:CV7,"&gt;="&amp; DATE(YEAR(CV7),MONTH(CV7)-11,DAY(CV7)),$E$27:CV27)</f>
        <v>0</v>
      </c>
      <c r="CW31" s="44">
        <f>SUMIF($E$7:CW7,"&gt;="&amp; DATE(YEAR(CW7),MONTH(CW7)-11,DAY(CW7)),$E$27:CW27)</f>
        <v>0</v>
      </c>
      <c r="CX31" s="44">
        <f>SUMIF($E$7:CX7,"&gt;="&amp; DATE(YEAR(CX7),MONTH(CX7)-11,DAY(CX7)),$E$27:CX27)</f>
        <v>0</v>
      </c>
      <c r="CY31" s="44">
        <f>SUMIF($E$7:CY7,"&gt;="&amp; DATE(YEAR(CY7),MONTH(CY7)-11,DAY(CY7)),$E$27:CY27)</f>
        <v>0</v>
      </c>
      <c r="CZ31" s="44">
        <f>SUMIF($E$7:CZ7,"&gt;="&amp; DATE(YEAR(CZ7),MONTH(CZ7)-11,DAY(CZ7)),$E$27:CZ27)</f>
        <v>0</v>
      </c>
      <c r="DA31" s="44">
        <f>SUMIF($E$7:DA7,"&gt;="&amp; DATE(YEAR(DA7),MONTH(DA7)-11,DAY(DA7)),$E$27:DA27)</f>
        <v>0</v>
      </c>
      <c r="DB31" s="44">
        <f>SUMIF($E$7:DB7,"&gt;="&amp; DATE(YEAR(DB7),MONTH(DB7)-11,DAY(DB7)),$E$27:DB27)</f>
        <v>0</v>
      </c>
      <c r="DC31" s="44">
        <f>SUMIF($E$7:DC7,"&gt;="&amp; DATE(YEAR(DC7),MONTH(DC7)-11,DAY(DC7)),$E$27:DC27)</f>
        <v>0</v>
      </c>
      <c r="DD31" s="44">
        <f>SUMIF($E$7:DD7,"&gt;="&amp; DATE(YEAR(DD7),MONTH(DD7)-11,DAY(DD7)),$E$27:DD27)</f>
        <v>0</v>
      </c>
      <c r="DE31" s="44">
        <f>SUMIF($E$7:DE7,"&gt;="&amp; DATE(YEAR(DE7),MONTH(DE7)-11,DAY(DE7)),$E$27:DE27)</f>
        <v>0</v>
      </c>
      <c r="DF31" s="44">
        <f>SUMIF($E$7:DF7,"&gt;="&amp; DATE(YEAR(DF7),MONTH(DF7)-11,DAY(DF7)),$E$27:DF27)</f>
        <v>0</v>
      </c>
      <c r="DG31" s="44">
        <f>SUMIF($E$7:DG7,"&gt;="&amp; DATE(YEAR(DG7),MONTH(DG7)-11,DAY(DG7)),$E$27:DG27)</f>
        <v>0</v>
      </c>
      <c r="DH31" s="44">
        <f>SUMIF($E$7:DH7,"&gt;="&amp; DATE(YEAR(DH7),MONTH(DH7)-11,DAY(DH7)),$E$27:DH27)</f>
        <v>0</v>
      </c>
      <c r="DI31" s="44">
        <f>SUMIF($E$7:DI7,"&gt;="&amp; DATE(YEAR(DI7),MONTH(DI7)-11,DAY(DI7)),$E$27:DI27)</f>
        <v>0</v>
      </c>
      <c r="DJ31" s="44">
        <f>SUMIF($E$7:DJ7,"&gt;="&amp; DATE(YEAR(DJ7),MONTH(DJ7)-11,DAY(DJ7)),$E$27:DJ27)</f>
        <v>0</v>
      </c>
      <c r="DK31" s="44">
        <f>SUMIF($E$7:DK7,"&gt;="&amp; DATE(YEAR(DK7),MONTH(DK7)-11,DAY(DK7)),$E$27:DK27)</f>
        <v>0</v>
      </c>
      <c r="DL31" s="44">
        <f>SUMIF($E$7:DL7,"&gt;="&amp; DATE(YEAR(DL7),MONTH(DL7)-11,DAY(DL7)),$E$27:DL27)</f>
        <v>0</v>
      </c>
      <c r="DM31" s="44">
        <f>SUMIF($E$7:DM7,"&gt;="&amp; DATE(YEAR(DM7),MONTH(DM7)-11,DAY(DM7)),$E$27:DM27)</f>
        <v>0</v>
      </c>
      <c r="DN31" s="44">
        <f>SUMIF($E$7:DN7,"&gt;="&amp; DATE(YEAR(DN7),MONTH(DN7)-11,DAY(DN7)),$E$27:DN27)</f>
        <v>0</v>
      </c>
      <c r="DO31" s="44">
        <f>SUMIF($E$7:DO7,"&gt;="&amp; DATE(YEAR(DO7),MONTH(DO7)-11,DAY(DO7)),$E$27:DO27)</f>
        <v>0</v>
      </c>
      <c r="DP31" s="44">
        <f>SUMIF($E$7:DP7,"&gt;="&amp; DATE(YEAR(DP7),MONTH(DP7)-11,DAY(DP7)),$E$27:DP27)</f>
        <v>0</v>
      </c>
      <c r="DQ31" s="44">
        <f>SUMIF($E$7:DQ7,"&gt;="&amp; DATE(YEAR(DQ7),MONTH(DQ7)-11,DAY(DQ7)),$E$27:DQ27)</f>
        <v>0</v>
      </c>
      <c r="DR31" s="44">
        <f>SUMIF($E$7:DR7,"&gt;="&amp; DATE(YEAR(DR7),MONTH(DR7)-11,DAY(DR7)),$E$27:DR27)</f>
        <v>0</v>
      </c>
      <c r="DS31" s="44">
        <f>SUMIF($E$7:DS7,"&gt;="&amp; DATE(YEAR(DS7),MONTH(DS7)-11,DAY(DS7)),$E$27:DS27)</f>
        <v>0</v>
      </c>
      <c r="DT31" s="44">
        <f>SUMIF($E$7:DT7,"&gt;="&amp; DATE(YEAR(DT7),MONTH(DT7)-11,DAY(DT7)),$E$27:DT27)</f>
        <v>0</v>
      </c>
      <c r="DU31" s="44">
        <f>SUMIF($E$7:DU7,"&gt;="&amp; DATE(YEAR(DU7),MONTH(DU7)-11,DAY(DU7)),$E$27:DU27)</f>
        <v>0</v>
      </c>
      <c r="DV31" s="44">
        <f>SUMIF($E$7:DV7,"&gt;="&amp; DATE(YEAR(DV7),MONTH(DV7)-11,DAY(DV7)),$E$27:DV27)</f>
        <v>0</v>
      </c>
      <c r="DW31" s="44">
        <f>SUMIF($E$7:DW7,"&gt;="&amp; DATE(YEAR(DW7),MONTH(DW7)-11,DAY(DW7)),$E$27:DW27)</f>
        <v>0</v>
      </c>
      <c r="DX31" s="44">
        <f>SUMIF($E$7:DX7,"&gt;="&amp; DATE(YEAR(DX7),MONTH(DX7)-11,DAY(DX7)),$E$27:DX27)</f>
        <v>0</v>
      </c>
      <c r="DY31" s="44">
        <f>SUMIF($E$7:DY7,"&gt;="&amp; DATE(YEAR(DY7),MONTH(DY7)-11,DAY(DY7)),$E$27:DY27)</f>
        <v>0</v>
      </c>
      <c r="DZ31" s="44">
        <f>SUMIF($E$7:DZ7,"&gt;="&amp; DATE(YEAR(DZ7),MONTH(DZ7)-11,DAY(DZ7)),$E$27:DZ27)</f>
        <v>0</v>
      </c>
      <c r="EA31" s="44">
        <f>SUMIF($E$7:EA7,"&gt;="&amp; DATE(YEAR(EA7),MONTH(EA7)-11,DAY(EA7)),$E$27:EA27)</f>
        <v>0</v>
      </c>
      <c r="EB31" s="44">
        <f>SUMIF($E$7:EB7,"&gt;="&amp; DATE(YEAR(EB7),MONTH(EB7)-11,DAY(EB7)),$E$27:EB27)</f>
        <v>0</v>
      </c>
      <c r="EC31" s="44">
        <f>SUMIF($E$7:EC7,"&gt;="&amp; DATE(YEAR(EC7),MONTH(EC7)-11,DAY(EC7)),$E$27:EC27)</f>
        <v>0</v>
      </c>
      <c r="ED31" s="44">
        <f>SUMIF($E$7:ED7,"&gt;="&amp; DATE(YEAR(ED7),MONTH(ED7)-11,DAY(ED7)),$E$27:ED27)</f>
        <v>0</v>
      </c>
      <c r="EE31" s="44">
        <f>SUMIF($E$7:EE7,"&gt;="&amp; DATE(YEAR(EE7),MONTH(EE7)-11,DAY(EE7)),$E$27:EE27)</f>
        <v>0</v>
      </c>
      <c r="EF31" s="44">
        <f>SUMIF($E$7:EF7,"&gt;="&amp; DATE(YEAR(EF7),MONTH(EF7)-11,DAY(EF7)),$E$27:EF27)</f>
        <v>0</v>
      </c>
      <c r="EG31" s="44">
        <f>SUMIF($E$7:EG7,"&gt;="&amp; DATE(YEAR(EG7),MONTH(EG7)-11,DAY(EG7)),$E$27:EG27)</f>
        <v>0</v>
      </c>
      <c r="EH31" s="44">
        <f>SUMIF($E$7:EH7,"&gt;="&amp; DATE(YEAR(EH7),MONTH(EH7)-11,DAY(EH7)),$E$27:EH27)</f>
        <v>0</v>
      </c>
      <c r="EI31" s="44">
        <f>SUMIF($E$7:EI7,"&gt;="&amp; DATE(YEAR(EI7),MONTH(EI7)-11,DAY(EI7)),$E$27:EI27)</f>
        <v>0</v>
      </c>
      <c r="EJ31" s="44">
        <f>SUMIF($E$7:EJ7,"&gt;="&amp; DATE(YEAR(EJ7),MONTH(EJ7)-11,DAY(EJ7)),$E$27:EJ27)</f>
        <v>0</v>
      </c>
      <c r="EK31" s="44">
        <f>SUMIF($E$7:EK7,"&gt;="&amp; DATE(YEAR(EK7),MONTH(EK7)-11,DAY(EK7)),$E$27:EK27)</f>
        <v>0</v>
      </c>
      <c r="EL31" s="44">
        <f>SUMIF($E$7:EL7,"&gt;="&amp; DATE(YEAR(EL7),MONTH(EL7)-11,DAY(EL7)),$E$27:EL27)</f>
        <v>0</v>
      </c>
      <c r="EM31" s="44">
        <f>SUMIF($E$7:EM7,"&gt;="&amp; DATE(YEAR(EM7),MONTH(EM7)-11,DAY(EM7)),$E$27:EM27)</f>
        <v>0</v>
      </c>
      <c r="EN31" s="44">
        <f>SUMIF($E$7:EN7,"&gt;="&amp; DATE(YEAR(EN7),MONTH(EN7)-11,DAY(EN7)),$E$27:EN27)</f>
        <v>0</v>
      </c>
      <c r="EO31" s="44">
        <f>SUMIF($E$7:EO7,"&gt;="&amp; DATE(YEAR(EO7),MONTH(EO7)-11,DAY(EO7)),$E$27:EO27)</f>
        <v>0</v>
      </c>
      <c r="EP31" s="44">
        <f>SUMIF($E$7:EP7,"&gt;="&amp; DATE(YEAR(EP7),MONTH(EP7)-11,DAY(EP7)),$E$27:EP27)</f>
        <v>0</v>
      </c>
      <c r="EQ31" s="44">
        <f>SUMIF($E$7:EQ7,"&gt;="&amp; DATE(YEAR(EQ7),MONTH(EQ7)-11,DAY(EQ7)),$E$27:EQ27)</f>
        <v>0</v>
      </c>
      <c r="ER31" s="44">
        <f>SUMIF($E$7:ER7,"&gt;="&amp; DATE(YEAR(ER7),MONTH(ER7)-11,DAY(ER7)),$E$27:ER27)</f>
        <v>0</v>
      </c>
      <c r="ES31" s="44">
        <f>SUMIF($E$7:ES7,"&gt;="&amp; DATE(YEAR(ES7),MONTH(ES7)-11,DAY(ES7)),$E$27:ES27)</f>
        <v>0</v>
      </c>
      <c r="ET31" s="44">
        <f>SUMIF($E$7:ET7,"&gt;="&amp; DATE(YEAR(ET7),MONTH(ET7)-11,DAY(ET7)),$E$27:ET27)</f>
        <v>0</v>
      </c>
      <c r="EU31" s="44">
        <f>SUMIF($E$7:EU7,"&gt;="&amp; DATE(YEAR(EU7),MONTH(EU7)-11,DAY(EU7)),$E$27:EU27)</f>
        <v>0</v>
      </c>
      <c r="EV31" s="44">
        <f>SUMIF($E$7:EV7,"&gt;="&amp; DATE(YEAR(EV7),MONTH(EV7)-11,DAY(EV7)),$E$27:EV27)</f>
        <v>0</v>
      </c>
      <c r="EW31" s="44">
        <f>SUMIF($E$7:EW7,"&gt;="&amp; DATE(YEAR(EW7),MONTH(EW7)-11,DAY(EW7)),$E$27:EW27)</f>
        <v>0</v>
      </c>
      <c r="EX31" s="44">
        <f>SUMIF($E$7:EX7,"&gt;="&amp; DATE(YEAR(EX7),MONTH(EX7)-11,DAY(EX7)),$E$27:EX27)</f>
        <v>0</v>
      </c>
      <c r="EY31" s="44">
        <f>SUMIF($E$7:EY7,"&gt;="&amp; DATE(YEAR(EY7),MONTH(EY7)-11,DAY(EY7)),$E$27:EY27)</f>
        <v>0</v>
      </c>
      <c r="EZ31" s="44">
        <f>SUMIF($E$7:EZ7,"&gt;="&amp; DATE(YEAR(EZ7),MONTH(EZ7)-11,DAY(EZ7)),$E$27:EZ27)</f>
        <v>0</v>
      </c>
      <c r="FA31" s="44">
        <f>SUMIF($E$7:FA7,"&gt;="&amp; DATE(YEAR(FA7),MONTH(FA7)-11,DAY(FA7)),$E$27:FA27)</f>
        <v>0</v>
      </c>
      <c r="FB31" s="44">
        <f>SUMIF($E$7:FB7,"&gt;="&amp; DATE(YEAR(FB7),MONTH(FB7)-11,DAY(FB7)),$E$27:FB27)</f>
        <v>0</v>
      </c>
      <c r="FC31" s="44">
        <f>SUMIF($E$7:FC7,"&gt;="&amp; DATE(YEAR(FC7),MONTH(FC7)-11,DAY(FC7)),$E$27:FC27)</f>
        <v>0</v>
      </c>
      <c r="FD31" s="44">
        <f>SUMIF($E$7:FD7,"&gt;="&amp; DATE(YEAR(FD7),MONTH(FD7)-11,DAY(FD7)),$E$27:FD27)</f>
        <v>0</v>
      </c>
      <c r="FE31" s="44">
        <f>SUMIF($E$7:FE7,"&gt;="&amp; DATE(YEAR(FE7),MONTH(FE7)-11,DAY(FE7)),$E$27:FE27)</f>
        <v>0</v>
      </c>
      <c r="FF31" s="44">
        <f>SUMIF($E$7:FF7,"&gt;="&amp; DATE(YEAR(FF7),MONTH(FF7)-11,DAY(FF7)),$E$27:FF27)</f>
        <v>0</v>
      </c>
      <c r="FG31" s="44">
        <f>SUMIF($E$7:FG7,"&gt;="&amp; DATE(YEAR(FG7),MONTH(FG7)-11,DAY(FG7)),$E$27:FG27)</f>
        <v>0</v>
      </c>
      <c r="FH31" s="44">
        <f>SUMIF($E$7:FH7,"&gt;="&amp; DATE(YEAR(FH7),MONTH(FH7)-11,DAY(FH7)),$E$27:FH27)</f>
        <v>0</v>
      </c>
      <c r="FI31" s="44">
        <f>SUMIF($E$7:FI7,"&gt;="&amp; DATE(YEAR(FI7),MONTH(FI7)-11,DAY(FI7)),$E$27:FI27)</f>
        <v>0</v>
      </c>
      <c r="FJ31" s="44">
        <f>SUMIF($E$7:FJ7,"&gt;="&amp; DATE(YEAR(FJ7),MONTH(FJ7)-11,DAY(FJ7)),$E$27:FJ27)</f>
        <v>0</v>
      </c>
      <c r="FK31" s="44">
        <f>SUMIF($E$7:FK7,"&gt;="&amp; DATE(YEAR(FK7),MONTH(FK7)-11,DAY(FK7)),$E$27:FK27)</f>
        <v>0</v>
      </c>
      <c r="FL31" s="44">
        <f>SUMIF($E$7:FL7,"&gt;="&amp; DATE(YEAR(FL7),MONTH(FL7)-11,DAY(FL7)),$E$27:FL27)</f>
        <v>0</v>
      </c>
      <c r="FM31" s="44">
        <f>SUMIF($E$7:FM7,"&gt;="&amp; DATE(YEAR(FM7),MONTH(FM7)-11,DAY(FM7)),$E$27:FM27)</f>
        <v>0</v>
      </c>
      <c r="FN31" s="44">
        <f>SUMIF($E$7:FN7,"&gt;="&amp; DATE(YEAR(FN7),MONTH(FN7)-11,DAY(FN7)),$E$27:FN27)</f>
        <v>0</v>
      </c>
      <c r="FO31" s="44">
        <f>SUMIF($E$7:FO7,"&gt;="&amp; DATE(YEAR(FO7),MONTH(FO7)-11,DAY(FO7)),$E$27:FO27)</f>
        <v>0</v>
      </c>
      <c r="FP31" s="44">
        <f>SUMIF($E$7:FP7,"&gt;="&amp; DATE(YEAR(FP7),MONTH(FP7)-11,DAY(FP7)),$E$27:FP27)</f>
        <v>0</v>
      </c>
      <c r="FQ31" s="44">
        <f>SUMIF($E$7:FQ7,"&gt;="&amp; DATE(YEAR(FQ7),MONTH(FQ7)-11,DAY(FQ7)),$E$27:FQ27)</f>
        <v>0</v>
      </c>
      <c r="FR31" s="44">
        <f>SUMIF($E$7:FR7,"&gt;="&amp; DATE(YEAR(FR7),MONTH(FR7)-11,DAY(FR7)),$E$27:FR27)</f>
        <v>0</v>
      </c>
      <c r="FS31" s="44">
        <f>SUMIF($E$7:FS7,"&gt;="&amp; DATE(YEAR(FS7),MONTH(FS7)-11,DAY(FS7)),$E$27:FS27)</f>
        <v>0</v>
      </c>
      <c r="FT31" s="44">
        <f>SUMIF($E$7:FT7,"&gt;="&amp; DATE(YEAR(FT7),MONTH(FT7)-11,DAY(FT7)),$E$27:FT27)</f>
        <v>0</v>
      </c>
      <c r="FU31" s="44">
        <f>SUMIF($E$7:FU7,"&gt;="&amp; DATE(YEAR(FU7),MONTH(FU7)-11,DAY(FU7)),$E$27:FU27)</f>
        <v>0</v>
      </c>
      <c r="FV31" s="44">
        <f>SUMIF($E$7:FV7,"&gt;="&amp; DATE(YEAR(FV7),MONTH(FV7)-11,DAY(FV7)),$E$27:FV27)</f>
        <v>0</v>
      </c>
      <c r="FW31" s="44">
        <f>SUMIF($E$7:FW7,"&gt;="&amp; DATE(YEAR(FW7),MONTH(FW7)-11,DAY(FW7)),$E$27:FW27)</f>
        <v>0</v>
      </c>
      <c r="FX31" s="44">
        <f>SUMIF($E$7:FX7,"&gt;="&amp; DATE(YEAR(FX7),MONTH(FX7)-11,DAY(FX7)),$E$27:FX27)</f>
        <v>0</v>
      </c>
      <c r="FY31" s="44">
        <f>SUMIF($E$7:FY7,"&gt;="&amp; DATE(YEAR(FY7),MONTH(FY7)-11,DAY(FY7)),$E$27:FY27)</f>
        <v>0</v>
      </c>
      <c r="FZ31" s="44">
        <f>SUMIF($E$7:FZ7,"&gt;="&amp; DATE(YEAR(FZ7),MONTH(FZ7)-11,DAY(FZ7)),$E$27:FZ27)</f>
        <v>0</v>
      </c>
      <c r="GA31" s="44">
        <f>SUMIF($E$7:GA7,"&gt;="&amp; DATE(YEAR(GA7),MONTH(GA7)-11,DAY(GA7)),$E$27:GA27)</f>
        <v>0</v>
      </c>
      <c r="GB31" s="44">
        <f>SUMIF($E$7:GB7,"&gt;="&amp; DATE(YEAR(GB7),MONTH(GB7)-11,DAY(GB7)),$E$27:GB27)</f>
        <v>0</v>
      </c>
      <c r="GC31" s="44">
        <f>SUMIF($E$7:GC7,"&gt;="&amp; DATE(YEAR(GC7),MONTH(GC7)-11,DAY(GC7)),$E$27:GC27)</f>
        <v>0</v>
      </c>
      <c r="GD31" s="44">
        <f>SUMIF($E$7:GD7,"&gt;="&amp; DATE(YEAR(GD7),MONTH(GD7)-11,DAY(GD7)),$E$27:GD27)</f>
        <v>0</v>
      </c>
      <c r="GE31" s="44">
        <f>SUMIF($E$7:GE7,"&gt;="&amp; DATE(YEAR(GE7),MONTH(GE7)-11,DAY(GE7)),$E$27:GE27)</f>
        <v>0</v>
      </c>
      <c r="GF31" s="44">
        <f>SUMIF($E$7:GF7,"&gt;="&amp; DATE(YEAR(GF7),MONTH(GF7)-11,DAY(GF7)),$E$27:GF27)</f>
        <v>0</v>
      </c>
      <c r="GG31" s="44">
        <f>SUMIF($E$7:GG7,"&gt;="&amp; DATE(YEAR(GG7),MONTH(GG7)-11,DAY(GG7)),$E$27:GG27)</f>
        <v>0</v>
      </c>
      <c r="GH31" s="44">
        <f>SUMIF($E$7:GH7,"&gt;="&amp; DATE(YEAR(GH7),MONTH(GH7)-11,DAY(GH7)),$E$27:GH27)</f>
        <v>0</v>
      </c>
      <c r="GI31" s="44">
        <f>SUMIF($E$7:GI7,"&gt;="&amp; DATE(YEAR(GI7),MONTH(GI7)-11,DAY(GI7)),$E$27:GI27)</f>
        <v>0</v>
      </c>
      <c r="GJ31" s="44">
        <f>SUMIF($E$7:GJ7,"&gt;="&amp; DATE(YEAR(GJ7),MONTH(GJ7)-11,DAY(GJ7)),$E$27:GJ27)</f>
        <v>0</v>
      </c>
      <c r="GK31" s="44">
        <f>SUMIF($E$7:GK7,"&gt;="&amp; DATE(YEAR(GK7),MONTH(GK7)-11,DAY(GK7)),$E$27:GK27)</f>
        <v>0</v>
      </c>
      <c r="GL31" s="44">
        <f>SUMIF($E$7:GL7,"&gt;="&amp; DATE(YEAR(GL7),MONTH(GL7)-11,DAY(GL7)),$E$27:GL27)</f>
        <v>0</v>
      </c>
      <c r="GM31" s="44">
        <f>SUMIF($E$7:GM7,"&gt;="&amp; DATE(YEAR(GM7),MONTH(GM7)-11,DAY(GM7)),$E$27:GM27)</f>
        <v>0</v>
      </c>
      <c r="GN31" s="44">
        <f>SUMIF($E$7:GN7,"&gt;="&amp; DATE(YEAR(GN7),MONTH(GN7)-11,DAY(GN7)),$E$27:GN27)</f>
        <v>0</v>
      </c>
      <c r="GO31" s="44">
        <f>SUMIF($E$7:GO7,"&gt;="&amp; DATE(YEAR(GO7),MONTH(GO7)-11,DAY(GO7)),$E$27:GO27)</f>
        <v>0</v>
      </c>
      <c r="GP31" s="44">
        <f>SUMIF($E$7:GP7,"&gt;="&amp; DATE(YEAR(GP7),MONTH(GP7)-11,DAY(GP7)),$E$27:GP27)</f>
        <v>0</v>
      </c>
      <c r="GQ31" s="44">
        <f>SUMIF($E$7:GQ7,"&gt;="&amp; DATE(YEAR(GQ7),MONTH(GQ7)-11,DAY(GQ7)),$E$27:GQ27)</f>
        <v>0</v>
      </c>
      <c r="GR31" s="44">
        <f>SUMIF($E$7:GR7,"&gt;="&amp; DATE(YEAR(GR7),MONTH(GR7)-11,DAY(GR7)),$E$27:GR27)</f>
        <v>0</v>
      </c>
      <c r="GS31" s="44">
        <f>SUMIF($E$7:GS7,"&gt;="&amp; DATE(YEAR(GS7),MONTH(GS7)-11,DAY(GS7)),$E$27:GS27)</f>
        <v>0</v>
      </c>
      <c r="GT31" s="44">
        <f>SUMIF($E$7:GT7,"&gt;="&amp; DATE(YEAR(GT7),MONTH(GT7)-11,DAY(GT7)),$E$27:GT27)</f>
        <v>0</v>
      </c>
      <c r="GU31" s="44">
        <f>SUMIF($E$7:GU7,"&gt;="&amp; DATE(YEAR(GU7),MONTH(GU7)-11,DAY(GU7)),$E$27:GU27)</f>
        <v>0</v>
      </c>
      <c r="GV31" s="44">
        <f>SUMIF($E$7:GV7,"&gt;="&amp; DATE(YEAR(GV7),MONTH(GV7)-11,DAY(GV7)),$E$27:GV27)</f>
        <v>0</v>
      </c>
      <c r="GW31" s="44">
        <f>SUMIF($E$7:GW7,"&gt;="&amp; DATE(YEAR(GW7),MONTH(GW7)-11,DAY(GW7)),$E$27:GW27)</f>
        <v>0</v>
      </c>
      <c r="GX31" s="44">
        <f>SUMIF($E$7:GX7,"&gt;="&amp; DATE(YEAR(GX7),MONTH(GX7)-11,DAY(GX7)),$E$27:GX27)</f>
        <v>0</v>
      </c>
      <c r="GY31" s="44">
        <f>SUMIF($E$7:GY7,"&gt;="&amp; DATE(YEAR(GY7),MONTH(GY7)-11,DAY(GY7)),$E$27:GY27)</f>
        <v>0</v>
      </c>
      <c r="GZ31" s="44">
        <f>SUMIF($E$7:GZ7,"&gt;="&amp; DATE(YEAR(GZ7),MONTH(GZ7)-11,DAY(GZ7)),$E$27:GZ27)</f>
        <v>0</v>
      </c>
      <c r="HA31" s="44">
        <f>SUMIF($E$7:HA7,"&gt;="&amp; DATE(YEAR(HA7),MONTH(HA7)-11,DAY(HA7)),$E$27:HA27)</f>
        <v>0</v>
      </c>
      <c r="HB31" s="44">
        <f>SUMIF($E$7:HB7,"&gt;="&amp; DATE(YEAR(HB7),MONTH(HB7)-11,DAY(HB7)),$E$27:HB27)</f>
        <v>0</v>
      </c>
      <c r="HC31" s="44">
        <f>SUMIF($E$7:HC7,"&gt;="&amp; DATE(YEAR(HC7),MONTH(HC7)-11,DAY(HC7)),$E$27:HC27)</f>
        <v>0</v>
      </c>
      <c r="HD31" s="44">
        <f>SUMIF($E$7:HD7,"&gt;="&amp; DATE(YEAR(HD7),MONTH(HD7)-11,DAY(HD7)),$E$27:HD27)</f>
        <v>0</v>
      </c>
      <c r="HE31" s="44">
        <f>SUMIF($E$7:HE7,"&gt;="&amp; DATE(YEAR(HE7),MONTH(HE7)-11,DAY(HE7)),$E$27:HE27)</f>
        <v>0</v>
      </c>
      <c r="HF31" s="44">
        <f>SUMIF($E$7:HF7,"&gt;="&amp; DATE(YEAR(HF7),MONTH(HF7)-11,DAY(HF7)),$E$27:HF27)</f>
        <v>0</v>
      </c>
      <c r="HG31" s="44">
        <f>SUMIF($E$7:HG7,"&gt;="&amp; DATE(YEAR(HG7),MONTH(HG7)-11,DAY(HG7)),$E$27:HG27)</f>
        <v>0</v>
      </c>
      <c r="HH31" s="44">
        <f>SUMIF($E$7:HH7,"&gt;="&amp; DATE(YEAR(HH7),MONTH(HH7)-11,DAY(HH7)),$E$27:HH27)</f>
        <v>0</v>
      </c>
      <c r="HI31" s="44">
        <f>SUMIF($E$7:HI7,"&gt;="&amp; DATE(YEAR(HI7),MONTH(HI7)-11,DAY(HI7)),$E$27:HI27)</f>
        <v>0</v>
      </c>
      <c r="HJ31" s="44">
        <f>SUMIF($E$7:HJ7,"&gt;="&amp; DATE(YEAR(HJ7),MONTH(HJ7)-11,DAY(HJ7)),$E$27:HJ27)</f>
        <v>0</v>
      </c>
      <c r="HK31" s="44">
        <f>SUMIF($E$7:HK7,"&gt;="&amp; DATE(YEAR(HK7),MONTH(HK7)-11,DAY(HK7)),$E$27:HK27)</f>
        <v>0</v>
      </c>
      <c r="HL31" s="44">
        <f>SUMIF($E$7:HL7,"&gt;="&amp; DATE(YEAR(HL7),MONTH(HL7)-11,DAY(HL7)),$E$27:HL27)</f>
        <v>0</v>
      </c>
      <c r="HM31" s="44">
        <f>SUMIF($E$7:HM7,"&gt;="&amp; DATE(YEAR(HM7),MONTH(HM7)-11,DAY(HM7)),$E$27:HM27)</f>
        <v>0</v>
      </c>
      <c r="HN31" s="44">
        <f>SUMIF($E$7:HN7,"&gt;="&amp; DATE(YEAR(HN7),MONTH(HN7)-11,DAY(HN7)),$E$27:HN27)</f>
        <v>0</v>
      </c>
      <c r="HO31" s="44">
        <f>SUMIF($E$7:HO7,"&gt;="&amp; DATE(YEAR(HO7),MONTH(HO7)-11,DAY(HO7)),$E$27:HO27)</f>
        <v>0</v>
      </c>
      <c r="HP31" s="44">
        <f>SUMIF($E$7:HP7,"&gt;="&amp; DATE(YEAR(HP7),MONTH(HP7)-11,DAY(HP7)),$E$27:HP27)</f>
        <v>0</v>
      </c>
      <c r="HQ31" s="44">
        <f>SUMIF($E$7:HQ7,"&gt;="&amp; DATE(YEAR(HQ7),MONTH(HQ7)-11,DAY(HQ7)),$E$27:HQ27)</f>
        <v>0</v>
      </c>
      <c r="HR31" s="44">
        <f>SUMIF($E$7:HR7,"&gt;="&amp; DATE(YEAR(HR7),MONTH(HR7)-11,DAY(HR7)),$E$27:HR27)</f>
        <v>0</v>
      </c>
      <c r="HS31" s="44">
        <f>SUMIF($E$7:HS7,"&gt;="&amp; DATE(YEAR(HS7),MONTH(HS7)-11,DAY(HS7)),$E$27:HS27)</f>
        <v>0</v>
      </c>
      <c r="HT31" s="44">
        <f>SUMIF($E$7:HT7,"&gt;="&amp; DATE(YEAR(HT7),MONTH(HT7)-11,DAY(HT7)),$E$27:HT27)</f>
        <v>0</v>
      </c>
      <c r="HU31" s="44">
        <f>SUMIF($E$7:HU7,"&gt;="&amp; DATE(YEAR(HU7),MONTH(HU7)-11,DAY(HU7)),$E$27:HU27)</f>
        <v>0</v>
      </c>
      <c r="HV31" s="44">
        <f>SUMIF($E$7:HV7,"&gt;="&amp; DATE(YEAR(HV7),MONTH(HV7)-11,DAY(HV7)),$E$27:HV27)</f>
        <v>0</v>
      </c>
      <c r="HW31" s="44">
        <f>SUMIF($E$7:HW7,"&gt;="&amp; DATE(YEAR(HW7),MONTH(HW7)-11,DAY(HW7)),$E$27:HW27)</f>
        <v>0</v>
      </c>
      <c r="HX31" s="44">
        <f>SUMIF($E$7:HX7,"&gt;="&amp; DATE(YEAR(HX7),MONTH(HX7)-11,DAY(HX7)),$E$27:HX27)</f>
        <v>0</v>
      </c>
      <c r="HY31" s="44">
        <f>SUMIF($E$7:HY7,"&gt;="&amp; DATE(YEAR(HY7),MONTH(HY7)-11,DAY(HY7)),$E$27:HY27)</f>
        <v>0</v>
      </c>
      <c r="HZ31" s="44">
        <f>SUMIF($E$7:HZ7,"&gt;="&amp; DATE(YEAR(HZ7),MONTH(HZ7)-11,DAY(HZ7)),$E$27:HZ27)</f>
        <v>0</v>
      </c>
      <c r="IA31" s="44">
        <f>SUMIF($E$7:IA7,"&gt;="&amp; DATE(YEAR(IA7),MONTH(IA7)-11,DAY(IA7)),$E$27:IA27)</f>
        <v>0</v>
      </c>
      <c r="IB31" s="44">
        <f>SUMIF($E$7:IB7,"&gt;="&amp; DATE(YEAR(IB7),MONTH(IB7)-11,DAY(IB7)),$E$27:IB27)</f>
        <v>0</v>
      </c>
      <c r="IC31" s="44">
        <f>SUMIF($E$7:IC7,"&gt;="&amp; DATE(YEAR(IC7),MONTH(IC7)-11,DAY(IC7)),$E$27:IC27)</f>
        <v>0</v>
      </c>
      <c r="ID31" s="44">
        <f>SUMIF($E$7:ID7,"&gt;="&amp; DATE(YEAR(ID7),MONTH(ID7)-11,DAY(ID7)),$E$27:ID27)</f>
        <v>0</v>
      </c>
      <c r="IE31" s="44">
        <f>SUMIF($E$7:IE7,"&gt;="&amp; DATE(YEAR(IE7),MONTH(IE7)-11,DAY(IE7)),$E$27:IE27)</f>
        <v>0</v>
      </c>
      <c r="IF31" s="44">
        <f>SUMIF($E$7:IF7,"&gt;="&amp; DATE(YEAR(IF7),MONTH(IF7)-11,DAY(IF7)),$E$27:IF27)</f>
        <v>0</v>
      </c>
      <c r="IG31" s="44">
        <f>SUMIF($E$7:IG7,"&gt;="&amp; DATE(YEAR(IG7),MONTH(IG7)-11,DAY(IG7)),$E$27:IG27)</f>
        <v>0</v>
      </c>
      <c r="IH31" s="44">
        <f>SUMIF($E$7:IH7,"&gt;="&amp; DATE(YEAR(IH7),MONTH(IH7)-11,DAY(IH7)),$E$27:IH27)</f>
        <v>0</v>
      </c>
      <c r="II31" s="44">
        <f>SUMIF($E$7:II7,"&gt;="&amp; DATE(YEAR(II7),MONTH(II7)-11,DAY(II7)),$E$27:II27)</f>
        <v>0</v>
      </c>
      <c r="IJ31" s="44">
        <f>SUMIF($E$7:IJ7,"&gt;="&amp; DATE(YEAR(IJ7),MONTH(IJ7)-11,DAY(IJ7)),$E$27:IJ27)</f>
        <v>0</v>
      </c>
      <c r="IK31" s="44">
        <f>SUMIF($E$7:IK7,"&gt;="&amp; DATE(YEAR(IK7),MONTH(IK7)-11,DAY(IK7)),$E$27:IK27)</f>
        <v>0</v>
      </c>
      <c r="IL31" s="44">
        <f>SUMIF($E$7:IL7,"&gt;="&amp; DATE(YEAR(IL7),MONTH(IL7)-11,DAY(IL7)),$E$27:IL27)</f>
        <v>0</v>
      </c>
      <c r="IM31" s="44">
        <f>SUMIF($E$7:IM7,"&gt;="&amp; DATE(YEAR(IM7),MONTH(IM7)-11,DAY(IM7)),$E$27:IM27)</f>
        <v>0</v>
      </c>
      <c r="IN31" s="44">
        <f>SUMIF($E$7:IN7,"&gt;="&amp; DATE(YEAR(IN7),MONTH(IN7)-11,DAY(IN7)),$E$27:IN27)</f>
        <v>0</v>
      </c>
      <c r="IO31" s="44">
        <f>SUMIF($E$7:IO7,"&gt;="&amp; DATE(YEAR(IO7),MONTH(IO7)-11,DAY(IO7)),$E$27:IO27)</f>
        <v>0</v>
      </c>
      <c r="IP31" s="44">
        <f>SUMIF($E$7:IP7,"&gt;="&amp; DATE(YEAR(IP7),MONTH(IP7)-11,DAY(IP7)),$E$27:IP27)</f>
        <v>0</v>
      </c>
      <c r="IQ31" s="44">
        <f>SUMIF($E$7:IQ7,"&gt;="&amp; DATE(YEAR(IQ7),MONTH(IQ7)-11,DAY(IQ7)),$E$27:IQ27)</f>
        <v>0</v>
      </c>
      <c r="IR31" s="44">
        <f>SUMIF($E$7:IR7,"&gt;="&amp; DATE(YEAR(IR7),MONTH(IR7)-11,DAY(IR7)),$E$27:IR27)</f>
        <v>0</v>
      </c>
      <c r="IS31" s="44">
        <f>SUMIF($E$7:IS7,"&gt;="&amp; DATE(YEAR(IS7),MONTH(IS7)-11,DAY(IS7)),$E$27:IS27)</f>
        <v>0</v>
      </c>
      <c r="IT31" s="44">
        <f>SUMIF($E$7:IT7,"&gt;="&amp; DATE(YEAR(IT7),MONTH(IT7)-11,DAY(IT7)),$E$27:IT27)</f>
        <v>0</v>
      </c>
      <c r="IU31" s="44">
        <f>SUMIF($E$7:IU7,"&gt;="&amp; DATE(YEAR(IU7),MONTH(IU7)-11,DAY(IU7)),$E$27:IU27)</f>
        <v>0</v>
      </c>
      <c r="IV31" s="44">
        <f>SUMIF($E$7:IV7,"&gt;="&amp; DATE(YEAR(IV7),MONTH(IV7)-11,DAY(IV7)),$E$27:IV27)</f>
        <v>0</v>
      </c>
      <c r="IW31" s="44">
        <f>SUMIF($E$7:IW7,"&gt;="&amp; DATE(YEAR(IW7),MONTH(IW7)-11,DAY(IW7)),$E$27:IW27)</f>
        <v>0</v>
      </c>
      <c r="IX31" s="44">
        <f>SUMIF($E$7:IX7,"&gt;="&amp; DATE(YEAR(IX7),MONTH(IX7)-11,DAY(IX7)),$E$27:IX27)</f>
        <v>0</v>
      </c>
      <c r="IY31" s="44">
        <f>SUMIF($E$7:IY7,"&gt;="&amp; DATE(YEAR(IY7),MONTH(IY7)-11,DAY(IY7)),$E$27:IY27)</f>
        <v>0</v>
      </c>
      <c r="IZ31" s="44">
        <f>SUMIF($E$7:IZ7,"&gt;="&amp; DATE(YEAR(IZ7),MONTH(IZ7)-11,DAY(IZ7)),$E$27:IZ27)</f>
        <v>0</v>
      </c>
      <c r="JA31" s="44">
        <f>SUMIF($E$7:JA7,"&gt;="&amp; DATE(YEAR(JA7),MONTH(JA7)-11,DAY(JA7)),$E$27:JA27)</f>
        <v>0</v>
      </c>
      <c r="JB31" s="44">
        <f>SUMIF($E$7:JB7,"&gt;="&amp; DATE(YEAR(JB7),MONTH(JB7)-11,DAY(JB7)),$E$27:JB27)</f>
        <v>0</v>
      </c>
      <c r="JC31" s="44">
        <f>SUMIF($E$7:JC7,"&gt;="&amp; DATE(YEAR(JC7),MONTH(JC7)-11,DAY(JC7)),$E$27:JC27)</f>
        <v>0</v>
      </c>
      <c r="JD31" s="44">
        <f>SUMIF($E$7:JD7,"&gt;="&amp; DATE(YEAR(JD7),MONTH(JD7)-11,DAY(JD7)),$E$27:JD27)</f>
        <v>0</v>
      </c>
      <c r="JE31" s="44">
        <f>SUMIF($E$7:JE7,"&gt;="&amp; DATE(YEAR(JE7),MONTH(JE7)-11,DAY(JE7)),$E$27:JE27)</f>
        <v>0</v>
      </c>
      <c r="JF31" s="44">
        <f>SUMIF($E$7:JF7,"&gt;="&amp; DATE(YEAR(JF7),MONTH(JF7)-11,DAY(JF7)),$E$27:JF27)</f>
        <v>0</v>
      </c>
      <c r="JG31" s="44">
        <f>SUMIF($E$7:JG7,"&gt;="&amp; DATE(YEAR(JG7),MONTH(JG7)-11,DAY(JG7)),$E$27:JG27)</f>
        <v>0</v>
      </c>
      <c r="JH31" s="44">
        <f>SUMIF($E$7:JH7,"&gt;="&amp; DATE(YEAR(JH7),MONTH(JH7)-11,DAY(JH7)),$E$27:JH27)</f>
        <v>0</v>
      </c>
      <c r="JI31" s="44">
        <f>SUMIF($E$7:JI7,"&gt;="&amp; DATE(YEAR(JI7),MONTH(JI7)-11,DAY(JI7)),$E$27:JI27)</f>
        <v>0</v>
      </c>
      <c r="JJ31" s="44">
        <f>SUMIF($E$7:JJ7,"&gt;="&amp; DATE(YEAR(JJ7),MONTH(JJ7)-11,DAY(JJ7)),$E$27:JJ27)</f>
        <v>0</v>
      </c>
      <c r="JK31" s="44">
        <f>SUMIF($E$7:JK7,"&gt;="&amp; DATE(YEAR(JK7),MONTH(JK7)-11,DAY(JK7)),$E$27:JK27)</f>
        <v>0</v>
      </c>
      <c r="JL31" s="44">
        <f>SUMIF($E$7:JL7,"&gt;="&amp; DATE(YEAR(JL7),MONTH(JL7)-11,DAY(JL7)),$E$27:JL27)</f>
        <v>0</v>
      </c>
      <c r="JM31" s="44">
        <f>SUMIF($E$7:JM7,"&gt;="&amp; DATE(YEAR(JM7),MONTH(JM7)-11,DAY(JM7)),$E$27:JM27)</f>
        <v>0</v>
      </c>
      <c r="JN31" s="44">
        <f>SUMIF($E$7:JN7,"&gt;="&amp; DATE(YEAR(JN7),MONTH(JN7)-11,DAY(JN7)),$E$27:JN27)</f>
        <v>0</v>
      </c>
      <c r="JO31" s="44">
        <f>SUMIF($E$7:JO7,"&gt;="&amp; DATE(YEAR(JO7),MONTH(JO7)-11,DAY(JO7)),$E$27:JO27)</f>
        <v>0</v>
      </c>
      <c r="JP31" s="44">
        <f>SUMIF($E$7:JP7,"&gt;="&amp; DATE(YEAR(JP7),MONTH(JP7)-11,DAY(JP7)),$E$27:JP27)</f>
        <v>0</v>
      </c>
      <c r="JQ31" s="44">
        <f>SUMIF($E$7:JQ7,"&gt;="&amp; DATE(YEAR(JQ7),MONTH(JQ7)-11,DAY(JQ7)),$E$27:JQ27)</f>
        <v>0</v>
      </c>
      <c r="JR31" s="44">
        <f>SUMIF($E$7:JR7,"&gt;="&amp; DATE(YEAR(JR7),MONTH(JR7)-11,DAY(JR7)),$E$27:JR27)</f>
        <v>0</v>
      </c>
      <c r="JS31" s="44">
        <f>SUMIF($E$7:JS7,"&gt;="&amp; DATE(YEAR(JS7),MONTH(JS7)-11,DAY(JS7)),$E$27:JS27)</f>
        <v>0</v>
      </c>
      <c r="JT31" s="44">
        <f>SUMIF($E$7:JT7,"&gt;="&amp; DATE(YEAR(JT7),MONTH(JT7)-11,DAY(JT7)),$E$27:JT27)</f>
        <v>0</v>
      </c>
      <c r="JU31" s="44">
        <f>SUMIF($E$7:JU7,"&gt;="&amp; DATE(YEAR(JU7),MONTH(JU7)-11,DAY(JU7)),$E$27:JU27)</f>
        <v>0</v>
      </c>
      <c r="JV31" s="44">
        <f>SUMIF($E$7:JV7,"&gt;="&amp; DATE(YEAR(JV7),MONTH(JV7)-11,DAY(JV7)),$E$27:JV27)</f>
        <v>0</v>
      </c>
      <c r="JW31" s="44">
        <f>SUMIF($E$7:JW7,"&gt;="&amp; DATE(YEAR(JW7),MONTH(JW7)-11,DAY(JW7)),$E$27:JW27)</f>
        <v>0</v>
      </c>
      <c r="JX31" s="44">
        <f>SUMIF($E$7:JX7,"&gt;="&amp; DATE(YEAR(JX7),MONTH(JX7)-11,DAY(JX7)),$E$27:JX27)</f>
        <v>0</v>
      </c>
      <c r="JY31" s="44">
        <f>SUMIF($E$7:JY7,"&gt;="&amp; DATE(YEAR(JY7),MONTH(JY7)-11,DAY(JY7)),$E$27:JY27)</f>
        <v>0</v>
      </c>
      <c r="JZ31" s="44">
        <f>SUMIF($E$7:JZ7,"&gt;="&amp; DATE(YEAR(JZ7),MONTH(JZ7)-11,DAY(JZ7)),$E$27:JZ27)</f>
        <v>0</v>
      </c>
      <c r="KA31" s="44">
        <f>SUMIF($E$7:KA7,"&gt;="&amp; DATE(YEAR(KA7),MONTH(KA7)-11,DAY(KA7)),$E$27:KA27)</f>
        <v>0</v>
      </c>
      <c r="KB31" s="44">
        <f>SUMIF($E$7:KB7,"&gt;="&amp; DATE(YEAR(KB7),MONTH(KB7)-11,DAY(KB7)),$E$27:KB27)</f>
        <v>0</v>
      </c>
      <c r="KC31" s="44">
        <f>SUMIF($E$7:KC7,"&gt;="&amp; DATE(YEAR(KC7),MONTH(KC7)-11,DAY(KC7)),$E$27:KC27)</f>
        <v>0</v>
      </c>
      <c r="KD31" s="44">
        <f>SUMIF($E$7:KD7,"&gt;="&amp; DATE(YEAR(KD7),MONTH(KD7)-11,DAY(KD7)),$E$27:KD27)</f>
        <v>0</v>
      </c>
      <c r="KE31" s="44">
        <f>SUMIF($E$7:KE7,"&gt;="&amp; DATE(YEAR(KE7),MONTH(KE7)-11,DAY(KE7)),$E$27:KE27)</f>
        <v>0</v>
      </c>
      <c r="KF31" s="44">
        <f>SUMIF($E$7:KF7,"&gt;="&amp; DATE(YEAR(KF7),MONTH(KF7)-11,DAY(KF7)),$E$27:KF27)</f>
        <v>0</v>
      </c>
      <c r="KG31" s="44">
        <f>SUMIF($E$7:KG7,"&gt;="&amp; DATE(YEAR(KG7),MONTH(KG7)-11,DAY(KG7)),$E$27:KG27)</f>
        <v>0</v>
      </c>
      <c r="KH31" s="44">
        <f>SUMIF($E$7:KH7,"&gt;="&amp; DATE(YEAR(KH7),MONTH(KH7)-11,DAY(KH7)),$E$27:KH27)</f>
        <v>0</v>
      </c>
      <c r="KI31" s="44">
        <f>SUMIF($E$7:KI7,"&gt;="&amp; DATE(YEAR(KI7),MONTH(KI7)-11,DAY(KI7)),$E$27:KI27)</f>
        <v>0</v>
      </c>
      <c r="KJ31" s="44">
        <f>SUMIF($E$7:KJ7,"&gt;="&amp; DATE(YEAR(KJ7),MONTH(KJ7)-11,DAY(KJ7)),$E$27:KJ27)</f>
        <v>0</v>
      </c>
      <c r="KK31" s="44">
        <f>SUMIF($E$7:KK7,"&gt;="&amp; DATE(YEAR(KK7),MONTH(KK7)-11,DAY(KK7)),$E$27:KK27)</f>
        <v>0</v>
      </c>
      <c r="KL31" s="44">
        <f>SUMIF($E$7:KL7,"&gt;="&amp; DATE(YEAR(KL7),MONTH(KL7)-11,DAY(KL7)),$E$27:KL27)</f>
        <v>0</v>
      </c>
      <c r="KM31" s="44">
        <f>SUMIF($E$7:KM7,"&gt;="&amp; DATE(YEAR(KM7),MONTH(KM7)-11,DAY(KM7)),$E$27:KM27)</f>
        <v>0</v>
      </c>
      <c r="KN31" s="44">
        <f>SUMIF($E$7:KN7,"&gt;="&amp; DATE(YEAR(KN7),MONTH(KN7)-11,DAY(KN7)),$E$27:KN27)</f>
        <v>0</v>
      </c>
      <c r="KO31" s="44">
        <f>SUMIF($E$7:KO7,"&gt;="&amp; DATE(YEAR(KO7),MONTH(KO7)-11,DAY(KO7)),$E$27:KO27)</f>
        <v>0</v>
      </c>
      <c r="KP31" s="44">
        <f>SUMIF($E$7:KP7,"&gt;="&amp; DATE(YEAR(KP7),MONTH(KP7)-11,DAY(KP7)),$E$27:KP27)</f>
        <v>0</v>
      </c>
      <c r="KQ31" s="44">
        <f>SUMIF($E$7:KQ7,"&gt;="&amp; DATE(YEAR(KQ7),MONTH(KQ7)-11,DAY(KQ7)),$E$27:KQ27)</f>
        <v>0</v>
      </c>
      <c r="KR31" s="44">
        <f>SUMIF($E$7:KR7,"&gt;="&amp; DATE(YEAR(KR7),MONTH(KR7)-11,DAY(KR7)),$E$27:KR27)</f>
        <v>0</v>
      </c>
      <c r="KS31" s="44">
        <f>SUMIF($E$7:KS7,"&gt;="&amp; DATE(YEAR(KS7),MONTH(KS7)-11,DAY(KS7)),$E$27:KS27)</f>
        <v>0</v>
      </c>
      <c r="KT31" s="44">
        <f>SUMIF($E$7:KT7,"&gt;="&amp; DATE(YEAR(KT7),MONTH(KT7)-11,DAY(KT7)),$E$27:KT27)</f>
        <v>0</v>
      </c>
      <c r="KU31" s="44">
        <f>SUMIF($E$7:KU7,"&gt;="&amp; DATE(YEAR(KU7),MONTH(KU7)-11,DAY(KU7)),$E$27:KU27)</f>
        <v>0</v>
      </c>
      <c r="KV31" s="44">
        <f>SUMIF($E$7:KV7,"&gt;="&amp; DATE(YEAR(KV7),MONTH(KV7)-11,DAY(KV7)),$E$27:KV27)</f>
        <v>0</v>
      </c>
      <c r="KW31" s="44">
        <f>SUMIF($E$7:KW7,"&gt;="&amp; DATE(YEAR(KW7),MONTH(KW7)-11,DAY(KW7)),$E$27:KW27)</f>
        <v>0</v>
      </c>
      <c r="KX31" s="44">
        <f>SUMIF($E$7:KX7,"&gt;="&amp; DATE(YEAR(KX7),MONTH(KX7)-11,DAY(KX7)),$E$27:KX27)</f>
        <v>0</v>
      </c>
      <c r="KY31" s="44">
        <f>SUMIF($E$7:KY7,"&gt;="&amp; DATE(YEAR(KY7),MONTH(KY7)-11,DAY(KY7)),$E$27:KY27)</f>
        <v>0</v>
      </c>
      <c r="KZ31" s="44">
        <f>SUMIF($E$7:KZ7,"&gt;="&amp; DATE(YEAR(KZ7),MONTH(KZ7)-11,DAY(KZ7)),$E$27:KZ27)</f>
        <v>0</v>
      </c>
      <c r="LA31" s="44">
        <f>SUMIF($E$7:LA7,"&gt;="&amp; DATE(YEAR(LA7),MONTH(LA7)-11,DAY(LA7)),$E$27:LA27)</f>
        <v>0</v>
      </c>
      <c r="LB31" s="44">
        <f>SUMIF($E$7:LB7,"&gt;="&amp; DATE(YEAR(LB7),MONTH(LB7)-11,DAY(LB7)),$E$27:LB27)</f>
        <v>0</v>
      </c>
      <c r="LC31" s="44">
        <f>SUMIF($E$7:LC7,"&gt;="&amp; DATE(YEAR(LC7),MONTH(LC7)-11,DAY(LC7)),$E$27:LC27)</f>
        <v>0</v>
      </c>
      <c r="LD31" s="44">
        <f>SUMIF($E$7:LD7,"&gt;="&amp; DATE(YEAR(LD7),MONTH(LD7)-11,DAY(LD7)),$E$27:LD27)</f>
        <v>0</v>
      </c>
      <c r="LE31" s="44">
        <f>SUMIF($E$7:LE7,"&gt;="&amp; DATE(YEAR(LE7),MONTH(LE7)-11,DAY(LE7)),$E$27:LE27)</f>
        <v>0</v>
      </c>
      <c r="LF31" s="44">
        <f>SUMIF($E$7:LF7,"&gt;="&amp; DATE(YEAR(LF7),MONTH(LF7)-11,DAY(LF7)),$E$27:LF27)</f>
        <v>0</v>
      </c>
      <c r="LG31" s="44">
        <f>SUMIF($E$7:LG7,"&gt;="&amp; DATE(YEAR(LG7),MONTH(LG7)-11,DAY(LG7)),$E$27:LG27)</f>
        <v>0</v>
      </c>
      <c r="LH31" s="44">
        <f>SUMIF($E$7:LH7,"&gt;="&amp; DATE(YEAR(LH7),MONTH(LH7)-11,DAY(LH7)),$E$27:LH27)</f>
        <v>0</v>
      </c>
      <c r="LI31" s="44">
        <f>SUMIF($E$7:LI7,"&gt;="&amp; DATE(YEAR(LI7),MONTH(LI7)-11,DAY(LI7)),$E$27:LI27)</f>
        <v>0</v>
      </c>
      <c r="LJ31" s="44">
        <f>SUMIF($E$7:LJ7,"&gt;="&amp; DATE(YEAR(LJ7),MONTH(LJ7)-11,DAY(LJ7)),$E$27:LJ27)</f>
        <v>0</v>
      </c>
      <c r="LK31" s="44">
        <f>SUMIF($E$7:LK7,"&gt;="&amp; DATE(YEAR(LK7),MONTH(LK7)-11,DAY(LK7)),$E$27:LK27)</f>
        <v>0</v>
      </c>
      <c r="LL31" s="44">
        <f>SUMIF($E$7:LL7,"&gt;="&amp; DATE(YEAR(LL7),MONTH(LL7)-11,DAY(LL7)),$E$27:LL27)</f>
        <v>0</v>
      </c>
      <c r="LM31" s="44">
        <f>SUMIF($E$7:LM7,"&gt;="&amp; DATE(YEAR(LM7),MONTH(LM7)-11,DAY(LM7)),$E$27:LM27)</f>
        <v>0</v>
      </c>
      <c r="LN31" s="44">
        <f>SUMIF($E$7:LN7,"&gt;="&amp; DATE(YEAR(LN7),MONTH(LN7)-11,DAY(LN7)),$E$27:LN27)</f>
        <v>0</v>
      </c>
      <c r="LO31" s="44">
        <f>SUMIF($E$7:LO7,"&gt;="&amp; DATE(YEAR(LO7),MONTH(LO7)-11,DAY(LO7)),$E$27:LO27)</f>
        <v>0</v>
      </c>
      <c r="LP31" s="44">
        <f>SUMIF($E$7:LP7,"&gt;="&amp; DATE(YEAR(LP7),MONTH(LP7)-11,DAY(LP7)),$E$27:LP27)</f>
        <v>0</v>
      </c>
      <c r="LQ31" s="44">
        <f>SUMIF($E$7:LQ7,"&gt;="&amp; DATE(YEAR(LQ7),MONTH(LQ7)-11,DAY(LQ7)),$E$27:LQ27)</f>
        <v>0</v>
      </c>
      <c r="LR31" s="44">
        <f>SUMIF($E$7:LR7,"&gt;="&amp; DATE(YEAR(LR7),MONTH(LR7)-11,DAY(LR7)),$E$27:LR27)</f>
        <v>0</v>
      </c>
      <c r="LS31" s="44">
        <f>SUMIF($E$7:LS7,"&gt;="&amp; DATE(YEAR(LS7),MONTH(LS7)-11,DAY(LS7)),$E$27:LS27)</f>
        <v>0</v>
      </c>
      <c r="LT31" s="44">
        <f>SUMIF($E$7:LT7,"&gt;="&amp; DATE(YEAR(LT7),MONTH(LT7)-11,DAY(LT7)),$E$27:LT27)</f>
        <v>0</v>
      </c>
      <c r="LU31" s="44">
        <f>SUMIF($E$7:LU7,"&gt;="&amp; DATE(YEAR(LU7),MONTH(LU7)-11,DAY(LU7)),$E$27:LU27)</f>
        <v>0</v>
      </c>
      <c r="LV31" s="44">
        <f>SUMIF($E$7:LV7,"&gt;="&amp; DATE(YEAR(LV7),MONTH(LV7)-11,DAY(LV7)),$E$27:LV27)</f>
        <v>0</v>
      </c>
      <c r="LW31" s="44">
        <f>SUMIF($E$7:LW7,"&gt;="&amp; DATE(YEAR(LW7),MONTH(LW7)-11,DAY(LW7)),$E$27:LW27)</f>
        <v>0</v>
      </c>
      <c r="LX31" s="44">
        <f>SUMIF($E$7:LX7,"&gt;="&amp; DATE(YEAR(LX7),MONTH(LX7)-11,DAY(LX7)),$E$27:LX27)</f>
        <v>0</v>
      </c>
      <c r="LY31" s="44">
        <f>SUMIF($E$7:LY7,"&gt;="&amp; DATE(YEAR(LY7),MONTH(LY7)-11,DAY(LY7)),$E$27:LY27)</f>
        <v>0</v>
      </c>
      <c r="MA31" s="6"/>
    </row>
    <row r="32" spans="2:339">
      <c r="B32" s="151"/>
      <c r="C32" s="51" t="s">
        <v>50</v>
      </c>
      <c r="E32" s="1" t="str">
        <f>IFERROR(((E31/E13)*200000*E4),"-")</f>
        <v>-</v>
      </c>
      <c r="F32" s="1" t="str">
        <f t="shared" ref="F32:Q32" si="1205">IFERROR(((F31/F13)*200000*F4),"-")</f>
        <v>-</v>
      </c>
      <c r="G32" s="1" t="str">
        <f t="shared" si="1205"/>
        <v>-</v>
      </c>
      <c r="H32" s="1" t="str">
        <f t="shared" si="1205"/>
        <v>-</v>
      </c>
      <c r="I32" s="1" t="str">
        <f t="shared" si="1205"/>
        <v>-</v>
      </c>
      <c r="J32" s="1" t="str">
        <f t="shared" si="1205"/>
        <v>-</v>
      </c>
      <c r="K32" s="1" t="str">
        <f t="shared" si="1205"/>
        <v>-</v>
      </c>
      <c r="L32" s="1" t="str">
        <f t="shared" si="1205"/>
        <v>-</v>
      </c>
      <c r="M32" s="1" t="str">
        <f t="shared" si="1205"/>
        <v>-</v>
      </c>
      <c r="N32" s="1" t="str">
        <f t="shared" si="1205"/>
        <v>-</v>
      </c>
      <c r="O32" s="1" t="str">
        <f t="shared" si="1205"/>
        <v>-</v>
      </c>
      <c r="P32" s="1" t="str">
        <f t="shared" si="1205"/>
        <v>-</v>
      </c>
      <c r="Q32" s="1" t="str">
        <f t="shared" si="1205"/>
        <v>-</v>
      </c>
      <c r="R32" s="1" t="str">
        <f t="shared" ref="R32" si="1206">IFERROR(((R31/R13)*200000*R4),"-")</f>
        <v>-</v>
      </c>
      <c r="S32" s="1" t="str">
        <f t="shared" ref="S32" si="1207">IFERROR(((S31/S13)*200000*S4),"-")</f>
        <v>-</v>
      </c>
      <c r="T32" s="1" t="str">
        <f t="shared" ref="T32" si="1208">IFERROR(((T31/T13)*200000*T4),"-")</f>
        <v>-</v>
      </c>
      <c r="U32" s="1" t="str">
        <f t="shared" ref="U32" si="1209">IFERROR(((U31/U13)*200000*U4),"-")</f>
        <v>-</v>
      </c>
      <c r="V32" s="1" t="str">
        <f t="shared" ref="V32" si="1210">IFERROR(((V31/V13)*200000*V4),"-")</f>
        <v>-</v>
      </c>
      <c r="W32" s="1" t="str">
        <f t="shared" ref="W32" si="1211">IFERROR(((W31/W13)*200000*W4),"-")</f>
        <v>-</v>
      </c>
      <c r="X32" s="1" t="str">
        <f t="shared" ref="X32" si="1212">IFERROR(((X31/X13)*200000*X4),"-")</f>
        <v>-</v>
      </c>
      <c r="Y32" s="1" t="str">
        <f t="shared" ref="Y32" si="1213">IFERROR(((Y31/Y13)*200000*Y4),"-")</f>
        <v>-</v>
      </c>
      <c r="Z32" s="1" t="str">
        <f t="shared" ref="Z32" si="1214">IFERROR(((Z31/Z13)*200000*Z4),"-")</f>
        <v>-</v>
      </c>
      <c r="AA32" s="1" t="str">
        <f t="shared" ref="AA32" si="1215">IFERROR(((AA31/AA13)*200000*AA4),"-")</f>
        <v>-</v>
      </c>
      <c r="AB32" s="1" t="str">
        <f t="shared" ref="AB32" si="1216">IFERROR(((AB31/AB13)*200000*AB4),"-")</f>
        <v>-</v>
      </c>
      <c r="AC32" s="1" t="str">
        <f t="shared" ref="AC32" si="1217">IFERROR(((AC31/AC13)*200000*AC4),"-")</f>
        <v>-</v>
      </c>
      <c r="AD32" s="1" t="str">
        <f t="shared" ref="AD32" si="1218">IFERROR(((AD31/AD13)*200000*AD4),"-")</f>
        <v>-</v>
      </c>
      <c r="AE32" s="1" t="str">
        <f t="shared" ref="AE32" si="1219">IFERROR(((AE31/AE13)*200000*AE4),"-")</f>
        <v>-</v>
      </c>
      <c r="AF32" s="1" t="str">
        <f t="shared" ref="AF32" si="1220">IFERROR(((AF31/AF13)*200000*AF4),"-")</f>
        <v>-</v>
      </c>
      <c r="AG32" s="1" t="str">
        <f t="shared" ref="AG32" si="1221">IFERROR(((AG31/AG13)*200000*AG4),"-")</f>
        <v>-</v>
      </c>
      <c r="AH32" s="1" t="str">
        <f t="shared" ref="AH32" si="1222">IFERROR(((AH31/AH13)*200000*AH4),"-")</f>
        <v>-</v>
      </c>
      <c r="AI32" s="1" t="str">
        <f t="shared" ref="AI32" si="1223">IFERROR(((AI31/AI13)*200000*AI4),"-")</f>
        <v>-</v>
      </c>
      <c r="AJ32" s="1" t="str">
        <f t="shared" ref="AJ32" si="1224">IFERROR(((AJ31/AJ13)*200000*AJ4),"-")</f>
        <v>-</v>
      </c>
      <c r="AK32" s="1" t="str">
        <f t="shared" ref="AK32" si="1225">IFERROR(((AK31/AK13)*200000*AK4),"-")</f>
        <v>-</v>
      </c>
      <c r="AL32" s="1" t="str">
        <f t="shared" ref="AL32" si="1226">IFERROR(((AL31/AL13)*200000*AL4),"-")</f>
        <v>-</v>
      </c>
      <c r="AM32" s="1" t="str">
        <f t="shared" ref="AM32" si="1227">IFERROR(((AM31/AM13)*200000*AM4),"-")</f>
        <v>-</v>
      </c>
      <c r="AN32" s="1" t="str">
        <f t="shared" ref="AN32" si="1228">IFERROR(((AN31/AN13)*200000*AN4),"-")</f>
        <v>-</v>
      </c>
      <c r="AO32" s="1" t="str">
        <f t="shared" ref="AO32" si="1229">IFERROR(((AO31/AO13)*200000*AO4),"-")</f>
        <v>-</v>
      </c>
      <c r="AP32" s="1" t="str">
        <f t="shared" ref="AP32" si="1230">IFERROR(((AP31/AP13)*200000*AP4),"-")</f>
        <v>-</v>
      </c>
      <c r="AQ32" s="1" t="str">
        <f t="shared" ref="AQ32" si="1231">IFERROR(((AQ31/AQ13)*200000*AQ4),"-")</f>
        <v>-</v>
      </c>
      <c r="AR32" s="1" t="str">
        <f t="shared" ref="AR32" si="1232">IFERROR(((AR31/AR13)*200000*AR4),"-")</f>
        <v>-</v>
      </c>
      <c r="AS32" s="1" t="str">
        <f t="shared" ref="AS32" si="1233">IFERROR(((AS31/AS13)*200000*AS4),"-")</f>
        <v>-</v>
      </c>
      <c r="AT32" s="1" t="str">
        <f t="shared" ref="AT32" si="1234">IFERROR(((AT31/AT13)*200000*AT4),"-")</f>
        <v>-</v>
      </c>
      <c r="AU32" s="1" t="str">
        <f t="shared" ref="AU32" si="1235">IFERROR(((AU31/AU13)*200000*AU4),"-")</f>
        <v>-</v>
      </c>
      <c r="AV32" s="1" t="str">
        <f t="shared" ref="AV32" si="1236">IFERROR(((AV31/AV13)*200000*AV4),"-")</f>
        <v>-</v>
      </c>
      <c r="AW32" s="1" t="str">
        <f t="shared" ref="AW32" si="1237">IFERROR(((AW31/AW13)*200000*AW4),"-")</f>
        <v>-</v>
      </c>
      <c r="AX32" s="1" t="str">
        <f t="shared" ref="AX32" si="1238">IFERROR(((AX31/AX13)*200000*AX4),"-")</f>
        <v>-</v>
      </c>
      <c r="AY32" s="1" t="str">
        <f t="shared" ref="AY32" si="1239">IFERROR(((AY31/AY13)*200000*AY4),"-")</f>
        <v>-</v>
      </c>
      <c r="AZ32" s="1" t="str">
        <f t="shared" ref="AZ32" si="1240">IFERROR(((AZ31/AZ13)*200000*AZ4),"-")</f>
        <v>-</v>
      </c>
      <c r="BA32" s="1" t="str">
        <f t="shared" ref="BA32" si="1241">IFERROR(((BA31/BA13)*200000*BA4),"-")</f>
        <v>-</v>
      </c>
      <c r="BB32" s="1" t="str">
        <f t="shared" ref="BB32" si="1242">IFERROR(((BB31/BB13)*200000*BB4),"-")</f>
        <v>-</v>
      </c>
      <c r="BC32" s="1" t="str">
        <f t="shared" ref="BC32" si="1243">IFERROR(((BC31/BC13)*200000*BC4),"-")</f>
        <v>-</v>
      </c>
      <c r="BD32" s="1" t="str">
        <f t="shared" ref="BD32" si="1244">IFERROR(((BD31/BD13)*200000*BD4),"-")</f>
        <v>-</v>
      </c>
      <c r="BE32" s="1" t="str">
        <f t="shared" ref="BE32" si="1245">IFERROR(((BE31/BE13)*200000*BE4),"-")</f>
        <v>-</v>
      </c>
      <c r="BF32" s="1" t="str">
        <f t="shared" ref="BF32" si="1246">IFERROR(((BF31/BF13)*200000*BF4),"-")</f>
        <v>-</v>
      </c>
      <c r="BG32" s="1" t="str">
        <f t="shared" ref="BG32" si="1247">IFERROR(((BG31/BG13)*200000*BG4),"-")</f>
        <v>-</v>
      </c>
      <c r="BH32" s="1" t="str">
        <f t="shared" ref="BH32" si="1248">IFERROR(((BH31/BH13)*200000*BH4),"-")</f>
        <v>-</v>
      </c>
      <c r="BI32" s="1" t="str">
        <f t="shared" ref="BI32" si="1249">IFERROR(((BI31/BI13)*200000*BI4),"-")</f>
        <v>-</v>
      </c>
      <c r="BJ32" s="1" t="str">
        <f t="shared" ref="BJ32" si="1250">IFERROR(((BJ31/BJ13)*200000*BJ4),"-")</f>
        <v>-</v>
      </c>
      <c r="BK32" s="1" t="str">
        <f t="shared" ref="BK32" si="1251">IFERROR(((BK31/BK13)*200000*BK4),"-")</f>
        <v>-</v>
      </c>
      <c r="BL32" s="1" t="str">
        <f t="shared" ref="BL32" si="1252">IFERROR(((BL31/BL13)*200000*BL4),"-")</f>
        <v>-</v>
      </c>
      <c r="BM32" s="1" t="str">
        <f t="shared" ref="BM32" si="1253">IFERROR(((BM31/BM13)*200000*BM4),"-")</f>
        <v>-</v>
      </c>
      <c r="BN32" s="1" t="str">
        <f t="shared" ref="BN32" si="1254">IFERROR(((BN31/BN13)*200000*BN4),"-")</f>
        <v>-</v>
      </c>
      <c r="BO32" s="1" t="str">
        <f t="shared" ref="BO32" si="1255">IFERROR(((BO31/BO13)*200000*BO4),"-")</f>
        <v>-</v>
      </c>
      <c r="BP32" s="1" t="str">
        <f t="shared" ref="BP32" si="1256">IFERROR(((BP31/BP13)*200000*BP4),"-")</f>
        <v>-</v>
      </c>
      <c r="BQ32" s="1" t="str">
        <f t="shared" ref="BQ32" si="1257">IFERROR(((BQ31/BQ13)*200000*BQ4),"-")</f>
        <v>-</v>
      </c>
      <c r="BR32" s="1" t="str">
        <f t="shared" ref="BR32" si="1258">IFERROR(((BR31/BR13)*200000*BR4),"-")</f>
        <v>-</v>
      </c>
      <c r="BS32" s="1" t="str">
        <f t="shared" ref="BS32" si="1259">IFERROR(((BS31/BS13)*200000*BS4),"-")</f>
        <v>-</v>
      </c>
      <c r="BT32" s="1" t="str">
        <f t="shared" ref="BT32" si="1260">IFERROR(((BT31/BT13)*200000*BT4),"-")</f>
        <v>-</v>
      </c>
      <c r="BU32" s="1" t="str">
        <f t="shared" ref="BU32" si="1261">IFERROR(((BU31/BU13)*200000*BU4),"-")</f>
        <v>-</v>
      </c>
      <c r="BV32" s="1" t="str">
        <f t="shared" ref="BV32" si="1262">IFERROR(((BV31/BV13)*200000*BV4),"-")</f>
        <v>-</v>
      </c>
      <c r="BW32" s="1" t="str">
        <f t="shared" ref="BW32" si="1263">IFERROR(((BW31/BW13)*200000*BW4),"-")</f>
        <v>-</v>
      </c>
      <c r="BX32" s="1" t="str">
        <f t="shared" ref="BX32" si="1264">IFERROR(((BX31/BX13)*200000*BX4),"-")</f>
        <v>-</v>
      </c>
      <c r="BY32" s="1" t="str">
        <f t="shared" ref="BY32" si="1265">IFERROR(((BY31/BY13)*200000*BY4),"-")</f>
        <v>-</v>
      </c>
      <c r="BZ32" s="1" t="str">
        <f t="shared" ref="BZ32" si="1266">IFERROR(((BZ31/BZ13)*200000*BZ4),"-")</f>
        <v>-</v>
      </c>
      <c r="CA32" s="1" t="str">
        <f t="shared" ref="CA32" si="1267">IFERROR(((CA31/CA13)*200000*CA4),"-")</f>
        <v>-</v>
      </c>
      <c r="CB32" s="1" t="str">
        <f t="shared" ref="CB32" si="1268">IFERROR(((CB31/CB13)*200000*CB4),"-")</f>
        <v>-</v>
      </c>
      <c r="CC32" s="1" t="str">
        <f t="shared" ref="CC32" si="1269">IFERROR(((CC31/CC13)*200000*CC4),"-")</f>
        <v>-</v>
      </c>
      <c r="CD32" s="1" t="str">
        <f t="shared" ref="CD32" si="1270">IFERROR(((CD31/CD13)*200000*CD4),"-")</f>
        <v>-</v>
      </c>
      <c r="CE32" s="1" t="str">
        <f t="shared" ref="CE32" si="1271">IFERROR(((CE31/CE13)*200000*CE4),"-")</f>
        <v>-</v>
      </c>
      <c r="CF32" s="1" t="str">
        <f t="shared" ref="CF32" si="1272">IFERROR(((CF31/CF13)*200000*CF4),"-")</f>
        <v>-</v>
      </c>
      <c r="CG32" s="1" t="str">
        <f t="shared" ref="CG32" si="1273">IFERROR(((CG31/CG13)*200000*CG4),"-")</f>
        <v>-</v>
      </c>
      <c r="CH32" s="1" t="str">
        <f t="shared" ref="CH32" si="1274">IFERROR(((CH31/CH13)*200000*CH4),"-")</f>
        <v>-</v>
      </c>
      <c r="CI32" s="1" t="str">
        <f t="shared" ref="CI32" si="1275">IFERROR(((CI31/CI13)*200000*CI4),"-")</f>
        <v>-</v>
      </c>
      <c r="CJ32" s="1" t="str">
        <f t="shared" ref="CJ32" si="1276">IFERROR(((CJ31/CJ13)*200000*CJ4),"-")</f>
        <v>-</v>
      </c>
      <c r="CK32" s="1" t="str">
        <f t="shared" ref="CK32" si="1277">IFERROR(((CK31/CK13)*200000*CK4),"-")</f>
        <v>-</v>
      </c>
      <c r="CL32" s="1" t="str">
        <f t="shared" ref="CL32" si="1278">IFERROR(((CL31/CL13)*200000*CL4),"-")</f>
        <v>-</v>
      </c>
      <c r="CM32" s="1" t="str">
        <f t="shared" ref="CM32" si="1279">IFERROR(((CM31/CM13)*200000*CM4),"-")</f>
        <v>-</v>
      </c>
      <c r="CN32" s="1" t="str">
        <f t="shared" ref="CN32" si="1280">IFERROR(((CN31/CN13)*200000*CN4),"-")</f>
        <v>-</v>
      </c>
      <c r="CO32" s="1" t="str">
        <f t="shared" ref="CO32" si="1281">IFERROR(((CO31/CO13)*200000*CO4),"-")</f>
        <v>-</v>
      </c>
      <c r="CP32" s="1" t="str">
        <f t="shared" ref="CP32" si="1282">IFERROR(((CP31/CP13)*200000*CP4),"-")</f>
        <v>-</v>
      </c>
      <c r="CQ32" s="1" t="str">
        <f t="shared" ref="CQ32" si="1283">IFERROR(((CQ31/CQ13)*200000*CQ4),"-")</f>
        <v>-</v>
      </c>
      <c r="CR32" s="1" t="str">
        <f t="shared" ref="CR32" si="1284">IFERROR(((CR31/CR13)*200000*CR4),"-")</f>
        <v>-</v>
      </c>
      <c r="CS32" s="1" t="str">
        <f t="shared" ref="CS32" si="1285">IFERROR(((CS31/CS13)*200000*CS4),"-")</f>
        <v>-</v>
      </c>
      <c r="CT32" s="1" t="str">
        <f t="shared" ref="CT32" si="1286">IFERROR(((CT31/CT13)*200000*CT4),"-")</f>
        <v>-</v>
      </c>
      <c r="CU32" s="1" t="str">
        <f t="shared" ref="CU32" si="1287">IFERROR(((CU31/CU13)*200000*CU4),"-")</f>
        <v>-</v>
      </c>
      <c r="CV32" s="1" t="str">
        <f t="shared" ref="CV32" si="1288">IFERROR(((CV31/CV13)*200000*CV4),"-")</f>
        <v>-</v>
      </c>
      <c r="CW32" s="1" t="str">
        <f t="shared" ref="CW32" si="1289">IFERROR(((CW31/CW13)*200000*CW4),"-")</f>
        <v>-</v>
      </c>
      <c r="CX32" s="1" t="str">
        <f t="shared" ref="CX32" si="1290">IFERROR(((CX31/CX13)*200000*CX4),"-")</f>
        <v>-</v>
      </c>
      <c r="CY32" s="1" t="str">
        <f t="shared" ref="CY32" si="1291">IFERROR(((CY31/CY13)*200000*CY4),"-")</f>
        <v>-</v>
      </c>
      <c r="CZ32" s="1" t="str">
        <f t="shared" ref="CZ32" si="1292">IFERROR(((CZ31/CZ13)*200000*CZ4),"-")</f>
        <v>-</v>
      </c>
      <c r="DA32" s="1" t="str">
        <f t="shared" ref="DA32" si="1293">IFERROR(((DA31/DA13)*200000*DA4),"-")</f>
        <v>-</v>
      </c>
      <c r="DB32" s="1" t="str">
        <f t="shared" ref="DB32" si="1294">IFERROR(((DB31/DB13)*200000*DB4),"-")</f>
        <v>-</v>
      </c>
      <c r="DC32" s="1" t="str">
        <f t="shared" ref="DC32" si="1295">IFERROR(((DC31/DC13)*200000*DC4),"-")</f>
        <v>-</v>
      </c>
      <c r="DD32" s="1" t="str">
        <f t="shared" ref="DD32" si="1296">IFERROR(((DD31/DD13)*200000*DD4),"-")</f>
        <v>-</v>
      </c>
      <c r="DE32" s="1" t="str">
        <f t="shared" ref="DE32" si="1297">IFERROR(((DE31/DE13)*200000*DE4),"-")</f>
        <v>-</v>
      </c>
      <c r="DF32" s="1" t="str">
        <f t="shared" ref="DF32" si="1298">IFERROR(((DF31/DF13)*200000*DF4),"-")</f>
        <v>-</v>
      </c>
      <c r="DG32" s="1" t="str">
        <f t="shared" ref="DG32" si="1299">IFERROR(((DG31/DG13)*200000*DG4),"-")</f>
        <v>-</v>
      </c>
      <c r="DH32" s="1" t="str">
        <f t="shared" ref="DH32" si="1300">IFERROR(((DH31/DH13)*200000*DH4),"-")</f>
        <v>-</v>
      </c>
      <c r="DI32" s="1" t="str">
        <f t="shared" ref="DI32" si="1301">IFERROR(((DI31/DI13)*200000*DI4),"-")</f>
        <v>-</v>
      </c>
      <c r="DJ32" s="1" t="str">
        <f t="shared" ref="DJ32" si="1302">IFERROR(((DJ31/DJ13)*200000*DJ4),"-")</f>
        <v>-</v>
      </c>
      <c r="DK32" s="1" t="str">
        <f t="shared" ref="DK32" si="1303">IFERROR(((DK31/DK13)*200000*DK4),"-")</f>
        <v>-</v>
      </c>
      <c r="DL32" s="1" t="str">
        <f t="shared" ref="DL32" si="1304">IFERROR(((DL31/DL13)*200000*DL4),"-")</f>
        <v>-</v>
      </c>
      <c r="DM32" s="1" t="str">
        <f t="shared" ref="DM32" si="1305">IFERROR(((DM31/DM13)*200000*DM4),"-")</f>
        <v>-</v>
      </c>
      <c r="DN32" s="1" t="str">
        <f t="shared" ref="DN32" si="1306">IFERROR(((DN31/DN13)*200000*DN4),"-")</f>
        <v>-</v>
      </c>
      <c r="DO32" s="1" t="str">
        <f t="shared" ref="DO32" si="1307">IFERROR(((DO31/DO13)*200000*DO4),"-")</f>
        <v>-</v>
      </c>
      <c r="DP32" s="1" t="str">
        <f t="shared" ref="DP32" si="1308">IFERROR(((DP31/DP13)*200000*DP4),"-")</f>
        <v>-</v>
      </c>
      <c r="DQ32" s="1" t="str">
        <f t="shared" ref="DQ32" si="1309">IFERROR(((DQ31/DQ13)*200000*DQ4),"-")</f>
        <v>-</v>
      </c>
      <c r="DR32" s="1" t="str">
        <f t="shared" ref="DR32" si="1310">IFERROR(((DR31/DR13)*200000*DR4),"-")</f>
        <v>-</v>
      </c>
      <c r="DS32" s="1" t="str">
        <f t="shared" ref="DS32" si="1311">IFERROR(((DS31/DS13)*200000*DS4),"-")</f>
        <v>-</v>
      </c>
      <c r="DT32" s="1" t="str">
        <f t="shared" ref="DT32" si="1312">IFERROR(((DT31/DT13)*200000*DT4),"-")</f>
        <v>-</v>
      </c>
      <c r="DU32" s="1" t="str">
        <f t="shared" ref="DU32" si="1313">IFERROR(((DU31/DU13)*200000*DU4),"-")</f>
        <v>-</v>
      </c>
      <c r="DV32" s="1" t="str">
        <f t="shared" ref="DV32" si="1314">IFERROR(((DV31/DV13)*200000*DV4),"-")</f>
        <v>-</v>
      </c>
      <c r="DW32" s="1" t="str">
        <f t="shared" ref="DW32" si="1315">IFERROR(((DW31/DW13)*200000*DW4),"-")</f>
        <v>-</v>
      </c>
      <c r="DX32" s="1" t="str">
        <f t="shared" ref="DX32" si="1316">IFERROR(((DX31/DX13)*200000*DX4),"-")</f>
        <v>-</v>
      </c>
      <c r="DY32" s="1" t="str">
        <f t="shared" ref="DY32" si="1317">IFERROR(((DY31/DY13)*200000*DY4),"-")</f>
        <v>-</v>
      </c>
      <c r="DZ32" s="1" t="str">
        <f t="shared" ref="DZ32" si="1318">IFERROR(((DZ31/DZ13)*200000*DZ4),"-")</f>
        <v>-</v>
      </c>
      <c r="EA32" s="1" t="str">
        <f t="shared" ref="EA32" si="1319">IFERROR(((EA31/EA13)*200000*EA4),"-")</f>
        <v>-</v>
      </c>
      <c r="EB32" s="1" t="str">
        <f t="shared" ref="EB32" si="1320">IFERROR(((EB31/EB13)*200000*EB4),"-")</f>
        <v>-</v>
      </c>
      <c r="EC32" s="1" t="str">
        <f t="shared" ref="EC32" si="1321">IFERROR(((EC31/EC13)*200000*EC4),"-")</f>
        <v>-</v>
      </c>
      <c r="ED32" s="1" t="str">
        <f t="shared" ref="ED32" si="1322">IFERROR(((ED31/ED13)*200000*ED4),"-")</f>
        <v>-</v>
      </c>
      <c r="EE32" s="1" t="str">
        <f t="shared" ref="EE32" si="1323">IFERROR(((EE31/EE13)*200000*EE4),"-")</f>
        <v>-</v>
      </c>
      <c r="EF32" s="1" t="str">
        <f t="shared" ref="EF32" si="1324">IFERROR(((EF31/EF13)*200000*EF4),"-")</f>
        <v>-</v>
      </c>
      <c r="EG32" s="1" t="str">
        <f t="shared" ref="EG32" si="1325">IFERROR(((EG31/EG13)*200000*EG4),"-")</f>
        <v>-</v>
      </c>
      <c r="EH32" s="1" t="str">
        <f t="shared" ref="EH32" si="1326">IFERROR(((EH31/EH13)*200000*EH4),"-")</f>
        <v>-</v>
      </c>
      <c r="EI32" s="1" t="str">
        <f t="shared" ref="EI32" si="1327">IFERROR(((EI31/EI13)*200000*EI4),"-")</f>
        <v>-</v>
      </c>
      <c r="EJ32" s="1" t="str">
        <f t="shared" ref="EJ32" si="1328">IFERROR(((EJ31/EJ13)*200000*EJ4),"-")</f>
        <v>-</v>
      </c>
      <c r="EK32" s="1" t="str">
        <f t="shared" ref="EK32" si="1329">IFERROR(((EK31/EK13)*200000*EK4),"-")</f>
        <v>-</v>
      </c>
      <c r="EL32" s="1" t="str">
        <f t="shared" ref="EL32" si="1330">IFERROR(((EL31/EL13)*200000*EL4),"-")</f>
        <v>-</v>
      </c>
      <c r="EM32" s="1" t="str">
        <f t="shared" ref="EM32" si="1331">IFERROR(((EM31/EM13)*200000*EM4),"-")</f>
        <v>-</v>
      </c>
      <c r="EN32" s="1" t="str">
        <f t="shared" ref="EN32" si="1332">IFERROR(((EN31/EN13)*200000*EN4),"-")</f>
        <v>-</v>
      </c>
      <c r="EO32" s="1" t="str">
        <f t="shared" ref="EO32" si="1333">IFERROR(((EO31/EO13)*200000*EO4),"-")</f>
        <v>-</v>
      </c>
      <c r="EP32" s="1" t="str">
        <f t="shared" ref="EP32" si="1334">IFERROR(((EP31/EP13)*200000*EP4),"-")</f>
        <v>-</v>
      </c>
      <c r="EQ32" s="1" t="str">
        <f t="shared" ref="EQ32" si="1335">IFERROR(((EQ31/EQ13)*200000*EQ4),"-")</f>
        <v>-</v>
      </c>
      <c r="ER32" s="1" t="str">
        <f t="shared" ref="ER32" si="1336">IFERROR(((ER31/ER13)*200000*ER4),"-")</f>
        <v>-</v>
      </c>
      <c r="ES32" s="1" t="str">
        <f t="shared" ref="ES32" si="1337">IFERROR(((ES31/ES13)*200000*ES4),"-")</f>
        <v>-</v>
      </c>
      <c r="ET32" s="1" t="str">
        <f t="shared" ref="ET32" si="1338">IFERROR(((ET31/ET13)*200000*ET4),"-")</f>
        <v>-</v>
      </c>
      <c r="EU32" s="1" t="str">
        <f t="shared" ref="EU32" si="1339">IFERROR(((EU31/EU13)*200000*EU4),"-")</f>
        <v>-</v>
      </c>
      <c r="EV32" s="1" t="str">
        <f t="shared" ref="EV32:HG32" si="1340">IFERROR(((EV31/EV13)*200000*EV4),"-")</f>
        <v>-</v>
      </c>
      <c r="EW32" s="1" t="str">
        <f t="shared" si="1340"/>
        <v>-</v>
      </c>
      <c r="EX32" s="1" t="str">
        <f t="shared" si="1340"/>
        <v>-</v>
      </c>
      <c r="EY32" s="1" t="str">
        <f t="shared" si="1340"/>
        <v>-</v>
      </c>
      <c r="EZ32" s="1" t="str">
        <f t="shared" si="1340"/>
        <v>-</v>
      </c>
      <c r="FA32" s="1" t="str">
        <f t="shared" si="1340"/>
        <v>-</v>
      </c>
      <c r="FB32" s="1" t="str">
        <f t="shared" si="1340"/>
        <v>-</v>
      </c>
      <c r="FC32" s="1" t="str">
        <f t="shared" si="1340"/>
        <v>-</v>
      </c>
      <c r="FD32" s="1" t="str">
        <f t="shared" si="1340"/>
        <v>-</v>
      </c>
      <c r="FE32" s="1" t="str">
        <f t="shared" si="1340"/>
        <v>-</v>
      </c>
      <c r="FF32" s="1" t="str">
        <f t="shared" si="1340"/>
        <v>-</v>
      </c>
      <c r="FG32" s="1" t="str">
        <f t="shared" si="1340"/>
        <v>-</v>
      </c>
      <c r="FH32" s="1" t="str">
        <f t="shared" si="1340"/>
        <v>-</v>
      </c>
      <c r="FI32" s="1" t="str">
        <f t="shared" si="1340"/>
        <v>-</v>
      </c>
      <c r="FJ32" s="1" t="str">
        <f t="shared" si="1340"/>
        <v>-</v>
      </c>
      <c r="FK32" s="1" t="str">
        <f t="shared" si="1340"/>
        <v>-</v>
      </c>
      <c r="FL32" s="1" t="str">
        <f t="shared" si="1340"/>
        <v>-</v>
      </c>
      <c r="FM32" s="1" t="str">
        <f t="shared" si="1340"/>
        <v>-</v>
      </c>
      <c r="FN32" s="1" t="str">
        <f t="shared" si="1340"/>
        <v>-</v>
      </c>
      <c r="FO32" s="1" t="str">
        <f t="shared" si="1340"/>
        <v>-</v>
      </c>
      <c r="FP32" s="1" t="str">
        <f t="shared" si="1340"/>
        <v>-</v>
      </c>
      <c r="FQ32" s="1" t="str">
        <f t="shared" si="1340"/>
        <v>-</v>
      </c>
      <c r="FR32" s="1" t="str">
        <f t="shared" si="1340"/>
        <v>-</v>
      </c>
      <c r="FS32" s="1" t="str">
        <f t="shared" si="1340"/>
        <v>-</v>
      </c>
      <c r="FT32" s="1" t="str">
        <f t="shared" si="1340"/>
        <v>-</v>
      </c>
      <c r="FU32" s="1" t="str">
        <f t="shared" si="1340"/>
        <v>-</v>
      </c>
      <c r="FV32" s="1" t="str">
        <f t="shared" si="1340"/>
        <v>-</v>
      </c>
      <c r="FW32" s="1" t="str">
        <f t="shared" si="1340"/>
        <v>-</v>
      </c>
      <c r="FX32" s="1" t="str">
        <f t="shared" si="1340"/>
        <v>-</v>
      </c>
      <c r="FY32" s="1" t="str">
        <f t="shared" si="1340"/>
        <v>-</v>
      </c>
      <c r="FZ32" s="1" t="str">
        <f t="shared" si="1340"/>
        <v>-</v>
      </c>
      <c r="GA32" s="1" t="str">
        <f t="shared" si="1340"/>
        <v>-</v>
      </c>
      <c r="GB32" s="1" t="str">
        <f t="shared" si="1340"/>
        <v>-</v>
      </c>
      <c r="GC32" s="1" t="str">
        <f t="shared" si="1340"/>
        <v>-</v>
      </c>
      <c r="GD32" s="1" t="str">
        <f t="shared" si="1340"/>
        <v>-</v>
      </c>
      <c r="GE32" s="1" t="str">
        <f t="shared" si="1340"/>
        <v>-</v>
      </c>
      <c r="GF32" s="1" t="str">
        <f t="shared" si="1340"/>
        <v>-</v>
      </c>
      <c r="GG32" s="1" t="str">
        <f t="shared" si="1340"/>
        <v>-</v>
      </c>
      <c r="GH32" s="1" t="str">
        <f t="shared" si="1340"/>
        <v>-</v>
      </c>
      <c r="GI32" s="1" t="str">
        <f t="shared" si="1340"/>
        <v>-</v>
      </c>
      <c r="GJ32" s="1" t="str">
        <f t="shared" si="1340"/>
        <v>-</v>
      </c>
      <c r="GK32" s="1" t="str">
        <f t="shared" si="1340"/>
        <v>-</v>
      </c>
      <c r="GL32" s="1" t="str">
        <f t="shared" si="1340"/>
        <v>-</v>
      </c>
      <c r="GM32" s="1" t="str">
        <f t="shared" si="1340"/>
        <v>-</v>
      </c>
      <c r="GN32" s="1" t="str">
        <f t="shared" si="1340"/>
        <v>-</v>
      </c>
      <c r="GO32" s="1" t="str">
        <f t="shared" si="1340"/>
        <v>-</v>
      </c>
      <c r="GP32" s="1" t="str">
        <f t="shared" si="1340"/>
        <v>-</v>
      </c>
      <c r="GQ32" s="1" t="str">
        <f t="shared" si="1340"/>
        <v>-</v>
      </c>
      <c r="GR32" s="1" t="str">
        <f t="shared" si="1340"/>
        <v>-</v>
      </c>
      <c r="GS32" s="1" t="str">
        <f t="shared" si="1340"/>
        <v>-</v>
      </c>
      <c r="GT32" s="1" t="str">
        <f t="shared" si="1340"/>
        <v>-</v>
      </c>
      <c r="GU32" s="1" t="str">
        <f t="shared" si="1340"/>
        <v>-</v>
      </c>
      <c r="GV32" s="1" t="str">
        <f t="shared" si="1340"/>
        <v>-</v>
      </c>
      <c r="GW32" s="1" t="str">
        <f t="shared" si="1340"/>
        <v>-</v>
      </c>
      <c r="GX32" s="1" t="str">
        <f t="shared" si="1340"/>
        <v>-</v>
      </c>
      <c r="GY32" s="1" t="str">
        <f t="shared" si="1340"/>
        <v>-</v>
      </c>
      <c r="GZ32" s="1" t="str">
        <f t="shared" si="1340"/>
        <v>-</v>
      </c>
      <c r="HA32" s="1" t="str">
        <f t="shared" si="1340"/>
        <v>-</v>
      </c>
      <c r="HB32" s="1" t="str">
        <f t="shared" si="1340"/>
        <v>-</v>
      </c>
      <c r="HC32" s="1" t="str">
        <f t="shared" si="1340"/>
        <v>-</v>
      </c>
      <c r="HD32" s="1" t="str">
        <f t="shared" si="1340"/>
        <v>-</v>
      </c>
      <c r="HE32" s="1" t="str">
        <f t="shared" si="1340"/>
        <v>-</v>
      </c>
      <c r="HF32" s="1" t="str">
        <f t="shared" si="1340"/>
        <v>-</v>
      </c>
      <c r="HG32" s="1" t="str">
        <f t="shared" si="1340"/>
        <v>-</v>
      </c>
      <c r="HH32" s="1" t="str">
        <f t="shared" ref="HH32:JS32" si="1341">IFERROR(((HH31/HH13)*200000*HH4),"-")</f>
        <v>-</v>
      </c>
      <c r="HI32" s="1" t="str">
        <f t="shared" si="1341"/>
        <v>-</v>
      </c>
      <c r="HJ32" s="1" t="str">
        <f t="shared" si="1341"/>
        <v>-</v>
      </c>
      <c r="HK32" s="1" t="str">
        <f t="shared" si="1341"/>
        <v>-</v>
      </c>
      <c r="HL32" s="1" t="str">
        <f t="shared" si="1341"/>
        <v>-</v>
      </c>
      <c r="HM32" s="1" t="str">
        <f t="shared" si="1341"/>
        <v>-</v>
      </c>
      <c r="HN32" s="1" t="str">
        <f t="shared" si="1341"/>
        <v>-</v>
      </c>
      <c r="HO32" s="1" t="str">
        <f t="shared" si="1341"/>
        <v>-</v>
      </c>
      <c r="HP32" s="1" t="str">
        <f t="shared" si="1341"/>
        <v>-</v>
      </c>
      <c r="HQ32" s="1" t="str">
        <f t="shared" si="1341"/>
        <v>-</v>
      </c>
      <c r="HR32" s="1" t="str">
        <f t="shared" si="1341"/>
        <v>-</v>
      </c>
      <c r="HS32" s="1" t="str">
        <f t="shared" si="1341"/>
        <v>-</v>
      </c>
      <c r="HT32" s="1" t="str">
        <f t="shared" si="1341"/>
        <v>-</v>
      </c>
      <c r="HU32" s="1" t="str">
        <f t="shared" si="1341"/>
        <v>-</v>
      </c>
      <c r="HV32" s="1" t="str">
        <f t="shared" si="1341"/>
        <v>-</v>
      </c>
      <c r="HW32" s="1" t="str">
        <f t="shared" si="1341"/>
        <v>-</v>
      </c>
      <c r="HX32" s="1" t="str">
        <f t="shared" si="1341"/>
        <v>-</v>
      </c>
      <c r="HY32" s="1" t="str">
        <f t="shared" si="1341"/>
        <v>-</v>
      </c>
      <c r="HZ32" s="1" t="str">
        <f t="shared" si="1341"/>
        <v>-</v>
      </c>
      <c r="IA32" s="1" t="str">
        <f t="shared" si="1341"/>
        <v>-</v>
      </c>
      <c r="IB32" s="1" t="str">
        <f t="shared" si="1341"/>
        <v>-</v>
      </c>
      <c r="IC32" s="1" t="str">
        <f t="shared" si="1341"/>
        <v>-</v>
      </c>
      <c r="ID32" s="1" t="str">
        <f t="shared" si="1341"/>
        <v>-</v>
      </c>
      <c r="IE32" s="1" t="str">
        <f t="shared" si="1341"/>
        <v>-</v>
      </c>
      <c r="IF32" s="1" t="str">
        <f t="shared" si="1341"/>
        <v>-</v>
      </c>
      <c r="IG32" s="1" t="str">
        <f t="shared" si="1341"/>
        <v>-</v>
      </c>
      <c r="IH32" s="1" t="str">
        <f t="shared" si="1341"/>
        <v>-</v>
      </c>
      <c r="II32" s="1" t="str">
        <f t="shared" si="1341"/>
        <v>-</v>
      </c>
      <c r="IJ32" s="1" t="str">
        <f t="shared" si="1341"/>
        <v>-</v>
      </c>
      <c r="IK32" s="1" t="str">
        <f t="shared" si="1341"/>
        <v>-</v>
      </c>
      <c r="IL32" s="1" t="str">
        <f t="shared" si="1341"/>
        <v>-</v>
      </c>
      <c r="IM32" s="1" t="str">
        <f t="shared" si="1341"/>
        <v>-</v>
      </c>
      <c r="IN32" s="1" t="str">
        <f t="shared" si="1341"/>
        <v>-</v>
      </c>
      <c r="IO32" s="1" t="str">
        <f t="shared" si="1341"/>
        <v>-</v>
      </c>
      <c r="IP32" s="1" t="str">
        <f t="shared" si="1341"/>
        <v>-</v>
      </c>
      <c r="IQ32" s="1" t="str">
        <f t="shared" si="1341"/>
        <v>-</v>
      </c>
      <c r="IR32" s="1" t="str">
        <f t="shared" si="1341"/>
        <v>-</v>
      </c>
      <c r="IS32" s="1" t="str">
        <f t="shared" si="1341"/>
        <v>-</v>
      </c>
      <c r="IT32" s="1" t="str">
        <f t="shared" si="1341"/>
        <v>-</v>
      </c>
      <c r="IU32" s="1" t="str">
        <f t="shared" si="1341"/>
        <v>-</v>
      </c>
      <c r="IV32" s="1" t="str">
        <f t="shared" si="1341"/>
        <v>-</v>
      </c>
      <c r="IW32" s="1" t="str">
        <f t="shared" si="1341"/>
        <v>-</v>
      </c>
      <c r="IX32" s="1" t="str">
        <f t="shared" si="1341"/>
        <v>-</v>
      </c>
      <c r="IY32" s="1" t="str">
        <f t="shared" si="1341"/>
        <v>-</v>
      </c>
      <c r="IZ32" s="1" t="str">
        <f t="shared" si="1341"/>
        <v>-</v>
      </c>
      <c r="JA32" s="1" t="str">
        <f t="shared" si="1341"/>
        <v>-</v>
      </c>
      <c r="JB32" s="1" t="str">
        <f t="shared" si="1341"/>
        <v>-</v>
      </c>
      <c r="JC32" s="1" t="str">
        <f t="shared" si="1341"/>
        <v>-</v>
      </c>
      <c r="JD32" s="1" t="str">
        <f t="shared" si="1341"/>
        <v>-</v>
      </c>
      <c r="JE32" s="1" t="str">
        <f t="shared" si="1341"/>
        <v>-</v>
      </c>
      <c r="JF32" s="1" t="str">
        <f t="shared" si="1341"/>
        <v>-</v>
      </c>
      <c r="JG32" s="1" t="str">
        <f t="shared" si="1341"/>
        <v>-</v>
      </c>
      <c r="JH32" s="1" t="str">
        <f t="shared" si="1341"/>
        <v>-</v>
      </c>
      <c r="JI32" s="1" t="str">
        <f t="shared" si="1341"/>
        <v>-</v>
      </c>
      <c r="JJ32" s="1" t="str">
        <f t="shared" si="1341"/>
        <v>-</v>
      </c>
      <c r="JK32" s="1" t="str">
        <f t="shared" si="1341"/>
        <v>-</v>
      </c>
      <c r="JL32" s="1" t="str">
        <f t="shared" si="1341"/>
        <v>-</v>
      </c>
      <c r="JM32" s="1" t="str">
        <f t="shared" si="1341"/>
        <v>-</v>
      </c>
      <c r="JN32" s="1" t="str">
        <f t="shared" si="1341"/>
        <v>-</v>
      </c>
      <c r="JO32" s="1" t="str">
        <f t="shared" si="1341"/>
        <v>-</v>
      </c>
      <c r="JP32" s="1" t="str">
        <f t="shared" si="1341"/>
        <v>-</v>
      </c>
      <c r="JQ32" s="1" t="str">
        <f t="shared" si="1341"/>
        <v>-</v>
      </c>
      <c r="JR32" s="1" t="str">
        <f t="shared" si="1341"/>
        <v>-</v>
      </c>
      <c r="JS32" s="1" t="str">
        <f t="shared" si="1341"/>
        <v>-</v>
      </c>
      <c r="JT32" s="1" t="str">
        <f t="shared" ref="JT32:LX32" si="1342">IFERROR(((JT31/JT13)*200000*JT4),"-")</f>
        <v>-</v>
      </c>
      <c r="JU32" s="1" t="str">
        <f t="shared" si="1342"/>
        <v>-</v>
      </c>
      <c r="JV32" s="1" t="str">
        <f t="shared" si="1342"/>
        <v>-</v>
      </c>
      <c r="JW32" s="1" t="str">
        <f t="shared" si="1342"/>
        <v>-</v>
      </c>
      <c r="JX32" s="1" t="str">
        <f t="shared" si="1342"/>
        <v>-</v>
      </c>
      <c r="JY32" s="1" t="str">
        <f t="shared" si="1342"/>
        <v>-</v>
      </c>
      <c r="JZ32" s="1" t="str">
        <f t="shared" si="1342"/>
        <v>-</v>
      </c>
      <c r="KA32" s="1" t="str">
        <f t="shared" si="1342"/>
        <v>-</v>
      </c>
      <c r="KB32" s="1" t="str">
        <f t="shared" si="1342"/>
        <v>-</v>
      </c>
      <c r="KC32" s="1" t="str">
        <f t="shared" si="1342"/>
        <v>-</v>
      </c>
      <c r="KD32" s="1" t="str">
        <f t="shared" si="1342"/>
        <v>-</v>
      </c>
      <c r="KE32" s="1" t="str">
        <f t="shared" si="1342"/>
        <v>-</v>
      </c>
      <c r="KF32" s="1" t="str">
        <f t="shared" si="1342"/>
        <v>-</v>
      </c>
      <c r="KG32" s="1" t="str">
        <f t="shared" si="1342"/>
        <v>-</v>
      </c>
      <c r="KH32" s="1" t="str">
        <f t="shared" si="1342"/>
        <v>-</v>
      </c>
      <c r="KI32" s="1" t="str">
        <f t="shared" si="1342"/>
        <v>-</v>
      </c>
      <c r="KJ32" s="1" t="str">
        <f t="shared" si="1342"/>
        <v>-</v>
      </c>
      <c r="KK32" s="1" t="str">
        <f t="shared" si="1342"/>
        <v>-</v>
      </c>
      <c r="KL32" s="1" t="str">
        <f t="shared" si="1342"/>
        <v>-</v>
      </c>
      <c r="KM32" s="1" t="str">
        <f t="shared" si="1342"/>
        <v>-</v>
      </c>
      <c r="KN32" s="1" t="str">
        <f t="shared" si="1342"/>
        <v>-</v>
      </c>
      <c r="KO32" s="1" t="str">
        <f t="shared" si="1342"/>
        <v>-</v>
      </c>
      <c r="KP32" s="1" t="str">
        <f t="shared" si="1342"/>
        <v>-</v>
      </c>
      <c r="KQ32" s="1" t="str">
        <f t="shared" si="1342"/>
        <v>-</v>
      </c>
      <c r="KR32" s="1" t="str">
        <f t="shared" si="1342"/>
        <v>-</v>
      </c>
      <c r="KS32" s="1" t="str">
        <f t="shared" si="1342"/>
        <v>-</v>
      </c>
      <c r="KT32" s="1" t="str">
        <f t="shared" si="1342"/>
        <v>-</v>
      </c>
      <c r="KU32" s="1" t="str">
        <f t="shared" si="1342"/>
        <v>-</v>
      </c>
      <c r="KV32" s="1" t="str">
        <f t="shared" si="1342"/>
        <v>-</v>
      </c>
      <c r="KW32" s="1" t="str">
        <f t="shared" si="1342"/>
        <v>-</v>
      </c>
      <c r="KX32" s="1" t="str">
        <f t="shared" si="1342"/>
        <v>-</v>
      </c>
      <c r="KY32" s="1" t="str">
        <f t="shared" si="1342"/>
        <v>-</v>
      </c>
      <c r="KZ32" s="1" t="str">
        <f t="shared" si="1342"/>
        <v>-</v>
      </c>
      <c r="LA32" s="1" t="str">
        <f t="shared" si="1342"/>
        <v>-</v>
      </c>
      <c r="LB32" s="1" t="str">
        <f t="shared" si="1342"/>
        <v>-</v>
      </c>
      <c r="LC32" s="1" t="str">
        <f t="shared" si="1342"/>
        <v>-</v>
      </c>
      <c r="LD32" s="1" t="str">
        <f t="shared" si="1342"/>
        <v>-</v>
      </c>
      <c r="LE32" s="1" t="str">
        <f t="shared" si="1342"/>
        <v>-</v>
      </c>
      <c r="LF32" s="1" t="str">
        <f t="shared" si="1342"/>
        <v>-</v>
      </c>
      <c r="LG32" s="1" t="str">
        <f t="shared" si="1342"/>
        <v>-</v>
      </c>
      <c r="LH32" s="1" t="str">
        <f t="shared" si="1342"/>
        <v>-</v>
      </c>
      <c r="LI32" s="1" t="str">
        <f t="shared" si="1342"/>
        <v>-</v>
      </c>
      <c r="LJ32" s="1" t="str">
        <f t="shared" si="1342"/>
        <v>-</v>
      </c>
      <c r="LK32" s="1" t="str">
        <f t="shared" si="1342"/>
        <v>-</v>
      </c>
      <c r="LL32" s="1" t="str">
        <f t="shared" si="1342"/>
        <v>-</v>
      </c>
      <c r="LM32" s="1" t="str">
        <f t="shared" si="1342"/>
        <v>-</v>
      </c>
      <c r="LN32" s="1" t="str">
        <f t="shared" si="1342"/>
        <v>-</v>
      </c>
      <c r="LO32" s="1" t="str">
        <f t="shared" si="1342"/>
        <v>-</v>
      </c>
      <c r="LP32" s="1" t="str">
        <f t="shared" si="1342"/>
        <v>-</v>
      </c>
      <c r="LQ32" s="1" t="str">
        <f t="shared" si="1342"/>
        <v>-</v>
      </c>
      <c r="LR32" s="1" t="str">
        <f t="shared" si="1342"/>
        <v>-</v>
      </c>
      <c r="LS32" s="1" t="str">
        <f t="shared" si="1342"/>
        <v>-</v>
      </c>
      <c r="LT32" s="1" t="str">
        <f t="shared" si="1342"/>
        <v>-</v>
      </c>
      <c r="LU32" s="1" t="str">
        <f t="shared" si="1342"/>
        <v>-</v>
      </c>
      <c r="LV32" s="1" t="str">
        <f t="shared" si="1342"/>
        <v>-</v>
      </c>
      <c r="LW32" s="1" t="str">
        <f t="shared" si="1342"/>
        <v>-</v>
      </c>
      <c r="LX32" s="1" t="str">
        <f t="shared" si="1342"/>
        <v>-</v>
      </c>
      <c r="LY32" s="1" t="str">
        <f t="shared" ref="LY32" si="1343">IFERROR(((LY31/LY13)*200000*LY4),"-")</f>
        <v>-</v>
      </c>
      <c r="MA32" s="6"/>
    </row>
    <row r="33" spans="2:339">
      <c r="B33" s="139" t="s">
        <v>6</v>
      </c>
      <c r="C33" s="140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MA33" s="5"/>
    </row>
    <row r="34" spans="2:339">
      <c r="B34" s="34" t="s">
        <v>19</v>
      </c>
      <c r="C34" s="7" t="s">
        <v>7</v>
      </c>
      <c r="E34" s="13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/>
      <c r="GC34" s="14"/>
      <c r="GD34" s="14"/>
      <c r="GE34" s="14"/>
      <c r="GF34" s="14"/>
      <c r="GG34" s="14"/>
      <c r="GH34" s="14"/>
      <c r="GI34" s="14"/>
      <c r="GJ34" s="14"/>
      <c r="GK34" s="14"/>
      <c r="GL34" s="14"/>
      <c r="GM34" s="14"/>
      <c r="GN34" s="14"/>
      <c r="GO34" s="14"/>
      <c r="GP34" s="14"/>
      <c r="GQ34" s="14"/>
      <c r="GR34" s="14"/>
      <c r="GS34" s="14"/>
      <c r="GT34" s="14"/>
      <c r="GU34" s="14"/>
      <c r="GV34" s="14"/>
      <c r="GW34" s="14"/>
      <c r="GX34" s="14"/>
      <c r="GY34" s="14"/>
      <c r="GZ34" s="14"/>
      <c r="HA34" s="14"/>
      <c r="HB34" s="14"/>
      <c r="HC34" s="14"/>
      <c r="HD34" s="14"/>
      <c r="HE34" s="14"/>
      <c r="HF34" s="14"/>
      <c r="HG34" s="14"/>
      <c r="HH34" s="14"/>
      <c r="HI34" s="14"/>
      <c r="HJ34" s="14"/>
      <c r="HK34" s="14"/>
      <c r="HL34" s="14"/>
      <c r="HM34" s="14"/>
      <c r="HN34" s="14"/>
      <c r="HO34" s="14"/>
      <c r="HP34" s="14"/>
      <c r="HQ34" s="14"/>
      <c r="HR34" s="14"/>
      <c r="HS34" s="14"/>
      <c r="HT34" s="14"/>
      <c r="HU34" s="14"/>
      <c r="HV34" s="14"/>
      <c r="HW34" s="14"/>
      <c r="HX34" s="14"/>
      <c r="HY34" s="14"/>
      <c r="HZ34" s="14"/>
      <c r="IA34" s="14"/>
      <c r="IB34" s="14"/>
      <c r="IC34" s="14"/>
      <c r="ID34" s="14"/>
      <c r="IE34" s="14"/>
      <c r="IF34" s="14"/>
      <c r="IG34" s="14"/>
      <c r="IH34" s="14"/>
      <c r="II34" s="14"/>
      <c r="IJ34" s="14"/>
      <c r="IK34" s="14"/>
      <c r="IL34" s="14"/>
      <c r="IM34" s="14"/>
      <c r="IN34" s="14"/>
      <c r="IO34" s="14"/>
      <c r="IP34" s="14"/>
      <c r="IQ34" s="14"/>
      <c r="IR34" s="14"/>
      <c r="IS34" s="14"/>
      <c r="IT34" s="14"/>
      <c r="IU34" s="14"/>
      <c r="IV34" s="14"/>
      <c r="IW34" s="14"/>
      <c r="IX34" s="14"/>
      <c r="IY34" s="14"/>
      <c r="IZ34" s="14"/>
      <c r="JA34" s="14"/>
      <c r="JB34" s="14"/>
      <c r="JC34" s="14"/>
      <c r="JD34" s="14"/>
      <c r="JE34" s="14"/>
      <c r="JF34" s="14"/>
      <c r="JG34" s="14"/>
      <c r="JH34" s="14"/>
      <c r="JI34" s="14"/>
      <c r="JJ34" s="14"/>
      <c r="JK34" s="14"/>
      <c r="JL34" s="14"/>
      <c r="JM34" s="14"/>
      <c r="JN34" s="14"/>
      <c r="JO34" s="14"/>
      <c r="JP34" s="14"/>
      <c r="JQ34" s="14"/>
      <c r="JR34" s="14"/>
      <c r="JS34" s="14"/>
      <c r="JT34" s="14"/>
      <c r="JU34" s="14"/>
      <c r="JV34" s="14"/>
      <c r="JW34" s="14"/>
      <c r="JX34" s="14"/>
      <c r="JY34" s="14"/>
      <c r="JZ34" s="14"/>
      <c r="KA34" s="14"/>
      <c r="KB34" s="14"/>
      <c r="KC34" s="14"/>
      <c r="KD34" s="14"/>
      <c r="KE34" s="14"/>
      <c r="KF34" s="14"/>
      <c r="KG34" s="14"/>
      <c r="KH34" s="14"/>
      <c r="KI34" s="14"/>
      <c r="KJ34" s="14"/>
      <c r="KK34" s="14"/>
      <c r="KL34" s="14"/>
      <c r="KM34" s="14"/>
      <c r="KN34" s="14"/>
      <c r="KO34" s="14"/>
      <c r="KP34" s="14"/>
      <c r="KQ34" s="14"/>
      <c r="KR34" s="14"/>
      <c r="KS34" s="14"/>
      <c r="KT34" s="14"/>
      <c r="KU34" s="14"/>
      <c r="KV34" s="14"/>
      <c r="KW34" s="14"/>
      <c r="KX34" s="14"/>
      <c r="KY34" s="14"/>
      <c r="KZ34" s="14"/>
      <c r="LA34" s="14"/>
      <c r="LB34" s="14"/>
      <c r="LC34" s="14"/>
      <c r="LD34" s="14"/>
      <c r="LE34" s="14"/>
      <c r="LF34" s="14"/>
      <c r="LG34" s="14"/>
      <c r="LH34" s="14"/>
      <c r="LI34" s="14"/>
      <c r="LJ34" s="14"/>
      <c r="LK34" s="14"/>
      <c r="LL34" s="14"/>
      <c r="LM34" s="14"/>
      <c r="LN34" s="14"/>
      <c r="LO34" s="14"/>
      <c r="LP34" s="14"/>
      <c r="LQ34" s="14"/>
      <c r="LR34" s="14"/>
      <c r="LS34" s="14"/>
      <c r="LT34" s="14"/>
      <c r="LU34" s="14"/>
      <c r="LV34" s="14"/>
      <c r="LW34" s="14"/>
      <c r="LX34" s="14"/>
      <c r="LY34" s="14"/>
      <c r="MA34" s="2">
        <f>SUM(E34:LY34)</f>
        <v>0</v>
      </c>
    </row>
    <row r="35" spans="2:339">
      <c r="B35" s="32" t="s">
        <v>8</v>
      </c>
      <c r="C35" s="7" t="s">
        <v>7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  <c r="GI35" s="13"/>
      <c r="GJ35" s="13"/>
      <c r="GK35" s="13"/>
      <c r="GL35" s="13"/>
      <c r="GM35" s="13"/>
      <c r="GN35" s="13"/>
      <c r="GO35" s="13"/>
      <c r="GP35" s="13"/>
      <c r="GQ35" s="13"/>
      <c r="GR35" s="13"/>
      <c r="GS35" s="13"/>
      <c r="GT35" s="13"/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  <c r="HJ35" s="13"/>
      <c r="HK35" s="13"/>
      <c r="HL35" s="13"/>
      <c r="HM35" s="13"/>
      <c r="HN35" s="13"/>
      <c r="HO35" s="13"/>
      <c r="HP35" s="13"/>
      <c r="HQ35" s="13"/>
      <c r="HR35" s="13"/>
      <c r="HS35" s="13"/>
      <c r="HT35" s="13"/>
      <c r="HU35" s="13"/>
      <c r="HV35" s="13"/>
      <c r="HW35" s="13"/>
      <c r="HX35" s="13"/>
      <c r="HY35" s="13"/>
      <c r="HZ35" s="13"/>
      <c r="IA35" s="13"/>
      <c r="IB35" s="13"/>
      <c r="IC35" s="13"/>
      <c r="ID35" s="13"/>
      <c r="IE35" s="13"/>
      <c r="IF35" s="13"/>
      <c r="IG35" s="13"/>
      <c r="IH35" s="13"/>
      <c r="II35" s="13"/>
      <c r="IJ35" s="13"/>
      <c r="IK35" s="13"/>
      <c r="IL35" s="13"/>
      <c r="IM35" s="13"/>
      <c r="IN35" s="13"/>
      <c r="IO35" s="13"/>
      <c r="IP35" s="13"/>
      <c r="IQ35" s="13"/>
      <c r="IR35" s="13"/>
      <c r="IS35" s="13"/>
      <c r="IT35" s="13"/>
      <c r="IU35" s="13"/>
      <c r="IV35" s="13"/>
      <c r="IW35" s="13"/>
      <c r="IX35" s="13"/>
      <c r="IY35" s="13"/>
      <c r="IZ35" s="13"/>
      <c r="JA35" s="13"/>
      <c r="JB35" s="13"/>
      <c r="JC35" s="13"/>
      <c r="JD35" s="13"/>
      <c r="JE35" s="13"/>
      <c r="JF35" s="13"/>
      <c r="JG35" s="13"/>
      <c r="JH35" s="13"/>
      <c r="JI35" s="13"/>
      <c r="JJ35" s="13"/>
      <c r="JK35" s="13"/>
      <c r="JL35" s="13"/>
      <c r="JM35" s="13"/>
      <c r="JN35" s="13"/>
      <c r="JO35" s="13"/>
      <c r="JP35" s="13"/>
      <c r="JQ35" s="13"/>
      <c r="JR35" s="13"/>
      <c r="JS35" s="13"/>
      <c r="JT35" s="13"/>
      <c r="JU35" s="13"/>
      <c r="JV35" s="13"/>
      <c r="JW35" s="13"/>
      <c r="JX35" s="13"/>
      <c r="JY35" s="13"/>
      <c r="JZ35" s="13"/>
      <c r="KA35" s="13"/>
      <c r="KB35" s="13"/>
      <c r="KC35" s="13"/>
      <c r="KD35" s="13"/>
      <c r="KE35" s="13"/>
      <c r="KF35" s="13"/>
      <c r="KG35" s="13"/>
      <c r="KH35" s="13"/>
      <c r="KI35" s="13"/>
      <c r="KJ35" s="13"/>
      <c r="KK35" s="13"/>
      <c r="KL35" s="13"/>
      <c r="KM35" s="13"/>
      <c r="KN35" s="13"/>
      <c r="KO35" s="13"/>
      <c r="KP35" s="13"/>
      <c r="KQ35" s="13"/>
      <c r="KR35" s="13"/>
      <c r="KS35" s="13"/>
      <c r="KT35" s="13"/>
      <c r="KU35" s="13"/>
      <c r="KV35" s="13"/>
      <c r="KW35" s="13"/>
      <c r="KX35" s="13"/>
      <c r="KY35" s="13"/>
      <c r="KZ35" s="13"/>
      <c r="LA35" s="13"/>
      <c r="LB35" s="13"/>
      <c r="LC35" s="13"/>
      <c r="LD35" s="13"/>
      <c r="LE35" s="13"/>
      <c r="LF35" s="13"/>
      <c r="LG35" s="13"/>
      <c r="LH35" s="13"/>
      <c r="LI35" s="13"/>
      <c r="LJ35" s="13"/>
      <c r="LK35" s="13"/>
      <c r="LL35" s="13"/>
      <c r="LM35" s="13"/>
      <c r="LN35" s="13"/>
      <c r="LO35" s="13"/>
      <c r="LP35" s="13"/>
      <c r="LQ35" s="13"/>
      <c r="LR35" s="13"/>
      <c r="LS35" s="13"/>
      <c r="LT35" s="13"/>
      <c r="LU35" s="13"/>
      <c r="LV35" s="13"/>
      <c r="LW35" s="13"/>
      <c r="LX35" s="13"/>
      <c r="LY35" s="13"/>
      <c r="MA35" s="2">
        <f>SUM(E35:LY35)</f>
        <v>0</v>
      </c>
    </row>
    <row r="36" spans="2:339">
      <c r="B36" s="32" t="s">
        <v>9</v>
      </c>
      <c r="C36" s="7" t="s">
        <v>7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  <c r="GE36" s="13"/>
      <c r="GF36" s="13"/>
      <c r="GG36" s="13"/>
      <c r="GH36" s="13"/>
      <c r="GI36" s="13"/>
      <c r="GJ36" s="13"/>
      <c r="GK36" s="13"/>
      <c r="GL36" s="13"/>
      <c r="GM36" s="13"/>
      <c r="GN36" s="13"/>
      <c r="GO36" s="13"/>
      <c r="GP36" s="13"/>
      <c r="GQ36" s="13"/>
      <c r="GR36" s="13"/>
      <c r="GS36" s="13"/>
      <c r="GT36" s="13"/>
      <c r="GU36" s="13"/>
      <c r="GV36" s="13"/>
      <c r="GW36" s="13"/>
      <c r="GX36" s="13"/>
      <c r="GY36" s="13"/>
      <c r="GZ36" s="13"/>
      <c r="HA36" s="13"/>
      <c r="HB36" s="13"/>
      <c r="HC36" s="13"/>
      <c r="HD36" s="13"/>
      <c r="HE36" s="13"/>
      <c r="HF36" s="13"/>
      <c r="HG36" s="13"/>
      <c r="HH36" s="13"/>
      <c r="HI36" s="13"/>
      <c r="HJ36" s="13"/>
      <c r="HK36" s="13"/>
      <c r="HL36" s="13"/>
      <c r="HM36" s="13"/>
      <c r="HN36" s="13"/>
      <c r="HO36" s="13"/>
      <c r="HP36" s="13"/>
      <c r="HQ36" s="13"/>
      <c r="HR36" s="13"/>
      <c r="HS36" s="13"/>
      <c r="HT36" s="13"/>
      <c r="HU36" s="13"/>
      <c r="HV36" s="13"/>
      <c r="HW36" s="13"/>
      <c r="HX36" s="13"/>
      <c r="HY36" s="13"/>
      <c r="HZ36" s="13"/>
      <c r="IA36" s="13"/>
      <c r="IB36" s="13"/>
      <c r="IC36" s="13"/>
      <c r="ID36" s="13"/>
      <c r="IE36" s="13"/>
      <c r="IF36" s="13"/>
      <c r="IG36" s="13"/>
      <c r="IH36" s="13"/>
      <c r="II36" s="13"/>
      <c r="IJ36" s="13"/>
      <c r="IK36" s="13"/>
      <c r="IL36" s="13"/>
      <c r="IM36" s="13"/>
      <c r="IN36" s="13"/>
      <c r="IO36" s="13"/>
      <c r="IP36" s="13"/>
      <c r="IQ36" s="13"/>
      <c r="IR36" s="13"/>
      <c r="IS36" s="13"/>
      <c r="IT36" s="13"/>
      <c r="IU36" s="13"/>
      <c r="IV36" s="13"/>
      <c r="IW36" s="13"/>
      <c r="IX36" s="13"/>
      <c r="IY36" s="13"/>
      <c r="IZ36" s="13"/>
      <c r="JA36" s="13"/>
      <c r="JB36" s="13"/>
      <c r="JC36" s="13"/>
      <c r="JD36" s="13"/>
      <c r="JE36" s="13"/>
      <c r="JF36" s="13"/>
      <c r="JG36" s="13"/>
      <c r="JH36" s="13"/>
      <c r="JI36" s="13"/>
      <c r="JJ36" s="13"/>
      <c r="JK36" s="13"/>
      <c r="JL36" s="13"/>
      <c r="JM36" s="13"/>
      <c r="JN36" s="13"/>
      <c r="JO36" s="13"/>
      <c r="JP36" s="13"/>
      <c r="JQ36" s="13"/>
      <c r="JR36" s="13"/>
      <c r="JS36" s="13"/>
      <c r="JT36" s="13"/>
      <c r="JU36" s="13"/>
      <c r="JV36" s="13"/>
      <c r="JW36" s="13"/>
      <c r="JX36" s="13"/>
      <c r="JY36" s="13"/>
      <c r="JZ36" s="13"/>
      <c r="KA36" s="13"/>
      <c r="KB36" s="13"/>
      <c r="KC36" s="13"/>
      <c r="KD36" s="13"/>
      <c r="KE36" s="13"/>
      <c r="KF36" s="13"/>
      <c r="KG36" s="13"/>
      <c r="KH36" s="13"/>
      <c r="KI36" s="13"/>
      <c r="KJ36" s="13"/>
      <c r="KK36" s="13"/>
      <c r="KL36" s="13"/>
      <c r="KM36" s="13"/>
      <c r="KN36" s="13"/>
      <c r="KO36" s="13"/>
      <c r="KP36" s="13"/>
      <c r="KQ36" s="13"/>
      <c r="KR36" s="13"/>
      <c r="KS36" s="13"/>
      <c r="KT36" s="13"/>
      <c r="KU36" s="13"/>
      <c r="KV36" s="13"/>
      <c r="KW36" s="13"/>
      <c r="KX36" s="13"/>
      <c r="KY36" s="13"/>
      <c r="KZ36" s="13"/>
      <c r="LA36" s="13"/>
      <c r="LB36" s="13"/>
      <c r="LC36" s="13"/>
      <c r="LD36" s="13"/>
      <c r="LE36" s="13"/>
      <c r="LF36" s="13"/>
      <c r="LG36" s="13"/>
      <c r="LH36" s="13"/>
      <c r="LI36" s="13"/>
      <c r="LJ36" s="13"/>
      <c r="LK36" s="13"/>
      <c r="LL36" s="13"/>
      <c r="LM36" s="13"/>
      <c r="LN36" s="13"/>
      <c r="LO36" s="13"/>
      <c r="LP36" s="13"/>
      <c r="LQ36" s="13"/>
      <c r="LR36" s="13"/>
      <c r="LS36" s="13"/>
      <c r="LT36" s="13"/>
      <c r="LU36" s="13"/>
      <c r="LV36" s="13"/>
      <c r="LW36" s="13"/>
      <c r="LX36" s="13"/>
      <c r="LY36" s="13"/>
      <c r="MA36" s="2">
        <f>SUM(E36:LY36)</f>
        <v>0</v>
      </c>
    </row>
    <row r="37" spans="2:339">
      <c r="B37" s="135" t="s">
        <v>10</v>
      </c>
      <c r="C37" s="136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MA37" s="9"/>
    </row>
    <row r="38" spans="2:339">
      <c r="B38" s="131" t="s">
        <v>11</v>
      </c>
      <c r="C38" s="13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MA38" s="2">
        <f>SUM(E38:LY38)</f>
        <v>0</v>
      </c>
    </row>
    <row r="39" spans="2:339">
      <c r="B39" s="131" t="s">
        <v>12</v>
      </c>
      <c r="C39" s="132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MA39" s="2">
        <f t="shared" ref="MA39:MA54" si="1344">SUM(E39:LY39)</f>
        <v>0</v>
      </c>
    </row>
    <row r="40" spans="2:339">
      <c r="B40" s="32" t="s">
        <v>13</v>
      </c>
      <c r="C40" s="3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MA40" s="2">
        <f t="shared" si="1344"/>
        <v>0</v>
      </c>
    </row>
    <row r="41" spans="2:339">
      <c r="B41" s="131" t="s">
        <v>14</v>
      </c>
      <c r="C41" s="13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MA41" s="2">
        <f t="shared" si="1344"/>
        <v>0</v>
      </c>
    </row>
    <row r="42" spans="2:339">
      <c r="B42" s="131" t="s">
        <v>15</v>
      </c>
      <c r="C42" s="13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MA42" s="2">
        <f t="shared" si="1344"/>
        <v>0</v>
      </c>
    </row>
    <row r="43" spans="2:339">
      <c r="B43" s="131" t="s">
        <v>16</v>
      </c>
      <c r="C43" s="13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MA43" s="2">
        <f t="shared" si="1344"/>
        <v>0</v>
      </c>
    </row>
    <row r="44" spans="2:339">
      <c r="B44" s="32" t="s">
        <v>17</v>
      </c>
      <c r="C44" s="33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MA44" s="2">
        <f t="shared" si="1344"/>
        <v>0</v>
      </c>
    </row>
    <row r="45" spans="2:339">
      <c r="B45" s="131" t="s">
        <v>18</v>
      </c>
      <c r="C45" s="13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MA45" s="2">
        <f t="shared" si="1344"/>
        <v>0</v>
      </c>
    </row>
    <row r="46" spans="2:339">
      <c r="B46" s="131" t="s">
        <v>20</v>
      </c>
      <c r="C46" s="13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MA46" s="2">
        <f>SUM(E46:LY46)</f>
        <v>0</v>
      </c>
    </row>
    <row r="47" spans="2:339" ht="15.75" thickBot="1">
      <c r="B47" s="135" t="s">
        <v>21</v>
      </c>
      <c r="C47" s="1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  <c r="BK47" s="36"/>
      <c r="BL47" s="36"/>
      <c r="BM47" s="36"/>
      <c r="BN47" s="36"/>
      <c r="BO47" s="36"/>
      <c r="BP47" s="36"/>
      <c r="BQ47" s="36"/>
      <c r="BR47" s="36"/>
      <c r="BS47" s="36"/>
      <c r="BT47" s="36"/>
      <c r="BU47" s="36"/>
      <c r="BV47" s="36"/>
      <c r="BW47" s="36"/>
      <c r="BX47" s="36"/>
      <c r="BY47" s="36"/>
      <c r="BZ47" s="36"/>
      <c r="CA47" s="36"/>
      <c r="CB47" s="36"/>
      <c r="CC47" s="36"/>
      <c r="CD47" s="36"/>
      <c r="CE47" s="36"/>
      <c r="CF47" s="36"/>
      <c r="CG47" s="36"/>
      <c r="CH47" s="36"/>
      <c r="CI47" s="36"/>
      <c r="CJ47" s="36"/>
      <c r="CK47" s="36"/>
      <c r="CL47" s="36"/>
      <c r="CM47" s="36"/>
      <c r="CN47" s="36"/>
      <c r="CO47" s="36"/>
      <c r="CP47" s="36"/>
      <c r="CQ47" s="36"/>
      <c r="CR47" s="36"/>
      <c r="CS47" s="36"/>
      <c r="CT47" s="36"/>
      <c r="CU47" s="36"/>
      <c r="CV47" s="36"/>
      <c r="CW47" s="36"/>
      <c r="CX47" s="36"/>
      <c r="CY47" s="36"/>
      <c r="CZ47" s="36"/>
      <c r="DA47" s="36"/>
      <c r="DB47" s="36"/>
      <c r="DC47" s="36"/>
      <c r="DD47" s="36"/>
      <c r="DE47" s="36"/>
      <c r="DF47" s="36"/>
      <c r="DG47" s="36"/>
      <c r="DH47" s="36"/>
      <c r="DI47" s="36"/>
      <c r="DJ47" s="36"/>
      <c r="DK47" s="36"/>
      <c r="DL47" s="36"/>
      <c r="DM47" s="36"/>
      <c r="DN47" s="36"/>
      <c r="DO47" s="36"/>
      <c r="DP47" s="36"/>
      <c r="DQ47" s="36"/>
      <c r="DR47" s="36"/>
      <c r="DS47" s="36"/>
      <c r="DT47" s="36"/>
      <c r="DU47" s="36"/>
      <c r="DV47" s="36"/>
      <c r="DW47" s="36"/>
      <c r="DX47" s="36"/>
      <c r="DY47" s="36"/>
      <c r="DZ47" s="36"/>
      <c r="EA47" s="36"/>
      <c r="EB47" s="36"/>
      <c r="EC47" s="36"/>
      <c r="ED47" s="36"/>
      <c r="EE47" s="36"/>
      <c r="EF47" s="36"/>
      <c r="EG47" s="36"/>
      <c r="EH47" s="36"/>
      <c r="EI47" s="36"/>
      <c r="EJ47" s="36"/>
      <c r="EK47" s="36"/>
      <c r="EL47" s="36"/>
      <c r="EM47" s="36"/>
      <c r="EN47" s="36"/>
      <c r="EO47" s="36"/>
      <c r="EP47" s="36"/>
      <c r="EQ47" s="36"/>
      <c r="ER47" s="36"/>
      <c r="ES47" s="36"/>
      <c r="ET47" s="36"/>
      <c r="EU47" s="36"/>
      <c r="EV47" s="36"/>
      <c r="EW47" s="36"/>
      <c r="EX47" s="36"/>
      <c r="EY47" s="36"/>
      <c r="EZ47" s="36"/>
      <c r="FA47" s="36"/>
      <c r="FB47" s="36"/>
      <c r="FC47" s="36"/>
      <c r="FD47" s="36"/>
      <c r="FE47" s="36"/>
      <c r="FF47" s="36"/>
      <c r="FG47" s="36"/>
      <c r="FH47" s="36"/>
      <c r="FI47" s="36"/>
      <c r="FJ47" s="36"/>
      <c r="FK47" s="36"/>
      <c r="FL47" s="36"/>
      <c r="FM47" s="36"/>
      <c r="FN47" s="36"/>
      <c r="FO47" s="36"/>
      <c r="FP47" s="36"/>
      <c r="FQ47" s="36"/>
      <c r="FR47" s="36"/>
      <c r="FS47" s="36"/>
      <c r="FT47" s="36"/>
      <c r="FU47" s="36"/>
      <c r="FV47" s="36"/>
      <c r="FW47" s="36"/>
      <c r="FX47" s="36"/>
      <c r="FY47" s="36"/>
      <c r="FZ47" s="36"/>
      <c r="GA47" s="36"/>
      <c r="GB47" s="36"/>
      <c r="GC47" s="36"/>
      <c r="GD47" s="36"/>
      <c r="GE47" s="36"/>
      <c r="GF47" s="36"/>
      <c r="GG47" s="36"/>
      <c r="GH47" s="36"/>
      <c r="GI47" s="36"/>
      <c r="GJ47" s="36"/>
      <c r="GK47" s="36"/>
      <c r="GL47" s="36"/>
      <c r="GM47" s="36"/>
      <c r="GN47" s="36"/>
      <c r="GO47" s="36"/>
      <c r="GP47" s="36"/>
      <c r="GQ47" s="36"/>
      <c r="GR47" s="36"/>
      <c r="GS47" s="36"/>
      <c r="GT47" s="36"/>
      <c r="GU47" s="36"/>
      <c r="GV47" s="36"/>
      <c r="GW47" s="36"/>
      <c r="GX47" s="36"/>
      <c r="GY47" s="36"/>
      <c r="GZ47" s="36"/>
      <c r="HA47" s="36"/>
      <c r="HB47" s="36"/>
      <c r="HC47" s="36"/>
      <c r="HD47" s="36"/>
      <c r="HE47" s="36"/>
      <c r="HF47" s="36"/>
      <c r="HG47" s="36"/>
      <c r="HH47" s="36"/>
      <c r="HI47" s="36"/>
      <c r="HJ47" s="36"/>
      <c r="HK47" s="36"/>
      <c r="HL47" s="36"/>
      <c r="HM47" s="36"/>
      <c r="HN47" s="36"/>
      <c r="HO47" s="36"/>
      <c r="HP47" s="36"/>
      <c r="HQ47" s="36"/>
      <c r="HR47" s="36"/>
      <c r="HS47" s="36"/>
      <c r="HT47" s="36"/>
      <c r="HU47" s="36"/>
      <c r="HV47" s="36"/>
      <c r="HW47" s="36"/>
      <c r="HX47" s="36"/>
      <c r="HY47" s="36"/>
      <c r="HZ47" s="36"/>
      <c r="IA47" s="36"/>
      <c r="IB47" s="36"/>
      <c r="IC47" s="36"/>
      <c r="ID47" s="36"/>
      <c r="IE47" s="36"/>
      <c r="IF47" s="36"/>
      <c r="IG47" s="36"/>
      <c r="IH47" s="36"/>
      <c r="II47" s="36"/>
      <c r="IJ47" s="36"/>
      <c r="IK47" s="36"/>
      <c r="IL47" s="36"/>
      <c r="IM47" s="36"/>
      <c r="IN47" s="36"/>
      <c r="IO47" s="36"/>
      <c r="IP47" s="36"/>
      <c r="IQ47" s="36"/>
      <c r="IR47" s="36"/>
      <c r="IS47" s="36"/>
      <c r="IT47" s="36"/>
      <c r="IU47" s="36"/>
      <c r="IV47" s="36"/>
      <c r="IW47" s="36"/>
      <c r="IX47" s="36"/>
      <c r="IY47" s="36"/>
      <c r="IZ47" s="36"/>
      <c r="JA47" s="36"/>
      <c r="JB47" s="36"/>
      <c r="JC47" s="36"/>
      <c r="JD47" s="36"/>
      <c r="JE47" s="36"/>
      <c r="JF47" s="36"/>
      <c r="JG47" s="36"/>
      <c r="JH47" s="36"/>
      <c r="JI47" s="36"/>
      <c r="JJ47" s="36"/>
      <c r="JK47" s="36"/>
      <c r="JL47" s="36"/>
      <c r="JM47" s="36"/>
      <c r="JN47" s="36"/>
      <c r="JO47" s="36"/>
      <c r="JP47" s="36"/>
      <c r="JQ47" s="36"/>
      <c r="JR47" s="36"/>
      <c r="JS47" s="36"/>
      <c r="JT47" s="36"/>
      <c r="JU47" s="36"/>
      <c r="JV47" s="36"/>
      <c r="JW47" s="36"/>
      <c r="JX47" s="36"/>
      <c r="JY47" s="36"/>
      <c r="JZ47" s="36"/>
      <c r="KA47" s="36"/>
      <c r="KB47" s="36"/>
      <c r="KC47" s="36"/>
      <c r="KD47" s="36"/>
      <c r="KE47" s="36"/>
      <c r="KF47" s="36"/>
      <c r="KG47" s="36"/>
      <c r="KH47" s="36"/>
      <c r="KI47" s="36"/>
      <c r="KJ47" s="36"/>
      <c r="KK47" s="36"/>
      <c r="KL47" s="36"/>
      <c r="KM47" s="36"/>
      <c r="KN47" s="36"/>
      <c r="KO47" s="36"/>
      <c r="KP47" s="36"/>
      <c r="KQ47" s="36"/>
      <c r="KR47" s="36"/>
      <c r="KS47" s="36"/>
      <c r="KT47" s="36"/>
      <c r="KU47" s="36"/>
      <c r="KV47" s="36"/>
      <c r="KW47" s="36"/>
      <c r="KX47" s="36"/>
      <c r="KY47" s="36"/>
      <c r="KZ47" s="36"/>
      <c r="LA47" s="36"/>
      <c r="LB47" s="36"/>
      <c r="LC47" s="36"/>
      <c r="LD47" s="36"/>
      <c r="LE47" s="36"/>
      <c r="LF47" s="36"/>
      <c r="LG47" s="36"/>
      <c r="LH47" s="36"/>
      <c r="LI47" s="36"/>
      <c r="LJ47" s="36"/>
      <c r="LK47" s="36"/>
      <c r="LL47" s="36"/>
      <c r="LM47" s="36"/>
      <c r="LN47" s="36"/>
      <c r="LO47" s="36"/>
      <c r="LP47" s="36"/>
      <c r="LQ47" s="36"/>
      <c r="LR47" s="36"/>
      <c r="LS47" s="36"/>
      <c r="LT47" s="36"/>
      <c r="LU47" s="36"/>
      <c r="LV47" s="36"/>
      <c r="LW47" s="36"/>
      <c r="LX47" s="36"/>
      <c r="LY47" s="36"/>
      <c r="MA47" s="10"/>
    </row>
    <row r="48" spans="2:339" ht="15.75" thickBot="1">
      <c r="B48" s="137" t="s">
        <v>22</v>
      </c>
      <c r="C48" s="138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  <c r="GS48" s="11"/>
      <c r="GT48" s="11"/>
      <c r="GU48" s="11"/>
      <c r="GV48" s="11"/>
      <c r="GW48" s="11"/>
      <c r="GX48" s="11"/>
      <c r="GY48" s="11"/>
      <c r="GZ48" s="11"/>
      <c r="HA48" s="11"/>
      <c r="HB48" s="11"/>
      <c r="HC48" s="11"/>
      <c r="HD48" s="11"/>
      <c r="HE48" s="11"/>
      <c r="HF48" s="11"/>
      <c r="HG48" s="11"/>
      <c r="HH48" s="11"/>
      <c r="HI48" s="11"/>
      <c r="HJ48" s="11"/>
      <c r="HK48" s="11"/>
      <c r="HL48" s="11"/>
      <c r="HM48" s="11"/>
      <c r="HN48" s="11"/>
      <c r="HO48" s="11"/>
      <c r="HP48" s="11"/>
      <c r="HQ48" s="11"/>
      <c r="HR48" s="11"/>
      <c r="HS48" s="11"/>
      <c r="HT48" s="11"/>
      <c r="HU48" s="11"/>
      <c r="HV48" s="11"/>
      <c r="HW48" s="11"/>
      <c r="HX48" s="11"/>
      <c r="HY48" s="11"/>
      <c r="HZ48" s="11"/>
      <c r="IA48" s="11"/>
      <c r="IB48" s="11"/>
      <c r="IC48" s="11"/>
      <c r="ID48" s="11"/>
      <c r="IE48" s="11"/>
      <c r="IF48" s="11"/>
      <c r="IG48" s="11"/>
      <c r="IH48" s="11"/>
      <c r="II48" s="11"/>
      <c r="IJ48" s="11"/>
      <c r="IK48" s="11"/>
      <c r="IL48" s="11"/>
      <c r="IM48" s="11"/>
      <c r="IN48" s="11"/>
      <c r="IO48" s="11"/>
      <c r="IP48" s="11"/>
      <c r="IQ48" s="11"/>
      <c r="IR48" s="11"/>
      <c r="IS48" s="11"/>
      <c r="IT48" s="11"/>
      <c r="IU48" s="11"/>
      <c r="IV48" s="11"/>
      <c r="IW48" s="11"/>
      <c r="IX48" s="11"/>
      <c r="IY48" s="11"/>
      <c r="IZ48" s="11"/>
      <c r="JA48" s="11"/>
      <c r="JB48" s="11"/>
      <c r="JC48" s="11"/>
      <c r="JD48" s="11"/>
      <c r="JE48" s="11"/>
      <c r="JF48" s="11"/>
      <c r="JG48" s="11"/>
      <c r="JH48" s="11"/>
      <c r="JI48" s="11"/>
      <c r="JJ48" s="11"/>
      <c r="JK48" s="11"/>
      <c r="JL48" s="11"/>
      <c r="JM48" s="11"/>
      <c r="JN48" s="11"/>
      <c r="JO48" s="11"/>
      <c r="JP48" s="11"/>
      <c r="JQ48" s="11"/>
      <c r="JR48" s="11"/>
      <c r="JS48" s="11"/>
      <c r="JT48" s="11"/>
      <c r="JU48" s="11"/>
      <c r="JV48" s="11"/>
      <c r="JW48" s="11"/>
      <c r="JX48" s="11"/>
      <c r="JY48" s="11"/>
      <c r="JZ48" s="11"/>
      <c r="KA48" s="11"/>
      <c r="KB48" s="11"/>
      <c r="KC48" s="11"/>
      <c r="KD48" s="11"/>
      <c r="KE48" s="11"/>
      <c r="KF48" s="11"/>
      <c r="KG48" s="11"/>
      <c r="KH48" s="11"/>
      <c r="KI48" s="11"/>
      <c r="KJ48" s="11"/>
      <c r="KK48" s="11"/>
      <c r="KL48" s="11"/>
      <c r="KM48" s="11"/>
      <c r="KN48" s="11"/>
      <c r="KO48" s="11"/>
      <c r="KP48" s="11"/>
      <c r="KQ48" s="11"/>
      <c r="KR48" s="11"/>
      <c r="KS48" s="11"/>
      <c r="KT48" s="11"/>
      <c r="KU48" s="11"/>
      <c r="KV48" s="11"/>
      <c r="KW48" s="11"/>
      <c r="KX48" s="11"/>
      <c r="KY48" s="11"/>
      <c r="KZ48" s="11"/>
      <c r="LA48" s="11"/>
      <c r="LB48" s="11"/>
      <c r="LC48" s="11"/>
      <c r="LD48" s="11"/>
      <c r="LE48" s="11"/>
      <c r="LF48" s="11"/>
      <c r="LG48" s="11"/>
      <c r="LH48" s="11"/>
      <c r="LI48" s="11"/>
      <c r="LJ48" s="11"/>
      <c r="LK48" s="11"/>
      <c r="LL48" s="11"/>
      <c r="LM48" s="11"/>
      <c r="LN48" s="11"/>
      <c r="LO48" s="11"/>
      <c r="LP48" s="11"/>
      <c r="LQ48" s="11"/>
      <c r="LR48" s="11"/>
      <c r="LS48" s="11"/>
      <c r="LT48" s="11"/>
      <c r="LU48" s="11"/>
      <c r="LV48" s="11"/>
      <c r="LW48" s="11"/>
      <c r="LX48" s="11"/>
      <c r="LY48" s="11"/>
      <c r="MA48" s="2">
        <f>SUM(E48:LY48)</f>
        <v>0</v>
      </c>
    </row>
    <row r="49" spans="1:339" ht="15.75" thickBot="1">
      <c r="B49" s="137" t="s">
        <v>23</v>
      </c>
      <c r="C49" s="138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  <c r="DO49" s="11"/>
      <c r="DP49" s="11"/>
      <c r="DQ49" s="11"/>
      <c r="DR49" s="11"/>
      <c r="DS49" s="11"/>
      <c r="DT49" s="11"/>
      <c r="DU49" s="11"/>
      <c r="DV49" s="11"/>
      <c r="DW49" s="11"/>
      <c r="DX49" s="11"/>
      <c r="DY49" s="11"/>
      <c r="DZ49" s="11"/>
      <c r="EA49" s="11"/>
      <c r="EB49" s="11"/>
      <c r="EC49" s="11"/>
      <c r="ED49" s="11"/>
      <c r="EE49" s="11"/>
      <c r="EF49" s="11"/>
      <c r="EG49" s="11"/>
      <c r="EH49" s="11"/>
      <c r="EI49" s="11"/>
      <c r="EJ49" s="11"/>
      <c r="EK49" s="11"/>
      <c r="EL49" s="11"/>
      <c r="EM49" s="11"/>
      <c r="EN49" s="11"/>
      <c r="EO49" s="11"/>
      <c r="EP49" s="11"/>
      <c r="EQ49" s="11"/>
      <c r="ER49" s="11"/>
      <c r="ES49" s="11"/>
      <c r="ET49" s="11"/>
      <c r="EU49" s="11"/>
      <c r="EV49" s="11"/>
      <c r="EW49" s="11"/>
      <c r="EX49" s="11"/>
      <c r="EY49" s="11"/>
      <c r="EZ49" s="11"/>
      <c r="FA49" s="11"/>
      <c r="FB49" s="11"/>
      <c r="FC49" s="11"/>
      <c r="FD49" s="11"/>
      <c r="FE49" s="11"/>
      <c r="FF49" s="11"/>
      <c r="FG49" s="11"/>
      <c r="FH49" s="11"/>
      <c r="FI49" s="11"/>
      <c r="FJ49" s="11"/>
      <c r="FK49" s="11"/>
      <c r="FL49" s="11"/>
      <c r="FM49" s="11"/>
      <c r="FN49" s="11"/>
      <c r="FO49" s="11"/>
      <c r="FP49" s="11"/>
      <c r="FQ49" s="11"/>
      <c r="FR49" s="11"/>
      <c r="FS49" s="11"/>
      <c r="FT49" s="11"/>
      <c r="FU49" s="11"/>
      <c r="FV49" s="11"/>
      <c r="FW49" s="11"/>
      <c r="FX49" s="11"/>
      <c r="FY49" s="11"/>
      <c r="FZ49" s="11"/>
      <c r="GA49" s="11"/>
      <c r="GB49" s="11"/>
      <c r="GC49" s="11"/>
      <c r="GD49" s="11"/>
      <c r="GE49" s="11"/>
      <c r="GF49" s="11"/>
      <c r="GG49" s="11"/>
      <c r="GH49" s="11"/>
      <c r="GI49" s="11"/>
      <c r="GJ49" s="11"/>
      <c r="GK49" s="11"/>
      <c r="GL49" s="11"/>
      <c r="GM49" s="11"/>
      <c r="GN49" s="11"/>
      <c r="GO49" s="11"/>
      <c r="GP49" s="11"/>
      <c r="GQ49" s="11"/>
      <c r="GR49" s="11"/>
      <c r="GS49" s="11"/>
      <c r="GT49" s="11"/>
      <c r="GU49" s="11"/>
      <c r="GV49" s="11"/>
      <c r="GW49" s="11"/>
      <c r="GX49" s="11"/>
      <c r="GY49" s="11"/>
      <c r="GZ49" s="11"/>
      <c r="HA49" s="11"/>
      <c r="HB49" s="11"/>
      <c r="HC49" s="11"/>
      <c r="HD49" s="11"/>
      <c r="HE49" s="11"/>
      <c r="HF49" s="11"/>
      <c r="HG49" s="11"/>
      <c r="HH49" s="11"/>
      <c r="HI49" s="11"/>
      <c r="HJ49" s="11"/>
      <c r="HK49" s="11"/>
      <c r="HL49" s="11"/>
      <c r="HM49" s="11"/>
      <c r="HN49" s="11"/>
      <c r="HO49" s="11"/>
      <c r="HP49" s="11"/>
      <c r="HQ49" s="11"/>
      <c r="HR49" s="11"/>
      <c r="HS49" s="11"/>
      <c r="HT49" s="11"/>
      <c r="HU49" s="11"/>
      <c r="HV49" s="11"/>
      <c r="HW49" s="11"/>
      <c r="HX49" s="11"/>
      <c r="HY49" s="11"/>
      <c r="HZ49" s="11"/>
      <c r="IA49" s="11"/>
      <c r="IB49" s="11"/>
      <c r="IC49" s="11"/>
      <c r="ID49" s="11"/>
      <c r="IE49" s="11"/>
      <c r="IF49" s="11"/>
      <c r="IG49" s="11"/>
      <c r="IH49" s="11"/>
      <c r="II49" s="11"/>
      <c r="IJ49" s="11"/>
      <c r="IK49" s="11"/>
      <c r="IL49" s="11"/>
      <c r="IM49" s="11"/>
      <c r="IN49" s="11"/>
      <c r="IO49" s="11"/>
      <c r="IP49" s="11"/>
      <c r="IQ49" s="11"/>
      <c r="IR49" s="11"/>
      <c r="IS49" s="11"/>
      <c r="IT49" s="11"/>
      <c r="IU49" s="11"/>
      <c r="IV49" s="11"/>
      <c r="IW49" s="11"/>
      <c r="IX49" s="11"/>
      <c r="IY49" s="11"/>
      <c r="IZ49" s="11"/>
      <c r="JA49" s="11"/>
      <c r="JB49" s="11"/>
      <c r="JC49" s="11"/>
      <c r="JD49" s="11"/>
      <c r="JE49" s="11"/>
      <c r="JF49" s="11"/>
      <c r="JG49" s="11"/>
      <c r="JH49" s="11"/>
      <c r="JI49" s="11"/>
      <c r="JJ49" s="11"/>
      <c r="JK49" s="11"/>
      <c r="JL49" s="11"/>
      <c r="JM49" s="11"/>
      <c r="JN49" s="11"/>
      <c r="JO49" s="11"/>
      <c r="JP49" s="11"/>
      <c r="JQ49" s="11"/>
      <c r="JR49" s="11"/>
      <c r="JS49" s="11"/>
      <c r="JT49" s="11"/>
      <c r="JU49" s="11"/>
      <c r="JV49" s="11"/>
      <c r="JW49" s="11"/>
      <c r="JX49" s="11"/>
      <c r="JY49" s="11"/>
      <c r="JZ49" s="11"/>
      <c r="KA49" s="11"/>
      <c r="KB49" s="11"/>
      <c r="KC49" s="11"/>
      <c r="KD49" s="11"/>
      <c r="KE49" s="11"/>
      <c r="KF49" s="11"/>
      <c r="KG49" s="11"/>
      <c r="KH49" s="11"/>
      <c r="KI49" s="11"/>
      <c r="KJ49" s="11"/>
      <c r="KK49" s="11"/>
      <c r="KL49" s="11"/>
      <c r="KM49" s="11"/>
      <c r="KN49" s="11"/>
      <c r="KO49" s="11"/>
      <c r="KP49" s="11"/>
      <c r="KQ49" s="11"/>
      <c r="KR49" s="11"/>
      <c r="KS49" s="11"/>
      <c r="KT49" s="11"/>
      <c r="KU49" s="11"/>
      <c r="KV49" s="11"/>
      <c r="KW49" s="11"/>
      <c r="KX49" s="11"/>
      <c r="KY49" s="11"/>
      <c r="KZ49" s="11"/>
      <c r="LA49" s="11"/>
      <c r="LB49" s="11"/>
      <c r="LC49" s="11"/>
      <c r="LD49" s="11"/>
      <c r="LE49" s="11"/>
      <c r="LF49" s="11"/>
      <c r="LG49" s="11"/>
      <c r="LH49" s="11"/>
      <c r="LI49" s="11"/>
      <c r="LJ49" s="11"/>
      <c r="LK49" s="11"/>
      <c r="LL49" s="11"/>
      <c r="LM49" s="11"/>
      <c r="LN49" s="11"/>
      <c r="LO49" s="11"/>
      <c r="LP49" s="11"/>
      <c r="LQ49" s="11"/>
      <c r="LR49" s="11"/>
      <c r="LS49" s="11"/>
      <c r="LT49" s="11"/>
      <c r="LU49" s="11"/>
      <c r="LV49" s="11"/>
      <c r="LW49" s="11"/>
      <c r="LX49" s="11"/>
      <c r="LY49" s="11"/>
      <c r="MA49" s="2">
        <f>SUM(E49:LY49)</f>
        <v>0</v>
      </c>
    </row>
    <row r="50" spans="1:339" ht="15.75" thickBot="1">
      <c r="B50" s="137" t="s">
        <v>24</v>
      </c>
      <c r="C50" s="138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  <c r="EG50" s="11"/>
      <c r="EH50" s="11"/>
      <c r="EI50" s="11"/>
      <c r="EJ50" s="11"/>
      <c r="EK50" s="11"/>
      <c r="EL50" s="11"/>
      <c r="EM50" s="11"/>
      <c r="EN50" s="11"/>
      <c r="EO50" s="11"/>
      <c r="EP50" s="11"/>
      <c r="EQ50" s="11"/>
      <c r="ER50" s="11"/>
      <c r="ES50" s="11"/>
      <c r="ET50" s="11"/>
      <c r="EU50" s="11"/>
      <c r="EV50" s="11"/>
      <c r="EW50" s="11"/>
      <c r="EX50" s="11"/>
      <c r="EY50" s="11"/>
      <c r="EZ50" s="11"/>
      <c r="FA50" s="11"/>
      <c r="FB50" s="11"/>
      <c r="FC50" s="11"/>
      <c r="FD50" s="11"/>
      <c r="FE50" s="11"/>
      <c r="FF50" s="11"/>
      <c r="FG50" s="11"/>
      <c r="FH50" s="11"/>
      <c r="FI50" s="11"/>
      <c r="FJ50" s="11"/>
      <c r="FK50" s="11"/>
      <c r="FL50" s="11"/>
      <c r="FM50" s="11"/>
      <c r="FN50" s="11"/>
      <c r="FO50" s="11"/>
      <c r="FP50" s="11"/>
      <c r="FQ50" s="11"/>
      <c r="FR50" s="11"/>
      <c r="FS50" s="11"/>
      <c r="FT50" s="11"/>
      <c r="FU50" s="11"/>
      <c r="FV50" s="11"/>
      <c r="FW50" s="11"/>
      <c r="FX50" s="11"/>
      <c r="FY50" s="11"/>
      <c r="FZ50" s="11"/>
      <c r="GA50" s="11"/>
      <c r="GB50" s="11"/>
      <c r="GC50" s="11"/>
      <c r="GD50" s="11"/>
      <c r="GE50" s="11"/>
      <c r="GF50" s="11"/>
      <c r="GG50" s="11"/>
      <c r="GH50" s="11"/>
      <c r="GI50" s="11"/>
      <c r="GJ50" s="11"/>
      <c r="GK50" s="11"/>
      <c r="GL50" s="11"/>
      <c r="GM50" s="11"/>
      <c r="GN50" s="11"/>
      <c r="GO50" s="11"/>
      <c r="GP50" s="11"/>
      <c r="GQ50" s="11"/>
      <c r="GR50" s="11"/>
      <c r="GS50" s="11"/>
      <c r="GT50" s="11"/>
      <c r="GU50" s="11"/>
      <c r="GV50" s="11"/>
      <c r="GW50" s="11"/>
      <c r="GX50" s="11"/>
      <c r="GY50" s="11"/>
      <c r="GZ50" s="11"/>
      <c r="HA50" s="11"/>
      <c r="HB50" s="11"/>
      <c r="HC50" s="11"/>
      <c r="HD50" s="11"/>
      <c r="HE50" s="11"/>
      <c r="HF50" s="11"/>
      <c r="HG50" s="11"/>
      <c r="HH50" s="11"/>
      <c r="HI50" s="11"/>
      <c r="HJ50" s="11"/>
      <c r="HK50" s="11"/>
      <c r="HL50" s="11"/>
      <c r="HM50" s="11"/>
      <c r="HN50" s="11"/>
      <c r="HO50" s="11"/>
      <c r="HP50" s="11"/>
      <c r="HQ50" s="11"/>
      <c r="HR50" s="11"/>
      <c r="HS50" s="11"/>
      <c r="HT50" s="11"/>
      <c r="HU50" s="11"/>
      <c r="HV50" s="11"/>
      <c r="HW50" s="11"/>
      <c r="HX50" s="11"/>
      <c r="HY50" s="11"/>
      <c r="HZ50" s="11"/>
      <c r="IA50" s="11"/>
      <c r="IB50" s="11"/>
      <c r="IC50" s="11"/>
      <c r="ID50" s="11"/>
      <c r="IE50" s="11"/>
      <c r="IF50" s="11"/>
      <c r="IG50" s="11"/>
      <c r="IH50" s="11"/>
      <c r="II50" s="11"/>
      <c r="IJ50" s="11"/>
      <c r="IK50" s="11"/>
      <c r="IL50" s="11"/>
      <c r="IM50" s="11"/>
      <c r="IN50" s="11"/>
      <c r="IO50" s="11"/>
      <c r="IP50" s="11"/>
      <c r="IQ50" s="11"/>
      <c r="IR50" s="11"/>
      <c r="IS50" s="11"/>
      <c r="IT50" s="11"/>
      <c r="IU50" s="11"/>
      <c r="IV50" s="11"/>
      <c r="IW50" s="11"/>
      <c r="IX50" s="11"/>
      <c r="IY50" s="11"/>
      <c r="IZ50" s="11"/>
      <c r="JA50" s="11"/>
      <c r="JB50" s="11"/>
      <c r="JC50" s="11"/>
      <c r="JD50" s="11"/>
      <c r="JE50" s="11"/>
      <c r="JF50" s="11"/>
      <c r="JG50" s="11"/>
      <c r="JH50" s="11"/>
      <c r="JI50" s="11"/>
      <c r="JJ50" s="11"/>
      <c r="JK50" s="11"/>
      <c r="JL50" s="11"/>
      <c r="JM50" s="11"/>
      <c r="JN50" s="11"/>
      <c r="JO50" s="11"/>
      <c r="JP50" s="11"/>
      <c r="JQ50" s="11"/>
      <c r="JR50" s="11"/>
      <c r="JS50" s="11"/>
      <c r="JT50" s="11"/>
      <c r="JU50" s="11"/>
      <c r="JV50" s="11"/>
      <c r="JW50" s="11"/>
      <c r="JX50" s="11"/>
      <c r="JY50" s="11"/>
      <c r="JZ50" s="11"/>
      <c r="KA50" s="11"/>
      <c r="KB50" s="11"/>
      <c r="KC50" s="11"/>
      <c r="KD50" s="11"/>
      <c r="KE50" s="11"/>
      <c r="KF50" s="11"/>
      <c r="KG50" s="11"/>
      <c r="KH50" s="11"/>
      <c r="KI50" s="11"/>
      <c r="KJ50" s="11"/>
      <c r="KK50" s="11"/>
      <c r="KL50" s="11"/>
      <c r="KM50" s="11"/>
      <c r="KN50" s="11"/>
      <c r="KO50" s="11"/>
      <c r="KP50" s="11"/>
      <c r="KQ50" s="11"/>
      <c r="KR50" s="11"/>
      <c r="KS50" s="11"/>
      <c r="KT50" s="11"/>
      <c r="KU50" s="11"/>
      <c r="KV50" s="11"/>
      <c r="KW50" s="11"/>
      <c r="KX50" s="11"/>
      <c r="KY50" s="11"/>
      <c r="KZ50" s="11"/>
      <c r="LA50" s="11"/>
      <c r="LB50" s="11"/>
      <c r="LC50" s="11"/>
      <c r="LD50" s="11"/>
      <c r="LE50" s="11"/>
      <c r="LF50" s="11"/>
      <c r="LG50" s="11"/>
      <c r="LH50" s="11"/>
      <c r="LI50" s="11"/>
      <c r="LJ50" s="11"/>
      <c r="LK50" s="11"/>
      <c r="LL50" s="11"/>
      <c r="LM50" s="11"/>
      <c r="LN50" s="11"/>
      <c r="LO50" s="11"/>
      <c r="LP50" s="11"/>
      <c r="LQ50" s="11"/>
      <c r="LR50" s="11"/>
      <c r="LS50" s="11"/>
      <c r="LT50" s="11"/>
      <c r="LU50" s="11"/>
      <c r="LV50" s="11"/>
      <c r="LW50" s="11"/>
      <c r="LX50" s="11"/>
      <c r="LY50" s="11"/>
      <c r="MA50" s="2">
        <f t="shared" si="1344"/>
        <v>0</v>
      </c>
    </row>
    <row r="51" spans="1:339" ht="15.75" thickBot="1">
      <c r="B51" s="137" t="s">
        <v>25</v>
      </c>
      <c r="C51" s="138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/>
      <c r="DR51" s="11"/>
      <c r="DS51" s="11"/>
      <c r="DT51" s="11"/>
      <c r="DU51" s="11"/>
      <c r="DV51" s="11"/>
      <c r="DW51" s="11"/>
      <c r="DX51" s="11"/>
      <c r="DY51" s="11"/>
      <c r="DZ51" s="11"/>
      <c r="EA51" s="11"/>
      <c r="EB51" s="11"/>
      <c r="EC51" s="11"/>
      <c r="ED51" s="11"/>
      <c r="EE51" s="11"/>
      <c r="EF51" s="11"/>
      <c r="EG51" s="11"/>
      <c r="EH51" s="11"/>
      <c r="EI51" s="11"/>
      <c r="EJ51" s="11"/>
      <c r="EK51" s="11"/>
      <c r="EL51" s="11"/>
      <c r="EM51" s="11"/>
      <c r="EN51" s="11"/>
      <c r="EO51" s="11"/>
      <c r="EP51" s="11"/>
      <c r="EQ51" s="11"/>
      <c r="ER51" s="11"/>
      <c r="ES51" s="11"/>
      <c r="ET51" s="11"/>
      <c r="EU51" s="11"/>
      <c r="EV51" s="11"/>
      <c r="EW51" s="11"/>
      <c r="EX51" s="11"/>
      <c r="EY51" s="11"/>
      <c r="EZ51" s="11"/>
      <c r="FA51" s="11"/>
      <c r="FB51" s="11"/>
      <c r="FC51" s="11"/>
      <c r="FD51" s="11"/>
      <c r="FE51" s="11"/>
      <c r="FF51" s="11"/>
      <c r="FG51" s="11"/>
      <c r="FH51" s="11"/>
      <c r="FI51" s="11"/>
      <c r="FJ51" s="11"/>
      <c r="FK51" s="11"/>
      <c r="FL51" s="11"/>
      <c r="FM51" s="11"/>
      <c r="FN51" s="11"/>
      <c r="FO51" s="11"/>
      <c r="FP51" s="11"/>
      <c r="FQ51" s="11"/>
      <c r="FR51" s="11"/>
      <c r="FS51" s="11"/>
      <c r="FT51" s="11"/>
      <c r="FU51" s="11"/>
      <c r="FV51" s="11"/>
      <c r="FW51" s="11"/>
      <c r="FX51" s="11"/>
      <c r="FY51" s="11"/>
      <c r="FZ51" s="11"/>
      <c r="GA51" s="11"/>
      <c r="GB51" s="11"/>
      <c r="GC51" s="11"/>
      <c r="GD51" s="11"/>
      <c r="GE51" s="11"/>
      <c r="GF51" s="11"/>
      <c r="GG51" s="11"/>
      <c r="GH51" s="11"/>
      <c r="GI51" s="11"/>
      <c r="GJ51" s="11"/>
      <c r="GK51" s="11"/>
      <c r="GL51" s="11"/>
      <c r="GM51" s="11"/>
      <c r="GN51" s="11"/>
      <c r="GO51" s="11"/>
      <c r="GP51" s="11"/>
      <c r="GQ51" s="11"/>
      <c r="GR51" s="11"/>
      <c r="GS51" s="11"/>
      <c r="GT51" s="11"/>
      <c r="GU51" s="11"/>
      <c r="GV51" s="11"/>
      <c r="GW51" s="11"/>
      <c r="GX51" s="11"/>
      <c r="GY51" s="11"/>
      <c r="GZ51" s="11"/>
      <c r="HA51" s="11"/>
      <c r="HB51" s="11"/>
      <c r="HC51" s="11"/>
      <c r="HD51" s="11"/>
      <c r="HE51" s="11"/>
      <c r="HF51" s="11"/>
      <c r="HG51" s="11"/>
      <c r="HH51" s="11"/>
      <c r="HI51" s="11"/>
      <c r="HJ51" s="11"/>
      <c r="HK51" s="11"/>
      <c r="HL51" s="11"/>
      <c r="HM51" s="11"/>
      <c r="HN51" s="11"/>
      <c r="HO51" s="11"/>
      <c r="HP51" s="11"/>
      <c r="HQ51" s="11"/>
      <c r="HR51" s="11"/>
      <c r="HS51" s="11"/>
      <c r="HT51" s="11"/>
      <c r="HU51" s="11"/>
      <c r="HV51" s="11"/>
      <c r="HW51" s="11"/>
      <c r="HX51" s="11"/>
      <c r="HY51" s="11"/>
      <c r="HZ51" s="11"/>
      <c r="IA51" s="11"/>
      <c r="IB51" s="11"/>
      <c r="IC51" s="11"/>
      <c r="ID51" s="11"/>
      <c r="IE51" s="11"/>
      <c r="IF51" s="11"/>
      <c r="IG51" s="11"/>
      <c r="IH51" s="11"/>
      <c r="II51" s="11"/>
      <c r="IJ51" s="11"/>
      <c r="IK51" s="11"/>
      <c r="IL51" s="11"/>
      <c r="IM51" s="11"/>
      <c r="IN51" s="11"/>
      <c r="IO51" s="11"/>
      <c r="IP51" s="11"/>
      <c r="IQ51" s="11"/>
      <c r="IR51" s="11"/>
      <c r="IS51" s="11"/>
      <c r="IT51" s="11"/>
      <c r="IU51" s="11"/>
      <c r="IV51" s="11"/>
      <c r="IW51" s="11"/>
      <c r="IX51" s="11"/>
      <c r="IY51" s="11"/>
      <c r="IZ51" s="11"/>
      <c r="JA51" s="11"/>
      <c r="JB51" s="11"/>
      <c r="JC51" s="11"/>
      <c r="JD51" s="11"/>
      <c r="JE51" s="11"/>
      <c r="JF51" s="11"/>
      <c r="JG51" s="11"/>
      <c r="JH51" s="11"/>
      <c r="JI51" s="11"/>
      <c r="JJ51" s="11"/>
      <c r="JK51" s="11"/>
      <c r="JL51" s="11"/>
      <c r="JM51" s="11"/>
      <c r="JN51" s="11"/>
      <c r="JO51" s="11"/>
      <c r="JP51" s="11"/>
      <c r="JQ51" s="11"/>
      <c r="JR51" s="11"/>
      <c r="JS51" s="11"/>
      <c r="JT51" s="11"/>
      <c r="JU51" s="11"/>
      <c r="JV51" s="11"/>
      <c r="JW51" s="11"/>
      <c r="JX51" s="11"/>
      <c r="JY51" s="11"/>
      <c r="JZ51" s="11"/>
      <c r="KA51" s="11"/>
      <c r="KB51" s="11"/>
      <c r="KC51" s="11"/>
      <c r="KD51" s="11"/>
      <c r="KE51" s="11"/>
      <c r="KF51" s="11"/>
      <c r="KG51" s="11"/>
      <c r="KH51" s="11"/>
      <c r="KI51" s="11"/>
      <c r="KJ51" s="11"/>
      <c r="KK51" s="11"/>
      <c r="KL51" s="11"/>
      <c r="KM51" s="11"/>
      <c r="KN51" s="11"/>
      <c r="KO51" s="11"/>
      <c r="KP51" s="11"/>
      <c r="KQ51" s="11"/>
      <c r="KR51" s="11"/>
      <c r="KS51" s="11"/>
      <c r="KT51" s="11"/>
      <c r="KU51" s="11"/>
      <c r="KV51" s="11"/>
      <c r="KW51" s="11"/>
      <c r="KX51" s="11"/>
      <c r="KY51" s="11"/>
      <c r="KZ51" s="11"/>
      <c r="LA51" s="11"/>
      <c r="LB51" s="11"/>
      <c r="LC51" s="11"/>
      <c r="LD51" s="11"/>
      <c r="LE51" s="11"/>
      <c r="LF51" s="11"/>
      <c r="LG51" s="11"/>
      <c r="LH51" s="11"/>
      <c r="LI51" s="11"/>
      <c r="LJ51" s="11"/>
      <c r="LK51" s="11"/>
      <c r="LL51" s="11"/>
      <c r="LM51" s="11"/>
      <c r="LN51" s="11"/>
      <c r="LO51" s="11"/>
      <c r="LP51" s="11"/>
      <c r="LQ51" s="11"/>
      <c r="LR51" s="11"/>
      <c r="LS51" s="11"/>
      <c r="LT51" s="11"/>
      <c r="LU51" s="11"/>
      <c r="LV51" s="11"/>
      <c r="LW51" s="11"/>
      <c r="LX51" s="11"/>
      <c r="LY51" s="11"/>
      <c r="MA51" s="2">
        <f t="shared" si="1344"/>
        <v>0</v>
      </c>
    </row>
    <row r="52" spans="1:339" ht="15.75" thickBot="1">
      <c r="B52" s="137" t="s">
        <v>26</v>
      </c>
      <c r="C52" s="138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  <c r="GS52" s="11"/>
      <c r="GT52" s="11"/>
      <c r="GU52" s="11"/>
      <c r="GV52" s="11"/>
      <c r="GW52" s="11"/>
      <c r="GX52" s="11"/>
      <c r="GY52" s="11"/>
      <c r="GZ52" s="11"/>
      <c r="HA52" s="11"/>
      <c r="HB52" s="11"/>
      <c r="HC52" s="11"/>
      <c r="HD52" s="11"/>
      <c r="HE52" s="11"/>
      <c r="HF52" s="11"/>
      <c r="HG52" s="11"/>
      <c r="HH52" s="11"/>
      <c r="HI52" s="11"/>
      <c r="HJ52" s="11"/>
      <c r="HK52" s="11"/>
      <c r="HL52" s="11"/>
      <c r="HM52" s="11"/>
      <c r="HN52" s="11"/>
      <c r="HO52" s="11"/>
      <c r="HP52" s="11"/>
      <c r="HQ52" s="11"/>
      <c r="HR52" s="11"/>
      <c r="HS52" s="11"/>
      <c r="HT52" s="11"/>
      <c r="HU52" s="11"/>
      <c r="HV52" s="11"/>
      <c r="HW52" s="11"/>
      <c r="HX52" s="11"/>
      <c r="HY52" s="11"/>
      <c r="HZ52" s="11"/>
      <c r="IA52" s="11"/>
      <c r="IB52" s="11"/>
      <c r="IC52" s="11"/>
      <c r="ID52" s="11"/>
      <c r="IE52" s="11"/>
      <c r="IF52" s="11"/>
      <c r="IG52" s="11"/>
      <c r="IH52" s="11"/>
      <c r="II52" s="11"/>
      <c r="IJ52" s="11"/>
      <c r="IK52" s="11"/>
      <c r="IL52" s="11"/>
      <c r="IM52" s="11"/>
      <c r="IN52" s="11"/>
      <c r="IO52" s="11"/>
      <c r="IP52" s="11"/>
      <c r="IQ52" s="11"/>
      <c r="IR52" s="11"/>
      <c r="IS52" s="11"/>
      <c r="IT52" s="11"/>
      <c r="IU52" s="11"/>
      <c r="IV52" s="11"/>
      <c r="IW52" s="11"/>
      <c r="IX52" s="11"/>
      <c r="IY52" s="11"/>
      <c r="IZ52" s="11"/>
      <c r="JA52" s="11"/>
      <c r="JB52" s="11"/>
      <c r="JC52" s="11"/>
      <c r="JD52" s="11"/>
      <c r="JE52" s="11"/>
      <c r="JF52" s="11"/>
      <c r="JG52" s="11"/>
      <c r="JH52" s="11"/>
      <c r="JI52" s="11"/>
      <c r="JJ52" s="11"/>
      <c r="JK52" s="11"/>
      <c r="JL52" s="11"/>
      <c r="JM52" s="11"/>
      <c r="JN52" s="11"/>
      <c r="JO52" s="11"/>
      <c r="JP52" s="11"/>
      <c r="JQ52" s="11"/>
      <c r="JR52" s="11"/>
      <c r="JS52" s="11"/>
      <c r="JT52" s="11"/>
      <c r="JU52" s="11"/>
      <c r="JV52" s="11"/>
      <c r="JW52" s="11"/>
      <c r="JX52" s="11"/>
      <c r="JY52" s="11"/>
      <c r="JZ52" s="11"/>
      <c r="KA52" s="11"/>
      <c r="KB52" s="11"/>
      <c r="KC52" s="11"/>
      <c r="KD52" s="11"/>
      <c r="KE52" s="11"/>
      <c r="KF52" s="11"/>
      <c r="KG52" s="11"/>
      <c r="KH52" s="11"/>
      <c r="KI52" s="11"/>
      <c r="KJ52" s="11"/>
      <c r="KK52" s="11"/>
      <c r="KL52" s="11"/>
      <c r="KM52" s="11"/>
      <c r="KN52" s="11"/>
      <c r="KO52" s="11"/>
      <c r="KP52" s="11"/>
      <c r="KQ52" s="11"/>
      <c r="KR52" s="11"/>
      <c r="KS52" s="11"/>
      <c r="KT52" s="11"/>
      <c r="KU52" s="11"/>
      <c r="KV52" s="11"/>
      <c r="KW52" s="11"/>
      <c r="KX52" s="11"/>
      <c r="KY52" s="11"/>
      <c r="KZ52" s="11"/>
      <c r="LA52" s="11"/>
      <c r="LB52" s="11"/>
      <c r="LC52" s="11"/>
      <c r="LD52" s="11"/>
      <c r="LE52" s="11"/>
      <c r="LF52" s="11"/>
      <c r="LG52" s="11"/>
      <c r="LH52" s="11"/>
      <c r="LI52" s="11"/>
      <c r="LJ52" s="11"/>
      <c r="LK52" s="11"/>
      <c r="LL52" s="11"/>
      <c r="LM52" s="11"/>
      <c r="LN52" s="11"/>
      <c r="LO52" s="11"/>
      <c r="LP52" s="11"/>
      <c r="LQ52" s="11"/>
      <c r="LR52" s="11"/>
      <c r="LS52" s="11"/>
      <c r="LT52" s="11"/>
      <c r="LU52" s="11"/>
      <c r="LV52" s="11"/>
      <c r="LW52" s="11"/>
      <c r="LX52" s="11"/>
      <c r="LY52" s="11"/>
      <c r="MA52" s="2">
        <f t="shared" si="1344"/>
        <v>0</v>
      </c>
    </row>
    <row r="53" spans="1:339" ht="15.75" thickBot="1">
      <c r="B53" s="137" t="s">
        <v>27</v>
      </c>
      <c r="C53" s="138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  <c r="EA53" s="11"/>
      <c r="EB53" s="11"/>
      <c r="EC53" s="11"/>
      <c r="ED53" s="11"/>
      <c r="EE53" s="11"/>
      <c r="EF53" s="11"/>
      <c r="EG53" s="11"/>
      <c r="EH53" s="11"/>
      <c r="EI53" s="11"/>
      <c r="EJ53" s="11"/>
      <c r="EK53" s="11"/>
      <c r="EL53" s="11"/>
      <c r="EM53" s="11"/>
      <c r="EN53" s="11"/>
      <c r="EO53" s="11"/>
      <c r="EP53" s="11"/>
      <c r="EQ53" s="11"/>
      <c r="ER53" s="11"/>
      <c r="ES53" s="11"/>
      <c r="ET53" s="11"/>
      <c r="EU53" s="11"/>
      <c r="EV53" s="11"/>
      <c r="EW53" s="11"/>
      <c r="EX53" s="11"/>
      <c r="EY53" s="11"/>
      <c r="EZ53" s="11"/>
      <c r="FA53" s="11"/>
      <c r="FB53" s="11"/>
      <c r="FC53" s="11"/>
      <c r="FD53" s="11"/>
      <c r="FE53" s="11"/>
      <c r="FF53" s="11"/>
      <c r="FG53" s="11"/>
      <c r="FH53" s="11"/>
      <c r="FI53" s="11"/>
      <c r="FJ53" s="11"/>
      <c r="FK53" s="11"/>
      <c r="FL53" s="11"/>
      <c r="FM53" s="11"/>
      <c r="FN53" s="11"/>
      <c r="FO53" s="11"/>
      <c r="FP53" s="11"/>
      <c r="FQ53" s="11"/>
      <c r="FR53" s="11"/>
      <c r="FS53" s="11"/>
      <c r="FT53" s="11"/>
      <c r="FU53" s="11"/>
      <c r="FV53" s="11"/>
      <c r="FW53" s="11"/>
      <c r="FX53" s="11"/>
      <c r="FY53" s="11"/>
      <c r="FZ53" s="11"/>
      <c r="GA53" s="11"/>
      <c r="GB53" s="11"/>
      <c r="GC53" s="11"/>
      <c r="GD53" s="11"/>
      <c r="GE53" s="11"/>
      <c r="GF53" s="11"/>
      <c r="GG53" s="11"/>
      <c r="GH53" s="11"/>
      <c r="GI53" s="11"/>
      <c r="GJ53" s="11"/>
      <c r="GK53" s="11"/>
      <c r="GL53" s="11"/>
      <c r="GM53" s="11"/>
      <c r="GN53" s="11"/>
      <c r="GO53" s="11"/>
      <c r="GP53" s="11"/>
      <c r="GQ53" s="11"/>
      <c r="GR53" s="11"/>
      <c r="GS53" s="11"/>
      <c r="GT53" s="11"/>
      <c r="GU53" s="11"/>
      <c r="GV53" s="11"/>
      <c r="GW53" s="11"/>
      <c r="GX53" s="11"/>
      <c r="GY53" s="11"/>
      <c r="GZ53" s="11"/>
      <c r="HA53" s="11"/>
      <c r="HB53" s="11"/>
      <c r="HC53" s="11"/>
      <c r="HD53" s="11"/>
      <c r="HE53" s="11"/>
      <c r="HF53" s="11"/>
      <c r="HG53" s="11"/>
      <c r="HH53" s="11"/>
      <c r="HI53" s="11"/>
      <c r="HJ53" s="11"/>
      <c r="HK53" s="11"/>
      <c r="HL53" s="11"/>
      <c r="HM53" s="11"/>
      <c r="HN53" s="11"/>
      <c r="HO53" s="11"/>
      <c r="HP53" s="11"/>
      <c r="HQ53" s="11"/>
      <c r="HR53" s="11"/>
      <c r="HS53" s="11"/>
      <c r="HT53" s="11"/>
      <c r="HU53" s="11"/>
      <c r="HV53" s="11"/>
      <c r="HW53" s="11"/>
      <c r="HX53" s="11"/>
      <c r="HY53" s="11"/>
      <c r="HZ53" s="11"/>
      <c r="IA53" s="11"/>
      <c r="IB53" s="11"/>
      <c r="IC53" s="11"/>
      <c r="ID53" s="11"/>
      <c r="IE53" s="11"/>
      <c r="IF53" s="11"/>
      <c r="IG53" s="11"/>
      <c r="IH53" s="11"/>
      <c r="II53" s="11"/>
      <c r="IJ53" s="11"/>
      <c r="IK53" s="11"/>
      <c r="IL53" s="11"/>
      <c r="IM53" s="11"/>
      <c r="IN53" s="11"/>
      <c r="IO53" s="11"/>
      <c r="IP53" s="11"/>
      <c r="IQ53" s="11"/>
      <c r="IR53" s="11"/>
      <c r="IS53" s="11"/>
      <c r="IT53" s="11"/>
      <c r="IU53" s="11"/>
      <c r="IV53" s="11"/>
      <c r="IW53" s="11"/>
      <c r="IX53" s="11"/>
      <c r="IY53" s="11"/>
      <c r="IZ53" s="11"/>
      <c r="JA53" s="11"/>
      <c r="JB53" s="11"/>
      <c r="JC53" s="11"/>
      <c r="JD53" s="11"/>
      <c r="JE53" s="11"/>
      <c r="JF53" s="11"/>
      <c r="JG53" s="11"/>
      <c r="JH53" s="11"/>
      <c r="JI53" s="11"/>
      <c r="JJ53" s="11"/>
      <c r="JK53" s="11"/>
      <c r="JL53" s="11"/>
      <c r="JM53" s="11"/>
      <c r="JN53" s="11"/>
      <c r="JO53" s="11"/>
      <c r="JP53" s="11"/>
      <c r="JQ53" s="11"/>
      <c r="JR53" s="11"/>
      <c r="JS53" s="11"/>
      <c r="JT53" s="11"/>
      <c r="JU53" s="11"/>
      <c r="JV53" s="11"/>
      <c r="JW53" s="11"/>
      <c r="JX53" s="11"/>
      <c r="JY53" s="11"/>
      <c r="JZ53" s="11"/>
      <c r="KA53" s="11"/>
      <c r="KB53" s="11"/>
      <c r="KC53" s="11"/>
      <c r="KD53" s="11"/>
      <c r="KE53" s="11"/>
      <c r="KF53" s="11"/>
      <c r="KG53" s="11"/>
      <c r="KH53" s="11"/>
      <c r="KI53" s="11"/>
      <c r="KJ53" s="11"/>
      <c r="KK53" s="11"/>
      <c r="KL53" s="11"/>
      <c r="KM53" s="11"/>
      <c r="KN53" s="11"/>
      <c r="KO53" s="11"/>
      <c r="KP53" s="11"/>
      <c r="KQ53" s="11"/>
      <c r="KR53" s="11"/>
      <c r="KS53" s="11"/>
      <c r="KT53" s="11"/>
      <c r="KU53" s="11"/>
      <c r="KV53" s="11"/>
      <c r="KW53" s="11"/>
      <c r="KX53" s="11"/>
      <c r="KY53" s="11"/>
      <c r="KZ53" s="11"/>
      <c r="LA53" s="11"/>
      <c r="LB53" s="11"/>
      <c r="LC53" s="11"/>
      <c r="LD53" s="11"/>
      <c r="LE53" s="11"/>
      <c r="LF53" s="11"/>
      <c r="LG53" s="11"/>
      <c r="LH53" s="11"/>
      <c r="LI53" s="11"/>
      <c r="LJ53" s="11"/>
      <c r="LK53" s="11"/>
      <c r="LL53" s="11"/>
      <c r="LM53" s="11"/>
      <c r="LN53" s="11"/>
      <c r="LO53" s="11"/>
      <c r="LP53" s="11"/>
      <c r="LQ53" s="11"/>
      <c r="LR53" s="11"/>
      <c r="LS53" s="11"/>
      <c r="LT53" s="11"/>
      <c r="LU53" s="11"/>
      <c r="LV53" s="11"/>
      <c r="LW53" s="11"/>
      <c r="LX53" s="11"/>
      <c r="LY53" s="11"/>
      <c r="MA53" s="2">
        <f t="shared" si="1344"/>
        <v>0</v>
      </c>
    </row>
    <row r="54" spans="1:339" ht="15.75" thickBot="1">
      <c r="B54" s="137" t="s">
        <v>28</v>
      </c>
      <c r="C54" s="138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  <c r="GS54" s="11"/>
      <c r="GT54" s="11"/>
      <c r="GU54" s="11"/>
      <c r="GV54" s="11"/>
      <c r="GW54" s="11"/>
      <c r="GX54" s="11"/>
      <c r="GY54" s="11"/>
      <c r="GZ54" s="11"/>
      <c r="HA54" s="11"/>
      <c r="HB54" s="11"/>
      <c r="HC54" s="11"/>
      <c r="HD54" s="11"/>
      <c r="HE54" s="11"/>
      <c r="HF54" s="11"/>
      <c r="HG54" s="11"/>
      <c r="HH54" s="11"/>
      <c r="HI54" s="11"/>
      <c r="HJ54" s="11"/>
      <c r="HK54" s="11"/>
      <c r="HL54" s="11"/>
      <c r="HM54" s="11"/>
      <c r="HN54" s="11"/>
      <c r="HO54" s="11"/>
      <c r="HP54" s="11"/>
      <c r="HQ54" s="11"/>
      <c r="HR54" s="11"/>
      <c r="HS54" s="11"/>
      <c r="HT54" s="11"/>
      <c r="HU54" s="11"/>
      <c r="HV54" s="11"/>
      <c r="HW54" s="11"/>
      <c r="HX54" s="11"/>
      <c r="HY54" s="11"/>
      <c r="HZ54" s="11"/>
      <c r="IA54" s="11"/>
      <c r="IB54" s="11"/>
      <c r="IC54" s="11"/>
      <c r="ID54" s="11"/>
      <c r="IE54" s="11"/>
      <c r="IF54" s="11"/>
      <c r="IG54" s="11"/>
      <c r="IH54" s="11"/>
      <c r="II54" s="11"/>
      <c r="IJ54" s="11"/>
      <c r="IK54" s="11"/>
      <c r="IL54" s="11"/>
      <c r="IM54" s="11"/>
      <c r="IN54" s="11"/>
      <c r="IO54" s="11"/>
      <c r="IP54" s="11"/>
      <c r="IQ54" s="11"/>
      <c r="IR54" s="11"/>
      <c r="IS54" s="11"/>
      <c r="IT54" s="11"/>
      <c r="IU54" s="11"/>
      <c r="IV54" s="11"/>
      <c r="IW54" s="11"/>
      <c r="IX54" s="11"/>
      <c r="IY54" s="11"/>
      <c r="IZ54" s="11"/>
      <c r="JA54" s="11"/>
      <c r="JB54" s="11"/>
      <c r="JC54" s="11"/>
      <c r="JD54" s="11"/>
      <c r="JE54" s="11"/>
      <c r="JF54" s="11"/>
      <c r="JG54" s="11"/>
      <c r="JH54" s="11"/>
      <c r="JI54" s="11"/>
      <c r="JJ54" s="11"/>
      <c r="JK54" s="11"/>
      <c r="JL54" s="11"/>
      <c r="JM54" s="11"/>
      <c r="JN54" s="11"/>
      <c r="JO54" s="11"/>
      <c r="JP54" s="11"/>
      <c r="JQ54" s="11"/>
      <c r="JR54" s="11"/>
      <c r="JS54" s="11"/>
      <c r="JT54" s="11"/>
      <c r="JU54" s="11"/>
      <c r="JV54" s="11"/>
      <c r="JW54" s="11"/>
      <c r="JX54" s="11"/>
      <c r="JY54" s="11"/>
      <c r="JZ54" s="11"/>
      <c r="KA54" s="11"/>
      <c r="KB54" s="11"/>
      <c r="KC54" s="11"/>
      <c r="KD54" s="11"/>
      <c r="KE54" s="11"/>
      <c r="KF54" s="11"/>
      <c r="KG54" s="11"/>
      <c r="KH54" s="11"/>
      <c r="KI54" s="11"/>
      <c r="KJ54" s="11"/>
      <c r="KK54" s="11"/>
      <c r="KL54" s="11"/>
      <c r="KM54" s="11"/>
      <c r="KN54" s="11"/>
      <c r="KO54" s="11"/>
      <c r="KP54" s="11"/>
      <c r="KQ54" s="11"/>
      <c r="KR54" s="11"/>
      <c r="KS54" s="11"/>
      <c r="KT54" s="11"/>
      <c r="KU54" s="11"/>
      <c r="KV54" s="11"/>
      <c r="KW54" s="11"/>
      <c r="KX54" s="11"/>
      <c r="KY54" s="11"/>
      <c r="KZ54" s="11"/>
      <c r="LA54" s="11"/>
      <c r="LB54" s="11"/>
      <c r="LC54" s="11"/>
      <c r="LD54" s="11"/>
      <c r="LE54" s="11"/>
      <c r="LF54" s="11"/>
      <c r="LG54" s="11"/>
      <c r="LH54" s="11"/>
      <c r="LI54" s="11"/>
      <c r="LJ54" s="11"/>
      <c r="LK54" s="11"/>
      <c r="LL54" s="11"/>
      <c r="LM54" s="11"/>
      <c r="LN54" s="11"/>
      <c r="LO54" s="11"/>
      <c r="LP54" s="11"/>
      <c r="LQ54" s="11"/>
      <c r="LR54" s="11"/>
      <c r="LS54" s="11"/>
      <c r="LT54" s="11"/>
      <c r="LU54" s="11"/>
      <c r="LV54" s="11"/>
      <c r="LW54" s="11"/>
      <c r="LX54" s="11"/>
      <c r="LY54" s="11"/>
      <c r="MA54" s="2">
        <f t="shared" si="1344"/>
        <v>0</v>
      </c>
    </row>
    <row r="55" spans="1:339"/>
    <row r="56" spans="1:339" s="102" customFormat="1" ht="114.75" customHeight="1">
      <c r="A56" s="15"/>
      <c r="B56" s="152" t="s">
        <v>395</v>
      </c>
      <c r="C56" s="153"/>
      <c r="D56" s="15"/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1"/>
      <c r="AL56" s="101"/>
      <c r="AM56" s="101"/>
      <c r="AN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101"/>
      <c r="CB56" s="101"/>
      <c r="CC56" s="101"/>
      <c r="CD56" s="101"/>
      <c r="CE56" s="101"/>
      <c r="CF56" s="101"/>
      <c r="CG56" s="101"/>
      <c r="CH56" s="101"/>
      <c r="CI56" s="101"/>
      <c r="CJ56" s="101"/>
      <c r="CK56" s="101"/>
      <c r="CL56" s="101"/>
      <c r="CM56" s="101"/>
      <c r="CN56" s="101"/>
      <c r="CO56" s="101"/>
      <c r="CP56" s="101"/>
      <c r="CQ56" s="101"/>
      <c r="CR56" s="101"/>
      <c r="CS56" s="101"/>
      <c r="CT56" s="101"/>
      <c r="CU56" s="101"/>
      <c r="CV56" s="101"/>
      <c r="CW56" s="101"/>
      <c r="CX56" s="101"/>
      <c r="CY56" s="101"/>
      <c r="CZ56" s="101"/>
      <c r="DA56" s="101"/>
      <c r="DB56" s="101"/>
      <c r="DC56" s="101"/>
      <c r="DD56" s="101"/>
      <c r="DE56" s="101"/>
      <c r="DF56" s="101"/>
      <c r="DG56" s="101"/>
      <c r="DH56" s="101"/>
      <c r="DI56" s="101"/>
      <c r="DJ56" s="101"/>
      <c r="DK56" s="101"/>
      <c r="DL56" s="101"/>
      <c r="DM56" s="101"/>
      <c r="DN56" s="101"/>
      <c r="DO56" s="101"/>
      <c r="DP56" s="101"/>
      <c r="DQ56" s="101"/>
      <c r="DR56" s="101"/>
      <c r="DS56" s="101"/>
      <c r="DT56" s="101"/>
      <c r="DU56" s="101"/>
      <c r="DV56" s="101"/>
      <c r="DW56" s="101"/>
      <c r="DX56" s="101"/>
      <c r="DY56" s="101"/>
      <c r="DZ56" s="101"/>
      <c r="EA56" s="101"/>
      <c r="EB56" s="101"/>
      <c r="EC56" s="101"/>
      <c r="ED56" s="101"/>
      <c r="EE56" s="101"/>
      <c r="EF56" s="101"/>
      <c r="EG56" s="101"/>
      <c r="EH56" s="101"/>
      <c r="EI56" s="101"/>
      <c r="EJ56" s="101"/>
      <c r="EK56" s="101"/>
      <c r="EL56" s="101"/>
      <c r="EM56" s="101"/>
      <c r="EN56" s="101"/>
      <c r="EO56" s="101"/>
      <c r="EP56" s="101"/>
      <c r="EQ56" s="101"/>
      <c r="ER56" s="101"/>
      <c r="ES56" s="101"/>
      <c r="ET56" s="101"/>
      <c r="EU56" s="101"/>
      <c r="EV56" s="101"/>
      <c r="EW56" s="101"/>
      <c r="EX56" s="101"/>
      <c r="EY56" s="101"/>
      <c r="EZ56" s="101"/>
      <c r="FA56" s="101"/>
      <c r="FB56" s="101"/>
      <c r="FC56" s="101"/>
      <c r="FD56" s="101"/>
      <c r="FE56" s="101"/>
      <c r="FF56" s="101"/>
      <c r="FG56" s="101"/>
      <c r="FH56" s="101"/>
      <c r="FI56" s="101"/>
      <c r="FJ56" s="101"/>
      <c r="FK56" s="101"/>
      <c r="FL56" s="101"/>
      <c r="FM56" s="101"/>
      <c r="FN56" s="101"/>
      <c r="FO56" s="101"/>
      <c r="FP56" s="101"/>
      <c r="FQ56" s="101"/>
      <c r="FR56" s="101"/>
      <c r="FS56" s="101"/>
      <c r="FT56" s="101"/>
      <c r="FU56" s="101"/>
      <c r="FV56" s="101"/>
      <c r="FW56" s="101"/>
      <c r="FX56" s="101"/>
      <c r="FY56" s="101"/>
      <c r="FZ56" s="101"/>
      <c r="GA56" s="101"/>
      <c r="GB56" s="101"/>
      <c r="GC56" s="101"/>
      <c r="GD56" s="101"/>
      <c r="GE56" s="101"/>
      <c r="GF56" s="101"/>
      <c r="GG56" s="101"/>
      <c r="GH56" s="101"/>
      <c r="GI56" s="101"/>
      <c r="GJ56" s="101"/>
      <c r="GK56" s="101"/>
      <c r="GL56" s="101"/>
      <c r="GM56" s="101"/>
      <c r="GN56" s="101"/>
      <c r="GO56" s="101"/>
      <c r="GP56" s="101"/>
      <c r="GQ56" s="101"/>
      <c r="GR56" s="101"/>
      <c r="GS56" s="101"/>
      <c r="GT56" s="101"/>
      <c r="GU56" s="101"/>
      <c r="GV56" s="101"/>
      <c r="GW56" s="101"/>
      <c r="GX56" s="101"/>
      <c r="GY56" s="101"/>
      <c r="GZ56" s="101"/>
      <c r="HA56" s="101"/>
      <c r="HB56" s="101"/>
      <c r="HC56" s="101"/>
      <c r="HD56" s="101"/>
      <c r="HE56" s="101"/>
      <c r="HF56" s="101"/>
      <c r="HG56" s="101"/>
      <c r="HH56" s="101"/>
      <c r="HI56" s="101"/>
      <c r="HJ56" s="101"/>
      <c r="HK56" s="101"/>
      <c r="HL56" s="101"/>
      <c r="HM56" s="101"/>
      <c r="HN56" s="101"/>
      <c r="HO56" s="101"/>
      <c r="HP56" s="101"/>
      <c r="HQ56" s="101"/>
      <c r="HR56" s="101"/>
      <c r="HS56" s="101"/>
      <c r="HT56" s="101"/>
      <c r="HU56" s="101"/>
      <c r="HV56" s="101"/>
      <c r="HW56" s="101"/>
      <c r="HX56" s="101"/>
      <c r="HY56" s="101"/>
      <c r="HZ56" s="101"/>
      <c r="IA56" s="101"/>
      <c r="IB56" s="101"/>
      <c r="IC56" s="101"/>
      <c r="ID56" s="101"/>
      <c r="IE56" s="101"/>
      <c r="IF56" s="101"/>
      <c r="IG56" s="101"/>
      <c r="IH56" s="101"/>
      <c r="II56" s="101"/>
      <c r="IJ56" s="101"/>
      <c r="IK56" s="101"/>
      <c r="IL56" s="101"/>
      <c r="IM56" s="101"/>
      <c r="IN56" s="101"/>
      <c r="IO56" s="101"/>
      <c r="IP56" s="101"/>
      <c r="IQ56" s="101"/>
      <c r="IR56" s="101"/>
      <c r="IS56" s="101"/>
      <c r="IT56" s="101"/>
      <c r="IU56" s="101"/>
      <c r="IV56" s="101"/>
      <c r="IW56" s="101"/>
      <c r="IX56" s="101"/>
      <c r="IY56" s="101"/>
      <c r="IZ56" s="101"/>
      <c r="JA56" s="101"/>
      <c r="JB56" s="101"/>
      <c r="JC56" s="101"/>
      <c r="JD56" s="101"/>
      <c r="JE56" s="101"/>
      <c r="JF56" s="101"/>
      <c r="JG56" s="101"/>
      <c r="JH56" s="101"/>
      <c r="JI56" s="101"/>
      <c r="JJ56" s="101"/>
      <c r="JK56" s="101"/>
      <c r="JL56" s="101"/>
      <c r="JM56" s="101"/>
      <c r="JN56" s="101"/>
      <c r="JO56" s="101"/>
      <c r="JP56" s="101"/>
      <c r="JQ56" s="101"/>
      <c r="JR56" s="101"/>
      <c r="JS56" s="101"/>
      <c r="JT56" s="101"/>
      <c r="JU56" s="101"/>
      <c r="JV56" s="101"/>
      <c r="JW56" s="101"/>
      <c r="JX56" s="101"/>
      <c r="JY56" s="101"/>
      <c r="JZ56" s="101"/>
      <c r="KA56" s="101"/>
      <c r="KB56" s="101"/>
      <c r="KC56" s="101"/>
      <c r="KD56" s="101"/>
      <c r="KE56" s="101"/>
      <c r="KF56" s="101"/>
      <c r="KG56" s="101"/>
      <c r="KH56" s="101"/>
      <c r="KI56" s="101"/>
      <c r="KJ56" s="101"/>
      <c r="KK56" s="101"/>
      <c r="KL56" s="101"/>
      <c r="KM56" s="101"/>
      <c r="KN56" s="101"/>
      <c r="KO56" s="101"/>
      <c r="KP56" s="101"/>
      <c r="KQ56" s="101"/>
      <c r="KR56" s="101"/>
      <c r="KS56" s="101"/>
      <c r="KT56" s="101"/>
      <c r="KU56" s="101"/>
      <c r="KV56" s="101"/>
      <c r="KW56" s="101"/>
      <c r="KX56" s="101"/>
      <c r="KY56" s="101"/>
      <c r="KZ56" s="101"/>
      <c r="LA56" s="101"/>
      <c r="LB56" s="101"/>
      <c r="LC56" s="101"/>
      <c r="LD56" s="101"/>
      <c r="LE56" s="101"/>
      <c r="LF56" s="101"/>
      <c r="LG56" s="101"/>
      <c r="LH56" s="101"/>
      <c r="LI56" s="101"/>
      <c r="LJ56" s="101"/>
      <c r="LK56" s="101"/>
      <c r="LL56" s="101"/>
      <c r="LM56" s="101"/>
      <c r="LN56" s="101"/>
      <c r="LO56" s="101"/>
      <c r="LP56" s="101"/>
      <c r="LQ56" s="101"/>
      <c r="LR56" s="101"/>
      <c r="LS56" s="101"/>
      <c r="LT56" s="101"/>
      <c r="LU56" s="101"/>
      <c r="LV56" s="101"/>
      <c r="LW56" s="101"/>
      <c r="LX56" s="101"/>
      <c r="LY56" s="101"/>
    </row>
    <row r="57" spans="1:339"/>
  </sheetData>
  <sheetProtection algorithmName="SHA-512" hashValue="ncqxhwiRdOtZwe4LipSfWlLh6h4wjoMrnATpqtvTdFBjgFCC+fp7BXzfWZP1bkCeb2QSVAYG+3N9NrZtrySOfg==" saltValue="3wj9yYDIanQ8acuupDOVHw==" spinCount="100000" sheet="1" objects="1" scenarios="1"/>
  <mergeCells count="32">
    <mergeCell ref="B56:C56"/>
    <mergeCell ref="MA7:MA10"/>
    <mergeCell ref="B5:C5"/>
    <mergeCell ref="B7:C7"/>
    <mergeCell ref="B12:C12"/>
    <mergeCell ref="B54:C54"/>
    <mergeCell ref="B43:C43"/>
    <mergeCell ref="B45:C45"/>
    <mergeCell ref="B46:C46"/>
    <mergeCell ref="B47:C47"/>
    <mergeCell ref="B48:C48"/>
    <mergeCell ref="B49:C49"/>
    <mergeCell ref="B50:C50"/>
    <mergeCell ref="B51:C51"/>
    <mergeCell ref="B52:C52"/>
    <mergeCell ref="B53:C53"/>
    <mergeCell ref="B42:C42"/>
    <mergeCell ref="B38:C38"/>
    <mergeCell ref="B39:C39"/>
    <mergeCell ref="B41:C41"/>
    <mergeCell ref="B3:C3"/>
    <mergeCell ref="B11:C11"/>
    <mergeCell ref="B14:C14"/>
    <mergeCell ref="B8:C8"/>
    <mergeCell ref="B9:C9"/>
    <mergeCell ref="B6:C6"/>
    <mergeCell ref="B13:C13"/>
    <mergeCell ref="B15:B20"/>
    <mergeCell ref="B21:B26"/>
    <mergeCell ref="B27:B32"/>
    <mergeCell ref="B33:C33"/>
    <mergeCell ref="B37:C37"/>
  </mergeCells>
  <conditionalFormatting sqref="E16:LY16">
    <cfRule type="cellIs" dxfId="26" priority="25" operator="equal">
      <formula>"-"</formula>
    </cfRule>
  </conditionalFormatting>
  <conditionalFormatting sqref="E18:LY18">
    <cfRule type="cellIs" dxfId="25" priority="22" operator="equal">
      <formula>"-"</formula>
    </cfRule>
  </conditionalFormatting>
  <conditionalFormatting sqref="E20:LY20">
    <cfRule type="cellIs" dxfId="24" priority="19" operator="equal">
      <formula>"-"</formula>
    </cfRule>
  </conditionalFormatting>
  <conditionalFormatting sqref="E22:LY22">
    <cfRule type="cellIs" dxfId="23" priority="16" operator="equal">
      <formula>"-"</formula>
    </cfRule>
  </conditionalFormatting>
  <conditionalFormatting sqref="E24:LY24">
    <cfRule type="cellIs" dxfId="22" priority="13" operator="equal">
      <formula>"-"</formula>
    </cfRule>
  </conditionalFormatting>
  <conditionalFormatting sqref="E26:LY26">
    <cfRule type="cellIs" dxfId="21" priority="10" operator="equal">
      <formula>"-"</formula>
    </cfRule>
  </conditionalFormatting>
  <conditionalFormatting sqref="E28:LY28">
    <cfRule type="cellIs" dxfId="20" priority="7" operator="equal">
      <formula>"-"</formula>
    </cfRule>
  </conditionalFormatting>
  <conditionalFormatting sqref="E30:LY30">
    <cfRule type="cellIs" dxfId="19" priority="4" operator="equal">
      <formula>"-"</formula>
    </cfRule>
  </conditionalFormatting>
  <conditionalFormatting sqref="E32:LY32">
    <cfRule type="cellIs" dxfId="18" priority="1" operator="equal">
      <formula>"-"</formula>
    </cfRule>
  </conditionalFormatting>
  <pageMargins left="0.7" right="0.7" top="0.75" bottom="0.75" header="0.3" footer="0.3"/>
  <pageSetup orientation="portrait" horizontalDpi="1200" verticalDpi="1200" r:id="rId1"/>
  <ignoredErrors>
    <ignoredError sqref="F12:Q12" formulaRang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6" operator="lessThan" id="{95A6FA1E-A9B0-4088-907E-D2C4683FB21C}">
            <xm:f>'Info Sheet'!$D$35</xm:f>
            <x14:dxf>
              <fill>
                <patternFill>
                  <bgColor theme="9" tint="0.79998168889431442"/>
                </patternFill>
              </fill>
            </x14:dxf>
          </x14:cfRule>
          <x14:cfRule type="cellIs" priority="27" operator="greaterThan" id="{C9CCE487-D6FD-4819-8E86-CC05BACA7FFD}">
            <xm:f>'Info Sheet'!$D$35</xm:f>
            <x14:dxf>
              <fill>
                <patternFill>
                  <bgColor rgb="FFFFA3A3"/>
                </patternFill>
              </fill>
            </x14:dxf>
          </x14:cfRule>
          <xm:sqref>E16:LY16</xm:sqref>
        </x14:conditionalFormatting>
        <x14:conditionalFormatting xmlns:xm="http://schemas.microsoft.com/office/excel/2006/main">
          <x14:cfRule type="cellIs" priority="23" operator="lessThan" id="{4121D6C7-57E7-42D1-9A97-FEB11CD111E6}">
            <xm:f>'Info Sheet'!$D$35</xm:f>
            <x14:dxf>
              <fill>
                <patternFill>
                  <bgColor theme="9" tint="0.79998168889431442"/>
                </patternFill>
              </fill>
            </x14:dxf>
          </x14:cfRule>
          <x14:cfRule type="cellIs" priority="24" operator="greaterThan" id="{11E1EAE1-019D-4650-A360-A17B28F4DA0E}">
            <xm:f>'Info Sheet'!$D$35</xm:f>
            <x14:dxf>
              <fill>
                <patternFill>
                  <bgColor rgb="FFFFA3A3"/>
                </patternFill>
              </fill>
            </x14:dxf>
          </x14:cfRule>
          <xm:sqref>E18:LY18</xm:sqref>
        </x14:conditionalFormatting>
        <x14:conditionalFormatting xmlns:xm="http://schemas.microsoft.com/office/excel/2006/main">
          <x14:cfRule type="cellIs" priority="20" operator="lessThan" id="{F23E1909-F4EE-410A-B938-B93C5A7126F7}">
            <xm:f>'Info Sheet'!$D$35</xm:f>
            <x14:dxf>
              <fill>
                <patternFill>
                  <bgColor theme="9" tint="0.79998168889431442"/>
                </patternFill>
              </fill>
            </x14:dxf>
          </x14:cfRule>
          <x14:cfRule type="cellIs" priority="21" operator="greaterThan" id="{E966471D-36A8-44A4-BE25-4542454DDFA6}">
            <xm:f>'Info Sheet'!$D$35</xm:f>
            <x14:dxf>
              <fill>
                <patternFill>
                  <bgColor rgb="FFFFA3A3"/>
                </patternFill>
              </fill>
            </x14:dxf>
          </x14:cfRule>
          <xm:sqref>E20:LY20</xm:sqref>
        </x14:conditionalFormatting>
        <x14:conditionalFormatting xmlns:xm="http://schemas.microsoft.com/office/excel/2006/main">
          <x14:cfRule type="cellIs" priority="17" operator="lessThan" id="{9FC22D89-1EE6-401C-8D07-C3DBBE6FF2D6}">
            <xm:f>'Info Sheet'!$D$37</xm:f>
            <x14:dxf>
              <fill>
                <patternFill>
                  <bgColor theme="9" tint="0.79998168889431442"/>
                </patternFill>
              </fill>
            </x14:dxf>
          </x14:cfRule>
          <x14:cfRule type="cellIs" priority="18" operator="greaterThan" id="{43D81385-0A53-46B5-91A8-2F1D2816BB8C}">
            <xm:f>'Info Sheet'!$D$37</xm:f>
            <x14:dxf>
              <fill>
                <patternFill>
                  <bgColor rgb="FFFFA3A3"/>
                </patternFill>
              </fill>
            </x14:dxf>
          </x14:cfRule>
          <xm:sqref>E22:LY22</xm:sqref>
        </x14:conditionalFormatting>
        <x14:conditionalFormatting xmlns:xm="http://schemas.microsoft.com/office/excel/2006/main">
          <x14:cfRule type="cellIs" priority="14" operator="lessThan" id="{547A2CF8-597A-4627-972F-3DA1BA46FB85}">
            <xm:f>'Info Sheet'!$D$37</xm:f>
            <x14:dxf>
              <fill>
                <patternFill>
                  <bgColor theme="9" tint="0.79998168889431442"/>
                </patternFill>
              </fill>
            </x14:dxf>
          </x14:cfRule>
          <x14:cfRule type="cellIs" priority="15" operator="greaterThan" id="{061CF315-BAA7-46B9-8642-A7C74EB574CA}">
            <xm:f>'Info Sheet'!$D$37</xm:f>
            <x14:dxf>
              <fill>
                <patternFill>
                  <bgColor rgb="FFFFA3A3"/>
                </patternFill>
              </fill>
            </x14:dxf>
          </x14:cfRule>
          <xm:sqref>E24:LY24</xm:sqref>
        </x14:conditionalFormatting>
        <x14:conditionalFormatting xmlns:xm="http://schemas.microsoft.com/office/excel/2006/main">
          <x14:cfRule type="cellIs" priority="11" operator="lessThan" id="{27189CD3-BF63-436E-8FC1-0A07696FE17C}">
            <xm:f>'Info Sheet'!$D$37</xm:f>
            <x14:dxf>
              <fill>
                <patternFill>
                  <bgColor theme="9" tint="0.79998168889431442"/>
                </patternFill>
              </fill>
            </x14:dxf>
          </x14:cfRule>
          <x14:cfRule type="cellIs" priority="12" operator="greaterThan" id="{D3D33901-96B0-456B-9322-F6947A6CEC94}">
            <xm:f>'Info Sheet'!$D$37</xm:f>
            <x14:dxf>
              <fill>
                <patternFill>
                  <bgColor rgb="FFFFA3A3"/>
                </patternFill>
              </fill>
            </x14:dxf>
          </x14:cfRule>
          <xm:sqref>E26:LY26</xm:sqref>
        </x14:conditionalFormatting>
        <x14:conditionalFormatting xmlns:xm="http://schemas.microsoft.com/office/excel/2006/main">
          <x14:cfRule type="cellIs" priority="8" operator="lessThan" id="{68126012-487A-4EFE-AF9F-DB16900D0D22}">
            <xm:f>'Info Sheet'!$D$39</xm:f>
            <x14:dxf>
              <fill>
                <patternFill>
                  <bgColor rgb="FFFFC1C1"/>
                </patternFill>
              </fill>
            </x14:dxf>
          </x14:cfRule>
          <x14:cfRule type="cellIs" priority="9" operator="greaterThan" id="{F14AAD68-8C67-47AF-AF83-63AC661A59B0}">
            <xm:f>'Info Sheet'!$D$39</xm:f>
            <x14:dxf>
              <fill>
                <patternFill>
                  <bgColor theme="9" tint="0.79998168889431442"/>
                </patternFill>
              </fill>
            </x14:dxf>
          </x14:cfRule>
          <xm:sqref>E28:LY28</xm:sqref>
        </x14:conditionalFormatting>
        <x14:conditionalFormatting xmlns:xm="http://schemas.microsoft.com/office/excel/2006/main">
          <x14:cfRule type="cellIs" priority="5" operator="lessThan" id="{6B9E4C05-33EA-4FC5-BEC2-2E443C6F43EE}">
            <xm:f>'Info Sheet'!$D$39</xm:f>
            <x14:dxf>
              <fill>
                <patternFill>
                  <bgColor rgb="FFFFC1C1"/>
                </patternFill>
              </fill>
            </x14:dxf>
          </x14:cfRule>
          <x14:cfRule type="cellIs" priority="6" operator="greaterThan" id="{2389A50E-C328-4FBE-910C-73E3F7BFDFA9}">
            <xm:f>'Info Sheet'!$D$39</xm:f>
            <x14:dxf>
              <fill>
                <patternFill>
                  <bgColor theme="9" tint="0.79998168889431442"/>
                </patternFill>
              </fill>
            </x14:dxf>
          </x14:cfRule>
          <xm:sqref>E30:LY30</xm:sqref>
        </x14:conditionalFormatting>
        <x14:conditionalFormatting xmlns:xm="http://schemas.microsoft.com/office/excel/2006/main">
          <x14:cfRule type="cellIs" priority="2" operator="lessThan" id="{681D8EDF-04C1-486D-82BA-8B717B757FFF}">
            <xm:f>'Info Sheet'!$D$39</xm:f>
            <x14:dxf>
              <fill>
                <patternFill>
                  <bgColor rgb="FFFFC1C1"/>
                </patternFill>
              </fill>
            </x14:dxf>
          </x14:cfRule>
          <x14:cfRule type="cellIs" priority="3" operator="greaterThan" id="{D647CC14-D76E-4E96-B913-C3426A774C34}">
            <xm:f>'Info Sheet'!$D$39</xm:f>
            <x14:dxf>
              <fill>
                <patternFill>
                  <bgColor theme="9" tint="0.79998168889431442"/>
                </patternFill>
              </fill>
            </x14:dxf>
          </x14:cfRule>
          <xm:sqref>E32:LY32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4017B-581E-48E0-93E4-0243165F84CE}">
  <sheetPr codeName="Sheet4"/>
  <dimension ref="A1:S33"/>
  <sheetViews>
    <sheetView topLeftCell="A3" workbookViewId="0">
      <selection activeCell="A10" sqref="A10"/>
    </sheetView>
  </sheetViews>
  <sheetFormatPr defaultColWidth="0" defaultRowHeight="15" zeroHeight="1"/>
  <cols>
    <col min="1" max="2" width="5.42578125" style="15" customWidth="1"/>
    <col min="3" max="3" width="26.7109375" style="15" customWidth="1"/>
    <col min="4" max="4" width="9.140625" style="15" customWidth="1"/>
    <col min="5" max="5" width="38.140625" style="15" customWidth="1"/>
    <col min="6" max="18" width="9.140625" style="15" customWidth="1"/>
    <col min="19" max="19" width="0" style="15" hidden="1" customWidth="1"/>
    <col min="20" max="16384" width="9.140625" style="15" hidden="1"/>
  </cols>
  <sheetData>
    <row r="1" spans="3:17" ht="15.75" thickBot="1"/>
    <row r="2" spans="3:17">
      <c r="C2" s="159" t="str">
        <f>"Graphs - " &amp;'Info Sheet'!D12</f>
        <v>Graphs - Contractor1</v>
      </c>
      <c r="D2" s="160"/>
      <c r="E2" s="160"/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</row>
    <row r="3" spans="3:17">
      <c r="C3" s="162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4"/>
    </row>
    <row r="4" spans="3:17">
      <c r="C4" s="162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4"/>
    </row>
    <row r="5" spans="3:17" ht="15.75" thickBot="1">
      <c r="C5" s="165"/>
      <c r="D5" s="166"/>
      <c r="E5" s="166"/>
      <c r="F5" s="166"/>
      <c r="G5" s="166"/>
      <c r="H5" s="166"/>
      <c r="I5" s="166"/>
      <c r="J5" s="166"/>
      <c r="K5" s="166"/>
      <c r="L5" s="166"/>
      <c r="M5" s="166"/>
      <c r="N5" s="166"/>
      <c r="O5" s="166"/>
      <c r="P5" s="166"/>
      <c r="Q5" s="167"/>
    </row>
    <row r="6" spans="3:17"/>
    <row r="7" spans="3:17"/>
    <row r="8" spans="3:17" ht="15.75" thickBot="1"/>
    <row r="9" spans="3:17" ht="15.75" thickBot="1">
      <c r="C9" s="105" t="s">
        <v>42</v>
      </c>
      <c r="E9" s="85" t="s">
        <v>4</v>
      </c>
    </row>
    <row r="10" spans="3:17" ht="15.75" thickBot="1">
      <c r="E10" s="21"/>
    </row>
    <row r="11" spans="3:17" ht="15.75" thickBot="1">
      <c r="C11" s="105" t="s">
        <v>43</v>
      </c>
      <c r="E11" s="85" t="s">
        <v>50</v>
      </c>
    </row>
    <row r="12" spans="3:17"/>
    <row r="13" spans="3:17"/>
    <row r="14" spans="3:17"/>
    <row r="15" spans="3:17"/>
    <row r="16" spans="3:17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</sheetData>
  <sheetProtection algorithmName="SHA-512" hashValue="G3Obljhd6vQqW0TfujtzV8/j2blCL7SGulkeyNsrBVMI8jTRWupwQP0OEkkUkIuLdNzGK64oLtTN1rkraU5WCQ==" saltValue="4rekafTjFuoInHk3k0JBEA==" spinCount="100000" sheet="1" objects="1" scenarios="1"/>
  <protectedRanges>
    <protectedRange sqref="E9 E11" name="Graph"/>
  </protectedRanges>
  <mergeCells count="1">
    <mergeCell ref="C2:Q5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B647BD0-38DD-4CAA-96CD-455AE2A1DEC5}">
          <x14:formula1>
            <xm:f>'List(to hide)'!$B$2:$B$4</xm:f>
          </x14:formula1>
          <xm:sqref>E9</xm:sqref>
        </x14:dataValidation>
        <x14:dataValidation type="list" allowBlank="1" showInputMessage="1" showErrorMessage="1" xr:uid="{2A3787F9-3169-45C3-B731-8F8BFAA66CF7}">
          <x14:formula1>
            <xm:f>'List(to hide)'!$C$2:$C$4</xm:f>
          </x14:formula1>
          <xm:sqref>E11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099D6-96A6-403C-958F-50E36DA462A3}">
  <sheetPr codeName="Sheet10"/>
  <dimension ref="A1:C17"/>
  <sheetViews>
    <sheetView workbookViewId="0">
      <selection activeCell="D36" sqref="D36"/>
    </sheetView>
  </sheetViews>
  <sheetFormatPr defaultRowHeight="15"/>
  <cols>
    <col min="1" max="1" width="38" bestFit="1" customWidth="1"/>
    <col min="2" max="2" width="48.28515625" bestFit="1" customWidth="1"/>
    <col min="3" max="3" width="45" bestFit="1" customWidth="1"/>
    <col min="4" max="4" width="48.28515625" bestFit="1" customWidth="1"/>
    <col min="5" max="5" width="45" bestFit="1" customWidth="1"/>
    <col min="6" max="6" width="48.28515625" bestFit="1" customWidth="1"/>
    <col min="7" max="7" width="45" bestFit="1" customWidth="1"/>
    <col min="8" max="8" width="48.28515625" bestFit="1" customWidth="1"/>
    <col min="9" max="9" width="45" bestFit="1" customWidth="1"/>
    <col min="10" max="10" width="48.28515625" bestFit="1" customWidth="1"/>
    <col min="11" max="11" width="45" bestFit="1" customWidth="1"/>
    <col min="12" max="12" width="48.28515625" bestFit="1" customWidth="1"/>
    <col min="13" max="13" width="45" bestFit="1" customWidth="1"/>
    <col min="14" max="14" width="48.28515625" bestFit="1" customWidth="1"/>
    <col min="15" max="15" width="45" bestFit="1" customWidth="1"/>
    <col min="16" max="16" width="48.28515625" bestFit="1" customWidth="1"/>
    <col min="17" max="17" width="45" bestFit="1" customWidth="1"/>
    <col min="18" max="18" width="48.28515625" bestFit="1" customWidth="1"/>
    <col min="19" max="19" width="45" bestFit="1" customWidth="1"/>
    <col min="20" max="20" width="48.28515625" bestFit="1" customWidth="1"/>
    <col min="21" max="21" width="45" bestFit="1" customWidth="1"/>
    <col min="22" max="22" width="48.28515625" bestFit="1" customWidth="1"/>
    <col min="23" max="23" width="45" bestFit="1" customWidth="1"/>
    <col min="24" max="24" width="48.28515625" bestFit="1" customWidth="1"/>
    <col min="25" max="25" width="45" bestFit="1" customWidth="1"/>
    <col min="26" max="26" width="48.28515625" bestFit="1" customWidth="1"/>
    <col min="27" max="27" width="45" bestFit="1" customWidth="1"/>
    <col min="28" max="28" width="48.28515625" bestFit="1" customWidth="1"/>
    <col min="29" max="29" width="45" bestFit="1" customWidth="1"/>
    <col min="30" max="30" width="48.28515625" bestFit="1" customWidth="1"/>
    <col min="31" max="31" width="45" bestFit="1" customWidth="1"/>
    <col min="32" max="32" width="48.28515625" bestFit="1" customWidth="1"/>
    <col min="33" max="33" width="45" bestFit="1" customWidth="1"/>
    <col min="34" max="34" width="48.28515625" bestFit="1" customWidth="1"/>
    <col min="35" max="35" width="45" bestFit="1" customWidth="1"/>
    <col min="36" max="36" width="48.28515625" bestFit="1" customWidth="1"/>
    <col min="37" max="37" width="45" bestFit="1" customWidth="1"/>
    <col min="38" max="38" width="48.28515625" bestFit="1" customWidth="1"/>
    <col min="39" max="39" width="45" bestFit="1" customWidth="1"/>
    <col min="40" max="40" width="48.28515625" bestFit="1" customWidth="1"/>
    <col min="41" max="41" width="45" bestFit="1" customWidth="1"/>
    <col min="42" max="42" width="48.28515625" bestFit="1" customWidth="1"/>
    <col min="43" max="43" width="45" bestFit="1" customWidth="1"/>
    <col min="44" max="44" width="48.28515625" bestFit="1" customWidth="1"/>
    <col min="45" max="45" width="45" bestFit="1" customWidth="1"/>
    <col min="46" max="46" width="48.28515625" bestFit="1" customWidth="1"/>
    <col min="47" max="47" width="45" bestFit="1" customWidth="1"/>
    <col min="48" max="48" width="48.28515625" bestFit="1" customWidth="1"/>
    <col min="49" max="49" width="45" bestFit="1" customWidth="1"/>
    <col min="50" max="50" width="48.28515625" bestFit="1" customWidth="1"/>
    <col min="51" max="51" width="45" bestFit="1" customWidth="1"/>
    <col min="52" max="52" width="48.28515625" bestFit="1" customWidth="1"/>
    <col min="53" max="53" width="45" bestFit="1" customWidth="1"/>
    <col min="54" max="54" width="53.28515625" bestFit="1" customWidth="1"/>
    <col min="55" max="55" width="50" bestFit="1" customWidth="1"/>
  </cols>
  <sheetData>
    <row r="1" spans="1:3">
      <c r="A1" s="89" t="s">
        <v>385</v>
      </c>
      <c r="B1" t="s">
        <v>389</v>
      </c>
    </row>
    <row r="2" spans="1:3">
      <c r="A2" s="89" t="s">
        <v>388</v>
      </c>
      <c r="B2" s="90">
        <v>14000</v>
      </c>
    </row>
    <row r="4" spans="1:3">
      <c r="A4" s="89" t="s">
        <v>379</v>
      </c>
      <c r="B4" t="s">
        <v>386</v>
      </c>
      <c r="C4" t="s">
        <v>387</v>
      </c>
    </row>
    <row r="5" spans="1:3">
      <c r="A5" s="90" t="s">
        <v>381</v>
      </c>
      <c r="B5" s="99">
        <v>14000</v>
      </c>
      <c r="C5" s="99">
        <v>14000</v>
      </c>
    </row>
    <row r="6" spans="1:3">
      <c r="A6" s="90" t="s">
        <v>382</v>
      </c>
      <c r="B6" s="99">
        <v>0</v>
      </c>
      <c r="C6" s="99">
        <v>14000</v>
      </c>
    </row>
    <row r="7" spans="1:3">
      <c r="A7" s="90" t="s">
        <v>383</v>
      </c>
      <c r="B7" s="99">
        <v>0</v>
      </c>
      <c r="C7" s="99">
        <v>14000</v>
      </c>
    </row>
    <row r="8" spans="1:3">
      <c r="A8" s="90" t="s">
        <v>384</v>
      </c>
      <c r="B8" s="99">
        <v>0</v>
      </c>
      <c r="C8" s="99">
        <v>14000</v>
      </c>
    </row>
    <row r="9" spans="1:3">
      <c r="A9" s="90" t="s">
        <v>380</v>
      </c>
      <c r="B9" s="99">
        <v>14000</v>
      </c>
      <c r="C9" s="99">
        <v>56000</v>
      </c>
    </row>
    <row r="17" spans="1:1" ht="30">
      <c r="A17" s="108" t="s">
        <v>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0826C-8654-4D17-BBDE-6B11F229188E}">
  <sheetPr codeName="Sheet5"/>
  <dimension ref="A2:LY352"/>
  <sheetViews>
    <sheetView workbookViewId="0">
      <selection activeCell="A19" sqref="A19:J352"/>
    </sheetView>
  </sheetViews>
  <sheetFormatPr defaultRowHeight="15"/>
  <cols>
    <col min="1" max="1" width="63.5703125" style="15" bestFit="1" customWidth="1"/>
    <col min="2" max="2" width="26.7109375" style="15" bestFit="1" customWidth="1"/>
    <col min="3" max="3" width="38" style="15" bestFit="1" customWidth="1"/>
    <col min="4" max="4" width="32" style="15" customWidth="1"/>
    <col min="5" max="5" width="34.5703125" style="15" bestFit="1" customWidth="1"/>
    <col min="6" max="6" width="41.7109375" style="15" bestFit="1" customWidth="1"/>
    <col min="7" max="7" width="35" style="15" bestFit="1" customWidth="1"/>
    <col min="8" max="8" width="41.28515625" style="15" bestFit="1" customWidth="1"/>
    <col min="9" max="9" width="28.85546875" style="15" customWidth="1"/>
    <col min="10" max="10" width="20.85546875" style="15" customWidth="1"/>
    <col min="11" max="12" width="9.140625" style="15"/>
    <col min="13" max="13" width="9.42578125" style="15" customWidth="1"/>
    <col min="14" max="16" width="9.140625" style="15"/>
    <col min="17" max="17" width="9.42578125" style="15" customWidth="1"/>
    <col min="18" max="20" width="9.140625" style="15"/>
    <col min="21" max="21" width="9.42578125" style="15" customWidth="1"/>
    <col min="22" max="22" width="9.140625" style="15"/>
    <col min="23" max="23" width="9.7109375" style="15" customWidth="1"/>
    <col min="24" max="25" width="9.140625" style="15"/>
    <col min="26" max="26" width="9.28515625" style="15" customWidth="1"/>
    <col min="27" max="28" width="9.140625" style="15"/>
    <col min="29" max="29" width="9.42578125" style="15" customWidth="1"/>
    <col min="30" max="32" width="9.140625" style="15"/>
    <col min="33" max="33" width="9.42578125" style="15" customWidth="1"/>
    <col min="34" max="34" width="9.140625" style="15"/>
    <col min="35" max="35" width="9.7109375" style="15" customWidth="1"/>
    <col min="36" max="37" width="9.140625" style="15"/>
    <col min="38" max="38" width="9.28515625" style="15" customWidth="1"/>
    <col min="39" max="40" width="9.140625" style="15"/>
    <col min="41" max="41" width="9.42578125" style="15" customWidth="1"/>
    <col min="42" max="44" width="9.140625" style="15"/>
    <col min="45" max="45" width="9.42578125" style="15" customWidth="1"/>
    <col min="46" max="46" width="9.140625" style="15"/>
    <col min="47" max="47" width="9.7109375" style="15" customWidth="1"/>
    <col min="48" max="49" width="9.140625" style="15"/>
    <col min="50" max="50" width="9.28515625" style="15" customWidth="1"/>
    <col min="51" max="52" width="9.140625" style="15"/>
    <col min="53" max="53" width="9.42578125" style="15" customWidth="1"/>
    <col min="54" max="56" width="9.140625" style="15"/>
    <col min="57" max="57" width="9.42578125" style="15" customWidth="1"/>
    <col min="58" max="58" width="9.140625" style="15"/>
    <col min="59" max="59" width="9.7109375" style="15" customWidth="1"/>
    <col min="60" max="61" width="9.140625" style="15"/>
    <col min="62" max="62" width="9.28515625" style="15" customWidth="1"/>
    <col min="63" max="64" width="9.140625" style="15"/>
    <col min="65" max="65" width="9.42578125" style="15" customWidth="1"/>
    <col min="66" max="68" width="9.140625" style="15"/>
    <col min="69" max="69" width="9.42578125" style="15" customWidth="1"/>
    <col min="70" max="70" width="9.140625" style="15"/>
    <col min="71" max="71" width="9.7109375" style="15" customWidth="1"/>
    <col min="72" max="73" width="9.140625" style="15"/>
    <col min="74" max="74" width="9.28515625" style="15" customWidth="1"/>
    <col min="75" max="76" width="9.140625" style="15"/>
    <col min="77" max="77" width="9.42578125" style="15" customWidth="1"/>
    <col min="78" max="80" width="9.140625" style="15"/>
    <col min="81" max="81" width="9.42578125" style="15" customWidth="1"/>
    <col min="82" max="82" width="9.140625" style="15"/>
    <col min="83" max="83" width="9.7109375" style="15" customWidth="1"/>
    <col min="84" max="85" width="9.140625" style="15"/>
    <col min="86" max="86" width="9.28515625" style="15" customWidth="1"/>
    <col min="87" max="88" width="9.140625" style="15"/>
    <col min="89" max="89" width="9.42578125" style="15" customWidth="1"/>
    <col min="90" max="92" width="9.140625" style="15"/>
    <col min="93" max="93" width="9.42578125" style="15" customWidth="1"/>
    <col min="94" max="94" width="9.140625" style="15"/>
    <col min="95" max="95" width="9.7109375" style="15" customWidth="1"/>
    <col min="96" max="97" width="9.140625" style="15"/>
    <col min="98" max="98" width="9.28515625" style="15" customWidth="1"/>
    <col min="99" max="100" width="9.140625" style="15"/>
    <col min="101" max="101" width="9.42578125" style="15" customWidth="1"/>
    <col min="102" max="104" width="9.140625" style="15"/>
    <col min="105" max="105" width="9.42578125" style="15" customWidth="1"/>
    <col min="106" max="106" width="9.140625" style="15"/>
    <col min="107" max="107" width="9.7109375" style="15" customWidth="1"/>
    <col min="108" max="109" width="9.140625" style="15"/>
    <col min="110" max="110" width="9.28515625" style="15" customWidth="1"/>
    <col min="111" max="112" width="9.140625" style="15"/>
    <col min="113" max="113" width="9.42578125" style="15" customWidth="1"/>
    <col min="114" max="116" width="9.140625" style="15"/>
    <col min="117" max="117" width="9.42578125" style="15" customWidth="1"/>
    <col min="118" max="118" width="9.140625" style="15"/>
    <col min="119" max="119" width="9.7109375" style="15" customWidth="1"/>
    <col min="120" max="121" width="9.140625" style="15"/>
    <col min="122" max="122" width="9.28515625" style="15" customWidth="1"/>
    <col min="123" max="124" width="9.140625" style="15"/>
    <col min="125" max="125" width="9.42578125" style="15" customWidth="1"/>
    <col min="126" max="128" width="9.140625" style="15"/>
    <col min="129" max="129" width="9.42578125" style="15" customWidth="1"/>
    <col min="130" max="130" width="9.140625" style="15"/>
    <col min="131" max="131" width="9.7109375" style="15" customWidth="1"/>
    <col min="132" max="133" width="9.140625" style="15"/>
    <col min="134" max="134" width="9.28515625" style="15" customWidth="1"/>
    <col min="135" max="136" width="9.140625" style="15"/>
    <col min="137" max="137" width="9.42578125" style="15" customWidth="1"/>
    <col min="138" max="140" width="9.140625" style="15"/>
    <col min="141" max="141" width="9.42578125" style="15" customWidth="1"/>
    <col min="142" max="142" width="9.140625" style="15"/>
    <col min="143" max="143" width="9.7109375" style="15" customWidth="1"/>
    <col min="144" max="145" width="9.140625" style="15"/>
    <col min="146" max="146" width="9.28515625" style="15" customWidth="1"/>
    <col min="147" max="148" width="9.140625" style="15"/>
    <col min="149" max="149" width="9.42578125" style="15" customWidth="1"/>
    <col min="150" max="152" width="9.140625" style="15"/>
    <col min="153" max="153" width="9.42578125" style="15" customWidth="1"/>
    <col min="154" max="154" width="9.140625" style="15"/>
    <col min="155" max="155" width="9.7109375" style="15" customWidth="1"/>
    <col min="156" max="157" width="9.140625" style="15"/>
    <col min="158" max="158" width="9.28515625" style="15" customWidth="1"/>
    <col min="159" max="160" width="9.140625" style="15"/>
    <col min="161" max="161" width="9.42578125" style="15" customWidth="1"/>
    <col min="162" max="164" width="9.140625" style="15"/>
    <col min="165" max="165" width="9.42578125" style="15" customWidth="1"/>
    <col min="166" max="166" width="9.140625" style="15"/>
    <col min="167" max="167" width="9.7109375" style="15" customWidth="1"/>
    <col min="168" max="169" width="9.140625" style="15"/>
    <col min="170" max="170" width="9.28515625" style="15" customWidth="1"/>
    <col min="171" max="172" width="9.140625" style="15"/>
    <col min="173" max="173" width="9.42578125" style="15" customWidth="1"/>
    <col min="174" max="176" width="9.140625" style="15"/>
    <col min="177" max="177" width="9.42578125" style="15" customWidth="1"/>
    <col min="178" max="178" width="9.140625" style="15"/>
    <col min="179" max="179" width="9.7109375" style="15" customWidth="1"/>
    <col min="180" max="181" width="9.140625" style="15"/>
    <col min="182" max="182" width="9.28515625" style="15" customWidth="1"/>
    <col min="183" max="184" width="9.140625" style="15"/>
    <col min="185" max="185" width="9.42578125" style="15" customWidth="1"/>
    <col min="186" max="188" width="9.140625" style="15"/>
    <col min="189" max="189" width="9.42578125" style="15" customWidth="1"/>
    <col min="190" max="190" width="9.140625" style="15"/>
    <col min="191" max="191" width="9.7109375" style="15" customWidth="1"/>
    <col min="192" max="193" width="9.140625" style="15"/>
    <col min="194" max="194" width="9.28515625" style="15" customWidth="1"/>
    <col min="195" max="196" width="9.140625" style="15"/>
    <col min="197" max="197" width="9.42578125" style="15" customWidth="1"/>
    <col min="198" max="200" width="9.140625" style="15"/>
    <col min="201" max="201" width="9.42578125" style="15" customWidth="1"/>
    <col min="202" max="202" width="9.140625" style="15"/>
    <col min="203" max="203" width="9.7109375" style="15" customWidth="1"/>
    <col min="204" max="205" width="9.140625" style="15"/>
    <col min="206" max="206" width="9.28515625" style="15" customWidth="1"/>
    <col min="207" max="208" width="9.140625" style="15"/>
    <col min="209" max="209" width="9.42578125" style="15" customWidth="1"/>
    <col min="210" max="212" width="9.140625" style="15"/>
    <col min="213" max="213" width="9.42578125" style="15" customWidth="1"/>
    <col min="214" max="214" width="9.140625" style="15"/>
    <col min="215" max="215" width="9.7109375" style="15" customWidth="1"/>
    <col min="216" max="217" width="9.140625" style="15"/>
    <col min="218" max="218" width="9.28515625" style="15" customWidth="1"/>
    <col min="219" max="220" width="9.140625" style="15"/>
    <col min="221" max="221" width="9.42578125" style="15" customWidth="1"/>
    <col min="222" max="224" width="9.140625" style="15"/>
    <col min="225" max="225" width="9.42578125" style="15" customWidth="1"/>
    <col min="226" max="226" width="9.140625" style="15"/>
    <col min="227" max="227" width="9.7109375" style="15" customWidth="1"/>
    <col min="228" max="229" width="9.140625" style="15"/>
    <col min="230" max="230" width="9.28515625" style="15" customWidth="1"/>
    <col min="231" max="232" width="9.140625" style="15"/>
    <col min="233" max="233" width="9.42578125" style="15" customWidth="1"/>
    <col min="234" max="236" width="9.140625" style="15"/>
    <col min="237" max="237" width="9.42578125" style="15" customWidth="1"/>
    <col min="238" max="238" width="9.140625" style="15"/>
    <col min="239" max="239" width="9.7109375" style="15" customWidth="1"/>
    <col min="240" max="241" width="9.140625" style="15"/>
    <col min="242" max="242" width="9.28515625" style="15" customWidth="1"/>
    <col min="243" max="244" width="9.140625" style="15"/>
    <col min="245" max="245" width="9.42578125" style="15" customWidth="1"/>
    <col min="246" max="248" width="9.140625" style="15"/>
    <col min="249" max="249" width="9.42578125" style="15" customWidth="1"/>
    <col min="250" max="250" width="9.140625" style="15"/>
    <col min="251" max="251" width="9.7109375" style="15" customWidth="1"/>
    <col min="252" max="253" width="9.140625" style="15"/>
    <col min="254" max="254" width="9.28515625" style="15" customWidth="1"/>
    <col min="255" max="256" width="9.140625" style="15"/>
    <col min="257" max="257" width="9.42578125" style="15" customWidth="1"/>
    <col min="258" max="260" width="9.140625" style="15"/>
    <col min="261" max="261" width="9.42578125" style="15" customWidth="1"/>
    <col min="262" max="262" width="9.140625" style="15"/>
    <col min="263" max="263" width="9.7109375" style="15" customWidth="1"/>
    <col min="264" max="265" width="9.140625" style="15"/>
    <col min="266" max="266" width="9.28515625" style="15" customWidth="1"/>
    <col min="267" max="268" width="9.140625" style="15"/>
    <col min="269" max="269" width="9.42578125" style="15" customWidth="1"/>
    <col min="270" max="272" width="9.140625" style="15"/>
    <col min="273" max="273" width="9.42578125" style="15" customWidth="1"/>
    <col min="274" max="274" width="9.140625" style="15"/>
    <col min="275" max="275" width="9.7109375" style="15" customWidth="1"/>
    <col min="276" max="277" width="9.140625" style="15"/>
    <col min="278" max="278" width="9.28515625" style="15" customWidth="1"/>
    <col min="279" max="280" width="9.140625" style="15"/>
    <col min="281" max="281" width="9.42578125" style="15" customWidth="1"/>
    <col min="282" max="283" width="9.140625" style="15"/>
    <col min="284" max="292" width="11" style="15" customWidth="1"/>
    <col min="293" max="320" width="12" style="15" customWidth="1"/>
    <col min="321" max="16384" width="9.140625" style="15"/>
  </cols>
  <sheetData>
    <row r="2" spans="1:337">
      <c r="B2" s="15" t="s">
        <v>41</v>
      </c>
      <c r="C2" s="15" t="str">
        <f>Graph!E9</f>
        <v>Total Recordable Injury</v>
      </c>
    </row>
    <row r="3" spans="1:337">
      <c r="B3" s="15" t="s">
        <v>44</v>
      </c>
      <c r="C3" s="15" t="str">
        <f>Graph!E11</f>
        <v>12-Month Rolling rate</v>
      </c>
    </row>
    <row r="4" spans="1:337" ht="15.75" thickBot="1"/>
    <row r="5" spans="1:337" ht="15.75" thickBot="1">
      <c r="C5" s="91">
        <v>44197</v>
      </c>
      <c r="D5" s="92" t="s">
        <v>62</v>
      </c>
      <c r="E5" s="92" t="s">
        <v>63</v>
      </c>
      <c r="F5" s="92" t="s">
        <v>64</v>
      </c>
      <c r="G5" s="92" t="s">
        <v>65</v>
      </c>
      <c r="H5" s="92" t="s">
        <v>66</v>
      </c>
      <c r="I5" s="92" t="s">
        <v>67</v>
      </c>
      <c r="J5" s="92" t="s">
        <v>68</v>
      </c>
      <c r="K5" s="92" t="s">
        <v>69</v>
      </c>
      <c r="L5" s="92" t="s">
        <v>70</v>
      </c>
      <c r="M5" s="92" t="s">
        <v>71</v>
      </c>
      <c r="N5" s="92" t="s">
        <v>72</v>
      </c>
      <c r="O5" s="92" t="s">
        <v>73</v>
      </c>
      <c r="P5" s="92" t="s">
        <v>74</v>
      </c>
      <c r="Q5" s="92" t="s">
        <v>75</v>
      </c>
      <c r="R5" s="92" t="s">
        <v>76</v>
      </c>
      <c r="S5" s="92" t="s">
        <v>77</v>
      </c>
      <c r="T5" s="92" t="s">
        <v>78</v>
      </c>
      <c r="U5" s="92" t="s">
        <v>79</v>
      </c>
      <c r="V5" s="92" t="s">
        <v>80</v>
      </c>
      <c r="W5" s="92" t="s">
        <v>81</v>
      </c>
      <c r="X5" s="92" t="s">
        <v>82</v>
      </c>
      <c r="Y5" s="92" t="s">
        <v>83</v>
      </c>
      <c r="Z5" s="92" t="s">
        <v>84</v>
      </c>
      <c r="AA5" s="92" t="s">
        <v>85</v>
      </c>
      <c r="AB5" s="92" t="s">
        <v>86</v>
      </c>
      <c r="AC5" s="92" t="s">
        <v>87</v>
      </c>
      <c r="AD5" s="92" t="s">
        <v>88</v>
      </c>
      <c r="AE5" s="92" t="s">
        <v>89</v>
      </c>
      <c r="AF5" s="92" t="s">
        <v>90</v>
      </c>
      <c r="AG5" s="92" t="s">
        <v>91</v>
      </c>
      <c r="AH5" s="92" t="s">
        <v>92</v>
      </c>
      <c r="AI5" s="92" t="s">
        <v>93</v>
      </c>
      <c r="AJ5" s="92" t="s">
        <v>94</v>
      </c>
      <c r="AK5" s="92" t="s">
        <v>95</v>
      </c>
      <c r="AL5" s="92" t="s">
        <v>96</v>
      </c>
      <c r="AM5" s="92" t="s">
        <v>97</v>
      </c>
      <c r="AN5" s="92" t="s">
        <v>98</v>
      </c>
      <c r="AO5" s="92" t="s">
        <v>99</v>
      </c>
      <c r="AP5" s="92" t="s">
        <v>100</v>
      </c>
      <c r="AQ5" s="92" t="s">
        <v>101</v>
      </c>
      <c r="AR5" s="92" t="s">
        <v>102</v>
      </c>
      <c r="AS5" s="92" t="s">
        <v>103</v>
      </c>
      <c r="AT5" s="92" t="s">
        <v>104</v>
      </c>
      <c r="AU5" s="92" t="s">
        <v>105</v>
      </c>
      <c r="AV5" s="92" t="s">
        <v>106</v>
      </c>
      <c r="AW5" s="92" t="s">
        <v>107</v>
      </c>
      <c r="AX5" s="92" t="s">
        <v>108</v>
      </c>
      <c r="AY5" s="92" t="s">
        <v>109</v>
      </c>
      <c r="AZ5" s="92" t="s">
        <v>110</v>
      </c>
      <c r="BA5" s="92" t="s">
        <v>111</v>
      </c>
      <c r="BB5" s="92" t="s">
        <v>112</v>
      </c>
      <c r="BC5" s="92" t="s">
        <v>113</v>
      </c>
      <c r="BD5" s="92" t="s">
        <v>114</v>
      </c>
      <c r="BE5" s="92" t="s">
        <v>115</v>
      </c>
      <c r="BF5" s="92" t="s">
        <v>116</v>
      </c>
      <c r="BG5" s="92" t="s">
        <v>117</v>
      </c>
      <c r="BH5" s="92" t="s">
        <v>118</v>
      </c>
      <c r="BI5" s="92" t="s">
        <v>119</v>
      </c>
      <c r="BJ5" s="92" t="s">
        <v>120</v>
      </c>
      <c r="BK5" s="92" t="s">
        <v>121</v>
      </c>
      <c r="BL5" s="92" t="s">
        <v>122</v>
      </c>
      <c r="BM5" s="92" t="s">
        <v>123</v>
      </c>
      <c r="BN5" s="92" t="s">
        <v>124</v>
      </c>
      <c r="BO5" s="92" t="s">
        <v>125</v>
      </c>
      <c r="BP5" s="92" t="s">
        <v>126</v>
      </c>
      <c r="BQ5" s="92" t="s">
        <v>127</v>
      </c>
      <c r="BR5" s="92" t="s">
        <v>128</v>
      </c>
      <c r="BS5" s="92" t="s">
        <v>129</v>
      </c>
      <c r="BT5" s="92" t="s">
        <v>130</v>
      </c>
      <c r="BU5" s="92" t="s">
        <v>131</v>
      </c>
      <c r="BV5" s="92" t="s">
        <v>132</v>
      </c>
      <c r="BW5" s="92" t="s">
        <v>133</v>
      </c>
      <c r="BX5" s="92" t="s">
        <v>134</v>
      </c>
      <c r="BY5" s="92" t="s">
        <v>135</v>
      </c>
      <c r="BZ5" s="92" t="s">
        <v>136</v>
      </c>
      <c r="CA5" s="92" t="s">
        <v>137</v>
      </c>
      <c r="CB5" s="92" t="s">
        <v>138</v>
      </c>
      <c r="CC5" s="92" t="s">
        <v>139</v>
      </c>
      <c r="CD5" s="92" t="s">
        <v>140</v>
      </c>
      <c r="CE5" s="92" t="s">
        <v>141</v>
      </c>
      <c r="CF5" s="92" t="s">
        <v>142</v>
      </c>
      <c r="CG5" s="92" t="s">
        <v>143</v>
      </c>
      <c r="CH5" s="92" t="s">
        <v>144</v>
      </c>
      <c r="CI5" s="92" t="s">
        <v>145</v>
      </c>
      <c r="CJ5" s="92" t="s">
        <v>146</v>
      </c>
      <c r="CK5" s="92" t="s">
        <v>147</v>
      </c>
      <c r="CL5" s="92" t="s">
        <v>148</v>
      </c>
      <c r="CM5" s="92" t="s">
        <v>149</v>
      </c>
      <c r="CN5" s="92" t="s">
        <v>150</v>
      </c>
      <c r="CO5" s="92" t="s">
        <v>151</v>
      </c>
      <c r="CP5" s="92" t="s">
        <v>152</v>
      </c>
      <c r="CQ5" s="92" t="s">
        <v>153</v>
      </c>
      <c r="CR5" s="92" t="s">
        <v>154</v>
      </c>
      <c r="CS5" s="92" t="s">
        <v>155</v>
      </c>
      <c r="CT5" s="92" t="s">
        <v>156</v>
      </c>
      <c r="CU5" s="92" t="s">
        <v>157</v>
      </c>
      <c r="CV5" s="92" t="s">
        <v>158</v>
      </c>
      <c r="CW5" s="92" t="s">
        <v>159</v>
      </c>
      <c r="CX5" s="92" t="s">
        <v>160</v>
      </c>
      <c r="CY5" s="92" t="s">
        <v>161</v>
      </c>
      <c r="CZ5" s="92" t="s">
        <v>162</v>
      </c>
      <c r="DA5" s="92" t="s">
        <v>163</v>
      </c>
      <c r="DB5" s="92" t="s">
        <v>164</v>
      </c>
      <c r="DC5" s="92" t="s">
        <v>165</v>
      </c>
      <c r="DD5" s="92" t="s">
        <v>166</v>
      </c>
      <c r="DE5" s="92" t="s">
        <v>167</v>
      </c>
      <c r="DF5" s="92" t="s">
        <v>168</v>
      </c>
      <c r="DG5" s="92" t="s">
        <v>169</v>
      </c>
      <c r="DH5" s="92" t="s">
        <v>170</v>
      </c>
      <c r="DI5" s="92" t="s">
        <v>171</v>
      </c>
      <c r="DJ5" s="92" t="s">
        <v>172</v>
      </c>
      <c r="DK5" s="92" t="s">
        <v>173</v>
      </c>
      <c r="DL5" s="92" t="s">
        <v>174</v>
      </c>
      <c r="DM5" s="92" t="s">
        <v>175</v>
      </c>
      <c r="DN5" s="92" t="s">
        <v>176</v>
      </c>
      <c r="DO5" s="92" t="s">
        <v>177</v>
      </c>
      <c r="DP5" s="92" t="s">
        <v>178</v>
      </c>
      <c r="DQ5" s="92" t="s">
        <v>179</v>
      </c>
      <c r="DR5" s="92" t="s">
        <v>180</v>
      </c>
      <c r="DS5" s="92" t="s">
        <v>181</v>
      </c>
      <c r="DT5" s="92" t="s">
        <v>182</v>
      </c>
      <c r="DU5" s="92" t="s">
        <v>183</v>
      </c>
      <c r="DV5" s="92" t="s">
        <v>184</v>
      </c>
      <c r="DW5" s="92" t="s">
        <v>185</v>
      </c>
      <c r="DX5" s="92" t="s">
        <v>186</v>
      </c>
      <c r="DY5" s="92" t="s">
        <v>187</v>
      </c>
      <c r="DZ5" s="92" t="s">
        <v>188</v>
      </c>
      <c r="EA5" s="92" t="s">
        <v>189</v>
      </c>
      <c r="EB5" s="92" t="s">
        <v>190</v>
      </c>
      <c r="EC5" s="92" t="s">
        <v>191</v>
      </c>
      <c r="ED5" s="92" t="s">
        <v>192</v>
      </c>
      <c r="EE5" s="92" t="s">
        <v>193</v>
      </c>
      <c r="EF5" s="92" t="s">
        <v>194</v>
      </c>
      <c r="EG5" s="92" t="s">
        <v>195</v>
      </c>
      <c r="EH5" s="92" t="s">
        <v>196</v>
      </c>
      <c r="EI5" s="92" t="s">
        <v>197</v>
      </c>
      <c r="EJ5" s="92" t="s">
        <v>198</v>
      </c>
      <c r="EK5" s="92" t="s">
        <v>199</v>
      </c>
      <c r="EL5" s="92" t="s">
        <v>200</v>
      </c>
      <c r="EM5" s="92" t="s">
        <v>201</v>
      </c>
      <c r="EN5" s="92" t="s">
        <v>202</v>
      </c>
      <c r="EO5" s="92" t="s">
        <v>203</v>
      </c>
      <c r="EP5" s="92" t="s">
        <v>204</v>
      </c>
      <c r="EQ5" s="92" t="s">
        <v>205</v>
      </c>
      <c r="ER5" s="92" t="s">
        <v>206</v>
      </c>
      <c r="ES5" s="92" t="s">
        <v>207</v>
      </c>
      <c r="ET5" s="92" t="s">
        <v>208</v>
      </c>
      <c r="EU5" s="92" t="s">
        <v>209</v>
      </c>
      <c r="EV5" s="92" t="s">
        <v>210</v>
      </c>
      <c r="EW5" s="92" t="s">
        <v>211</v>
      </c>
      <c r="EX5" s="92" t="s">
        <v>212</v>
      </c>
      <c r="EY5" s="92" t="s">
        <v>213</v>
      </c>
      <c r="EZ5" s="92" t="s">
        <v>214</v>
      </c>
      <c r="FA5" s="92" t="s">
        <v>215</v>
      </c>
      <c r="FB5" s="92" t="s">
        <v>216</v>
      </c>
      <c r="FC5" s="92" t="s">
        <v>217</v>
      </c>
      <c r="FD5" s="92" t="s">
        <v>218</v>
      </c>
      <c r="FE5" s="92" t="s">
        <v>219</v>
      </c>
      <c r="FF5" s="92" t="s">
        <v>220</v>
      </c>
      <c r="FG5" s="92" t="s">
        <v>221</v>
      </c>
      <c r="FH5" s="92" t="s">
        <v>222</v>
      </c>
      <c r="FI5" s="92" t="s">
        <v>223</v>
      </c>
      <c r="FJ5" s="92" t="s">
        <v>224</v>
      </c>
      <c r="FK5" s="92" t="s">
        <v>225</v>
      </c>
      <c r="FL5" s="92" t="s">
        <v>226</v>
      </c>
      <c r="FM5" s="92" t="s">
        <v>227</v>
      </c>
      <c r="FN5" s="92" t="s">
        <v>228</v>
      </c>
      <c r="FO5" s="92" t="s">
        <v>229</v>
      </c>
      <c r="FP5" s="92" t="s">
        <v>230</v>
      </c>
      <c r="FQ5" s="92" t="s">
        <v>231</v>
      </c>
      <c r="FR5" s="92" t="s">
        <v>232</v>
      </c>
      <c r="FS5" s="92" t="s">
        <v>233</v>
      </c>
      <c r="FT5" s="92" t="s">
        <v>234</v>
      </c>
      <c r="FU5" s="92" t="s">
        <v>235</v>
      </c>
      <c r="FV5" s="92" t="s">
        <v>236</v>
      </c>
      <c r="FW5" s="92" t="s">
        <v>237</v>
      </c>
      <c r="FX5" s="92" t="s">
        <v>238</v>
      </c>
      <c r="FY5" s="92" t="s">
        <v>239</v>
      </c>
      <c r="FZ5" s="92" t="s">
        <v>240</v>
      </c>
      <c r="GA5" s="92" t="s">
        <v>241</v>
      </c>
      <c r="GB5" s="92" t="s">
        <v>242</v>
      </c>
      <c r="GC5" s="92" t="s">
        <v>243</v>
      </c>
      <c r="GD5" s="92" t="s">
        <v>244</v>
      </c>
      <c r="GE5" s="92" t="s">
        <v>245</v>
      </c>
      <c r="GF5" s="92" t="s">
        <v>246</v>
      </c>
      <c r="GG5" s="92" t="s">
        <v>247</v>
      </c>
      <c r="GH5" s="92" t="s">
        <v>248</v>
      </c>
      <c r="GI5" s="92" t="s">
        <v>249</v>
      </c>
      <c r="GJ5" s="92" t="s">
        <v>250</v>
      </c>
      <c r="GK5" s="92" t="s">
        <v>251</v>
      </c>
      <c r="GL5" s="92" t="s">
        <v>252</v>
      </c>
      <c r="GM5" s="92" t="s">
        <v>253</v>
      </c>
      <c r="GN5" s="92" t="s">
        <v>254</v>
      </c>
      <c r="GO5" s="92" t="s">
        <v>255</v>
      </c>
      <c r="GP5" s="92" t="s">
        <v>256</v>
      </c>
      <c r="GQ5" s="92" t="s">
        <v>257</v>
      </c>
      <c r="GR5" s="92" t="s">
        <v>258</v>
      </c>
      <c r="GS5" s="92" t="s">
        <v>259</v>
      </c>
      <c r="GT5" s="92" t="s">
        <v>260</v>
      </c>
      <c r="GU5" s="92" t="s">
        <v>261</v>
      </c>
      <c r="GV5" s="92" t="s">
        <v>262</v>
      </c>
      <c r="GW5" s="92" t="s">
        <v>263</v>
      </c>
      <c r="GX5" s="92" t="s">
        <v>264</v>
      </c>
      <c r="GY5" s="92" t="s">
        <v>265</v>
      </c>
      <c r="GZ5" s="92" t="s">
        <v>266</v>
      </c>
      <c r="HA5" s="92" t="s">
        <v>267</v>
      </c>
      <c r="HB5" s="92" t="s">
        <v>268</v>
      </c>
      <c r="HC5" s="92" t="s">
        <v>269</v>
      </c>
      <c r="HD5" s="92" t="s">
        <v>270</v>
      </c>
      <c r="HE5" s="92" t="s">
        <v>271</v>
      </c>
      <c r="HF5" s="92" t="s">
        <v>272</v>
      </c>
      <c r="HG5" s="92" t="s">
        <v>273</v>
      </c>
      <c r="HH5" s="92" t="s">
        <v>274</v>
      </c>
      <c r="HI5" s="92" t="s">
        <v>275</v>
      </c>
      <c r="HJ5" s="92" t="s">
        <v>276</v>
      </c>
      <c r="HK5" s="92" t="s">
        <v>277</v>
      </c>
      <c r="HL5" s="92" t="s">
        <v>278</v>
      </c>
      <c r="HM5" s="92" t="s">
        <v>279</v>
      </c>
      <c r="HN5" s="92" t="s">
        <v>280</v>
      </c>
      <c r="HO5" s="92" t="s">
        <v>281</v>
      </c>
      <c r="HP5" s="92" t="s">
        <v>282</v>
      </c>
      <c r="HQ5" s="92" t="s">
        <v>283</v>
      </c>
      <c r="HR5" s="92" t="s">
        <v>284</v>
      </c>
      <c r="HS5" s="92" t="s">
        <v>285</v>
      </c>
      <c r="HT5" s="92" t="s">
        <v>286</v>
      </c>
      <c r="HU5" s="92" t="s">
        <v>287</v>
      </c>
      <c r="HV5" s="92" t="s">
        <v>288</v>
      </c>
      <c r="HW5" s="92" t="s">
        <v>289</v>
      </c>
      <c r="HX5" s="92" t="s">
        <v>290</v>
      </c>
      <c r="HY5" s="92" t="s">
        <v>291</v>
      </c>
      <c r="HZ5" s="92" t="s">
        <v>292</v>
      </c>
      <c r="IA5" s="92" t="s">
        <v>293</v>
      </c>
      <c r="IB5" s="92" t="s">
        <v>294</v>
      </c>
      <c r="IC5" s="92" t="s">
        <v>295</v>
      </c>
      <c r="ID5" s="92" t="s">
        <v>296</v>
      </c>
      <c r="IE5" s="92" t="s">
        <v>297</v>
      </c>
      <c r="IF5" s="92" t="s">
        <v>298</v>
      </c>
      <c r="IG5" s="92" t="s">
        <v>299</v>
      </c>
      <c r="IH5" s="92" t="s">
        <v>300</v>
      </c>
      <c r="II5" s="92" t="s">
        <v>301</v>
      </c>
      <c r="IJ5" s="92" t="s">
        <v>302</v>
      </c>
      <c r="IK5" s="92" t="s">
        <v>303</v>
      </c>
      <c r="IL5" s="92" t="s">
        <v>304</v>
      </c>
      <c r="IM5" s="92" t="s">
        <v>305</v>
      </c>
      <c r="IN5" s="92" t="s">
        <v>306</v>
      </c>
      <c r="IO5" s="92" t="s">
        <v>307</v>
      </c>
      <c r="IP5" s="92" t="s">
        <v>308</v>
      </c>
      <c r="IQ5" s="92" t="s">
        <v>309</v>
      </c>
      <c r="IR5" s="92" t="s">
        <v>310</v>
      </c>
      <c r="IS5" s="92" t="s">
        <v>311</v>
      </c>
      <c r="IT5" s="92" t="s">
        <v>312</v>
      </c>
      <c r="IU5" s="92" t="s">
        <v>313</v>
      </c>
      <c r="IV5" s="92" t="s">
        <v>314</v>
      </c>
      <c r="IW5" s="92" t="s">
        <v>315</v>
      </c>
      <c r="IX5" s="92" t="s">
        <v>316</v>
      </c>
      <c r="IY5" s="92" t="s">
        <v>317</v>
      </c>
      <c r="IZ5" s="92" t="s">
        <v>318</v>
      </c>
      <c r="JA5" s="92" t="s">
        <v>319</v>
      </c>
      <c r="JB5" s="92" t="s">
        <v>320</v>
      </c>
      <c r="JC5" s="92" t="s">
        <v>321</v>
      </c>
      <c r="JD5" s="92" t="s">
        <v>322</v>
      </c>
      <c r="JE5" s="92" t="s">
        <v>323</v>
      </c>
      <c r="JF5" s="92" t="s">
        <v>324</v>
      </c>
      <c r="JG5" s="92" t="s">
        <v>325</v>
      </c>
      <c r="JH5" s="92" t="s">
        <v>326</v>
      </c>
      <c r="JI5" s="92" t="s">
        <v>327</v>
      </c>
      <c r="JJ5" s="92" t="s">
        <v>328</v>
      </c>
      <c r="JK5" s="92" t="s">
        <v>329</v>
      </c>
      <c r="JL5" s="92" t="s">
        <v>330</v>
      </c>
      <c r="JM5" s="92" t="s">
        <v>331</v>
      </c>
      <c r="JN5" s="92" t="s">
        <v>332</v>
      </c>
      <c r="JO5" s="92" t="s">
        <v>333</v>
      </c>
      <c r="JP5" s="92" t="s">
        <v>334</v>
      </c>
      <c r="JQ5" s="92" t="s">
        <v>335</v>
      </c>
      <c r="JR5" s="92" t="s">
        <v>336</v>
      </c>
      <c r="JS5" s="92" t="s">
        <v>337</v>
      </c>
      <c r="JT5" s="92" t="s">
        <v>338</v>
      </c>
      <c r="JU5" s="92" t="s">
        <v>339</v>
      </c>
      <c r="JV5" s="92" t="s">
        <v>340</v>
      </c>
      <c r="JW5" s="92" t="s">
        <v>341</v>
      </c>
      <c r="JX5" s="92" t="s">
        <v>342</v>
      </c>
      <c r="JY5" s="92" t="s">
        <v>343</v>
      </c>
      <c r="JZ5" s="92" t="s">
        <v>344</v>
      </c>
      <c r="KA5" s="92" t="s">
        <v>345</v>
      </c>
      <c r="KB5" s="92" t="s">
        <v>346</v>
      </c>
      <c r="KC5" s="92" t="s">
        <v>347</v>
      </c>
      <c r="KD5" s="92" t="s">
        <v>348</v>
      </c>
      <c r="KE5" s="92" t="s">
        <v>349</v>
      </c>
      <c r="KF5" s="92" t="s">
        <v>350</v>
      </c>
      <c r="KG5" s="92" t="s">
        <v>351</v>
      </c>
      <c r="KH5" s="92" t="s">
        <v>352</v>
      </c>
      <c r="KI5" s="92" t="s">
        <v>353</v>
      </c>
      <c r="KJ5" s="92" t="s">
        <v>354</v>
      </c>
      <c r="KK5" s="92" t="s">
        <v>355</v>
      </c>
      <c r="KL5" s="92" t="s">
        <v>356</v>
      </c>
      <c r="KM5" s="92" t="s">
        <v>357</v>
      </c>
      <c r="KN5" s="92" t="s">
        <v>358</v>
      </c>
      <c r="KO5" s="92" t="s">
        <v>359</v>
      </c>
      <c r="KP5" s="92" t="s">
        <v>360</v>
      </c>
      <c r="KQ5" s="92" t="s">
        <v>361</v>
      </c>
      <c r="KR5" s="92" t="s">
        <v>362</v>
      </c>
      <c r="KS5" s="92" t="s">
        <v>363</v>
      </c>
      <c r="KT5" s="92" t="s">
        <v>364</v>
      </c>
      <c r="KU5" s="92" t="s">
        <v>365</v>
      </c>
      <c r="KV5" s="92" t="s">
        <v>366</v>
      </c>
      <c r="KW5" s="92" t="s">
        <v>367</v>
      </c>
      <c r="KX5" s="92" t="s">
        <v>368</v>
      </c>
      <c r="KY5" s="92" t="s">
        <v>369</v>
      </c>
      <c r="KZ5" s="92" t="s">
        <v>370</v>
      </c>
      <c r="LA5" s="92" t="s">
        <v>371</v>
      </c>
      <c r="LB5" s="92" t="s">
        <v>372</v>
      </c>
      <c r="LC5" s="92" t="s">
        <v>373</v>
      </c>
      <c r="LD5" s="92" t="s">
        <v>374</v>
      </c>
      <c r="LE5" s="92" t="s">
        <v>375</v>
      </c>
      <c r="LF5" s="92" t="s">
        <v>376</v>
      </c>
      <c r="LG5" s="92" t="s">
        <v>377</v>
      </c>
      <c r="LH5" s="93" t="s">
        <v>378</v>
      </c>
      <c r="LI5" s="22"/>
      <c r="LJ5" s="22"/>
      <c r="LK5" s="22"/>
      <c r="LL5" s="22"/>
      <c r="LM5" s="22"/>
      <c r="LN5" s="22"/>
      <c r="LO5" s="22"/>
      <c r="LP5" s="22"/>
      <c r="LQ5" s="22"/>
      <c r="LR5" s="22"/>
      <c r="LS5" s="22"/>
      <c r="LT5" s="22"/>
      <c r="LU5" s="22"/>
      <c r="LV5" s="22"/>
      <c r="LW5" s="22"/>
      <c r="LX5" s="22"/>
      <c r="LY5" s="22"/>
    </row>
    <row r="6" spans="1:337">
      <c r="A6" s="15" t="str">
        <f>C2 &amp; " - " &amp; C3</f>
        <v>Total Recordable Injury - 12-Month Rolling rate</v>
      </c>
      <c r="C6" s="94" t="str">
        <f>INDEX(C12:C14,MATCH($C$2,$A$12:$A$14,0))</f>
        <v>-</v>
      </c>
      <c r="D6" s="95" t="str">
        <f t="shared" ref="D6:BO6" si="0">INDEX(D12:D14,MATCH($C$2,$A$12:$A$14,0))</f>
        <v>-</v>
      </c>
      <c r="E6" s="95" t="str">
        <f t="shared" si="0"/>
        <v>-</v>
      </c>
      <c r="F6" s="95" t="str">
        <f t="shared" si="0"/>
        <v>-</v>
      </c>
      <c r="G6" s="95" t="str">
        <f t="shared" si="0"/>
        <v>-</v>
      </c>
      <c r="H6" s="95" t="str">
        <f t="shared" si="0"/>
        <v>-</v>
      </c>
      <c r="I6" s="95" t="str">
        <f t="shared" si="0"/>
        <v>-</v>
      </c>
      <c r="J6" s="95" t="str">
        <f t="shared" si="0"/>
        <v>-</v>
      </c>
      <c r="K6" s="95" t="str">
        <f t="shared" si="0"/>
        <v>-</v>
      </c>
      <c r="L6" s="95" t="str">
        <f t="shared" si="0"/>
        <v>-</v>
      </c>
      <c r="M6" s="95" t="str">
        <f t="shared" si="0"/>
        <v>-</v>
      </c>
      <c r="N6" s="95" t="str">
        <f t="shared" si="0"/>
        <v>-</v>
      </c>
      <c r="O6" s="95" t="str">
        <f t="shared" si="0"/>
        <v>-</v>
      </c>
      <c r="P6" s="95" t="str">
        <f t="shared" si="0"/>
        <v>-</v>
      </c>
      <c r="Q6" s="95" t="str">
        <f t="shared" si="0"/>
        <v>-</v>
      </c>
      <c r="R6" s="95" t="str">
        <f t="shared" si="0"/>
        <v>-</v>
      </c>
      <c r="S6" s="95" t="str">
        <f t="shared" si="0"/>
        <v>-</v>
      </c>
      <c r="T6" s="95" t="str">
        <f t="shared" si="0"/>
        <v>-</v>
      </c>
      <c r="U6" s="95" t="str">
        <f t="shared" si="0"/>
        <v>-</v>
      </c>
      <c r="V6" s="95" t="str">
        <f t="shared" si="0"/>
        <v>-</v>
      </c>
      <c r="W6" s="95" t="str">
        <f t="shared" si="0"/>
        <v>-</v>
      </c>
      <c r="X6" s="95" t="str">
        <f t="shared" si="0"/>
        <v>-</v>
      </c>
      <c r="Y6" s="95" t="str">
        <f t="shared" si="0"/>
        <v>-</v>
      </c>
      <c r="Z6" s="95" t="str">
        <f t="shared" si="0"/>
        <v>-</v>
      </c>
      <c r="AA6" s="95" t="str">
        <f t="shared" si="0"/>
        <v>-</v>
      </c>
      <c r="AB6" s="95" t="str">
        <f t="shared" si="0"/>
        <v>-</v>
      </c>
      <c r="AC6" s="95" t="str">
        <f t="shared" si="0"/>
        <v>-</v>
      </c>
      <c r="AD6" s="95" t="str">
        <f t="shared" si="0"/>
        <v>-</v>
      </c>
      <c r="AE6" s="95" t="str">
        <f t="shared" si="0"/>
        <v>-</v>
      </c>
      <c r="AF6" s="95" t="str">
        <f t="shared" si="0"/>
        <v>-</v>
      </c>
      <c r="AG6" s="95" t="str">
        <f t="shared" si="0"/>
        <v>-</v>
      </c>
      <c r="AH6" s="95" t="str">
        <f t="shared" si="0"/>
        <v>-</v>
      </c>
      <c r="AI6" s="95" t="str">
        <f t="shared" si="0"/>
        <v>-</v>
      </c>
      <c r="AJ6" s="95" t="str">
        <f t="shared" si="0"/>
        <v>-</v>
      </c>
      <c r="AK6" s="95" t="str">
        <f t="shared" si="0"/>
        <v>-</v>
      </c>
      <c r="AL6" s="95" t="str">
        <f t="shared" si="0"/>
        <v>-</v>
      </c>
      <c r="AM6" s="95" t="str">
        <f t="shared" si="0"/>
        <v>-</v>
      </c>
      <c r="AN6" s="95" t="str">
        <f t="shared" si="0"/>
        <v>-</v>
      </c>
      <c r="AO6" s="95" t="str">
        <f t="shared" si="0"/>
        <v>-</v>
      </c>
      <c r="AP6" s="95" t="str">
        <f t="shared" si="0"/>
        <v>-</v>
      </c>
      <c r="AQ6" s="95" t="str">
        <f t="shared" si="0"/>
        <v>-</v>
      </c>
      <c r="AR6" s="95" t="str">
        <f t="shared" si="0"/>
        <v>-</v>
      </c>
      <c r="AS6" s="95" t="str">
        <f t="shared" si="0"/>
        <v>-</v>
      </c>
      <c r="AT6" s="95" t="str">
        <f t="shared" si="0"/>
        <v>-</v>
      </c>
      <c r="AU6" s="95" t="str">
        <f t="shared" si="0"/>
        <v>-</v>
      </c>
      <c r="AV6" s="95" t="str">
        <f t="shared" si="0"/>
        <v>-</v>
      </c>
      <c r="AW6" s="95" t="str">
        <f t="shared" si="0"/>
        <v>-</v>
      </c>
      <c r="AX6" s="95" t="str">
        <f t="shared" si="0"/>
        <v>-</v>
      </c>
      <c r="AY6" s="95" t="str">
        <f t="shared" si="0"/>
        <v>-</v>
      </c>
      <c r="AZ6" s="95" t="str">
        <f t="shared" si="0"/>
        <v>-</v>
      </c>
      <c r="BA6" s="95" t="str">
        <f t="shared" si="0"/>
        <v>-</v>
      </c>
      <c r="BB6" s="95" t="str">
        <f t="shared" si="0"/>
        <v>-</v>
      </c>
      <c r="BC6" s="95" t="str">
        <f t="shared" si="0"/>
        <v>-</v>
      </c>
      <c r="BD6" s="95" t="str">
        <f t="shared" si="0"/>
        <v>-</v>
      </c>
      <c r="BE6" s="95" t="str">
        <f t="shared" si="0"/>
        <v>-</v>
      </c>
      <c r="BF6" s="95" t="str">
        <f t="shared" si="0"/>
        <v>-</v>
      </c>
      <c r="BG6" s="95" t="str">
        <f t="shared" si="0"/>
        <v>-</v>
      </c>
      <c r="BH6" s="95" t="str">
        <f t="shared" si="0"/>
        <v>-</v>
      </c>
      <c r="BI6" s="95" t="str">
        <f t="shared" si="0"/>
        <v>-</v>
      </c>
      <c r="BJ6" s="95" t="str">
        <f t="shared" si="0"/>
        <v>-</v>
      </c>
      <c r="BK6" s="95" t="str">
        <f t="shared" si="0"/>
        <v>-</v>
      </c>
      <c r="BL6" s="95" t="str">
        <f t="shared" si="0"/>
        <v>-</v>
      </c>
      <c r="BM6" s="95" t="str">
        <f t="shared" si="0"/>
        <v>-</v>
      </c>
      <c r="BN6" s="95" t="str">
        <f t="shared" si="0"/>
        <v>-</v>
      </c>
      <c r="BO6" s="95" t="str">
        <f t="shared" si="0"/>
        <v>-</v>
      </c>
      <c r="BP6" s="95" t="str">
        <f t="shared" ref="BP6:CY6" si="1">INDEX(BP12:BP14,MATCH($C$2,$A$12:$A$14,0))</f>
        <v>-</v>
      </c>
      <c r="BQ6" s="95" t="str">
        <f t="shared" si="1"/>
        <v>-</v>
      </c>
      <c r="BR6" s="95" t="str">
        <f t="shared" si="1"/>
        <v>-</v>
      </c>
      <c r="BS6" s="95" t="str">
        <f t="shared" si="1"/>
        <v>-</v>
      </c>
      <c r="BT6" s="95" t="str">
        <f t="shared" si="1"/>
        <v>-</v>
      </c>
      <c r="BU6" s="95" t="str">
        <f t="shared" si="1"/>
        <v>-</v>
      </c>
      <c r="BV6" s="95" t="str">
        <f t="shared" si="1"/>
        <v>-</v>
      </c>
      <c r="BW6" s="95" t="str">
        <f t="shared" si="1"/>
        <v>-</v>
      </c>
      <c r="BX6" s="95" t="str">
        <f t="shared" si="1"/>
        <v>-</v>
      </c>
      <c r="BY6" s="95" t="str">
        <f t="shared" si="1"/>
        <v>-</v>
      </c>
      <c r="BZ6" s="95" t="str">
        <f t="shared" si="1"/>
        <v>-</v>
      </c>
      <c r="CA6" s="95" t="str">
        <f t="shared" si="1"/>
        <v>-</v>
      </c>
      <c r="CB6" s="95" t="str">
        <f t="shared" si="1"/>
        <v>-</v>
      </c>
      <c r="CC6" s="95" t="str">
        <f t="shared" si="1"/>
        <v>-</v>
      </c>
      <c r="CD6" s="95" t="str">
        <f t="shared" si="1"/>
        <v>-</v>
      </c>
      <c r="CE6" s="95" t="str">
        <f t="shared" si="1"/>
        <v>-</v>
      </c>
      <c r="CF6" s="95" t="str">
        <f t="shared" si="1"/>
        <v>-</v>
      </c>
      <c r="CG6" s="95" t="str">
        <f t="shared" si="1"/>
        <v>-</v>
      </c>
      <c r="CH6" s="95" t="str">
        <f t="shared" si="1"/>
        <v>-</v>
      </c>
      <c r="CI6" s="95" t="str">
        <f t="shared" si="1"/>
        <v>-</v>
      </c>
      <c r="CJ6" s="95" t="str">
        <f t="shared" si="1"/>
        <v>-</v>
      </c>
      <c r="CK6" s="95" t="str">
        <f t="shared" si="1"/>
        <v>-</v>
      </c>
      <c r="CL6" s="95" t="str">
        <f t="shared" si="1"/>
        <v>-</v>
      </c>
      <c r="CM6" s="95" t="str">
        <f t="shared" si="1"/>
        <v>-</v>
      </c>
      <c r="CN6" s="95" t="str">
        <f t="shared" si="1"/>
        <v>-</v>
      </c>
      <c r="CO6" s="95" t="str">
        <f t="shared" si="1"/>
        <v>-</v>
      </c>
      <c r="CP6" s="95" t="str">
        <f t="shared" si="1"/>
        <v>-</v>
      </c>
      <c r="CQ6" s="95" t="str">
        <f t="shared" si="1"/>
        <v>-</v>
      </c>
      <c r="CR6" s="95" t="str">
        <f t="shared" si="1"/>
        <v>-</v>
      </c>
      <c r="CS6" s="95" t="str">
        <f t="shared" si="1"/>
        <v>-</v>
      </c>
      <c r="CT6" s="95" t="str">
        <f t="shared" si="1"/>
        <v>-</v>
      </c>
      <c r="CU6" s="95" t="str">
        <f t="shared" si="1"/>
        <v>-</v>
      </c>
      <c r="CV6" s="95" t="str">
        <f t="shared" si="1"/>
        <v>-</v>
      </c>
      <c r="CW6" s="95" t="str">
        <f t="shared" si="1"/>
        <v>-</v>
      </c>
      <c r="CX6" s="95" t="str">
        <f t="shared" si="1"/>
        <v>-</v>
      </c>
      <c r="CY6" s="95" t="str">
        <f t="shared" si="1"/>
        <v>-</v>
      </c>
      <c r="CZ6" s="95" t="str">
        <f t="shared" ref="CZ6:FH6" si="2">INDEX(CZ12:CZ14,MATCH($C$2,$A$12:$A$14,0))</f>
        <v>-</v>
      </c>
      <c r="DA6" s="95" t="str">
        <f t="shared" si="2"/>
        <v>-</v>
      </c>
      <c r="DB6" s="95" t="str">
        <f t="shared" si="2"/>
        <v>-</v>
      </c>
      <c r="DC6" s="95" t="str">
        <f t="shared" si="2"/>
        <v>-</v>
      </c>
      <c r="DD6" s="95" t="str">
        <f t="shared" si="2"/>
        <v>-</v>
      </c>
      <c r="DE6" s="95" t="str">
        <f t="shared" si="2"/>
        <v>-</v>
      </c>
      <c r="DF6" s="95" t="str">
        <f t="shared" si="2"/>
        <v>-</v>
      </c>
      <c r="DG6" s="95" t="str">
        <f t="shared" si="2"/>
        <v>-</v>
      </c>
      <c r="DH6" s="95" t="str">
        <f t="shared" si="2"/>
        <v>-</v>
      </c>
      <c r="DI6" s="95" t="str">
        <f t="shared" si="2"/>
        <v>-</v>
      </c>
      <c r="DJ6" s="95" t="str">
        <f t="shared" si="2"/>
        <v>-</v>
      </c>
      <c r="DK6" s="95" t="str">
        <f t="shared" si="2"/>
        <v>-</v>
      </c>
      <c r="DL6" s="95" t="str">
        <f t="shared" si="2"/>
        <v>-</v>
      </c>
      <c r="DM6" s="95" t="str">
        <f t="shared" si="2"/>
        <v>-</v>
      </c>
      <c r="DN6" s="95" t="str">
        <f t="shared" si="2"/>
        <v>-</v>
      </c>
      <c r="DO6" s="95" t="str">
        <f t="shared" si="2"/>
        <v>-</v>
      </c>
      <c r="DP6" s="95" t="str">
        <f t="shared" si="2"/>
        <v>-</v>
      </c>
      <c r="DQ6" s="95" t="str">
        <f t="shared" si="2"/>
        <v>-</v>
      </c>
      <c r="DR6" s="95" t="str">
        <f t="shared" si="2"/>
        <v>-</v>
      </c>
      <c r="DS6" s="95" t="str">
        <f t="shared" si="2"/>
        <v>-</v>
      </c>
      <c r="DT6" s="95" t="str">
        <f t="shared" si="2"/>
        <v>-</v>
      </c>
      <c r="DU6" s="95" t="str">
        <f t="shared" si="2"/>
        <v>-</v>
      </c>
      <c r="DV6" s="95" t="str">
        <f t="shared" si="2"/>
        <v>-</v>
      </c>
      <c r="DW6" s="95" t="str">
        <f t="shared" si="2"/>
        <v>-</v>
      </c>
      <c r="DX6" s="95" t="str">
        <f t="shared" si="2"/>
        <v>-</v>
      </c>
      <c r="DY6" s="95" t="str">
        <f t="shared" si="2"/>
        <v>-</v>
      </c>
      <c r="DZ6" s="95" t="str">
        <f t="shared" si="2"/>
        <v>-</v>
      </c>
      <c r="EA6" s="95" t="str">
        <f t="shared" si="2"/>
        <v>-</v>
      </c>
      <c r="EB6" s="95" t="str">
        <f t="shared" si="2"/>
        <v>-</v>
      </c>
      <c r="EC6" s="95" t="str">
        <f t="shared" si="2"/>
        <v>-</v>
      </c>
      <c r="ED6" s="95" t="str">
        <f t="shared" si="2"/>
        <v>-</v>
      </c>
      <c r="EE6" s="95" t="str">
        <f t="shared" si="2"/>
        <v>-</v>
      </c>
      <c r="EF6" s="95" t="str">
        <f t="shared" si="2"/>
        <v>-</v>
      </c>
      <c r="EG6" s="95" t="str">
        <f t="shared" si="2"/>
        <v>-</v>
      </c>
      <c r="EH6" s="95" t="str">
        <f t="shared" si="2"/>
        <v>-</v>
      </c>
      <c r="EI6" s="95" t="str">
        <f t="shared" si="2"/>
        <v>-</v>
      </c>
      <c r="EJ6" s="95" t="str">
        <f t="shared" si="2"/>
        <v>-</v>
      </c>
      <c r="EK6" s="95" t="str">
        <f t="shared" si="2"/>
        <v>-</v>
      </c>
      <c r="EL6" s="95" t="str">
        <f t="shared" si="2"/>
        <v>-</v>
      </c>
      <c r="EM6" s="95" t="str">
        <f t="shared" si="2"/>
        <v>-</v>
      </c>
      <c r="EN6" s="95" t="str">
        <f t="shared" si="2"/>
        <v>-</v>
      </c>
      <c r="EO6" s="95" t="str">
        <f t="shared" si="2"/>
        <v>-</v>
      </c>
      <c r="EP6" s="95" t="str">
        <f t="shared" si="2"/>
        <v>-</v>
      </c>
      <c r="EQ6" s="95" t="str">
        <f t="shared" si="2"/>
        <v>-</v>
      </c>
      <c r="ER6" s="95" t="str">
        <f t="shared" si="2"/>
        <v>-</v>
      </c>
      <c r="ES6" s="95" t="str">
        <f t="shared" si="2"/>
        <v>-</v>
      </c>
      <c r="ET6" s="95" t="str">
        <f t="shared" si="2"/>
        <v>-</v>
      </c>
      <c r="EU6" s="95" t="str">
        <f t="shared" si="2"/>
        <v>-</v>
      </c>
      <c r="EV6" s="95" t="str">
        <f t="shared" si="2"/>
        <v>-</v>
      </c>
      <c r="EW6" s="95" t="str">
        <f t="shared" si="2"/>
        <v>-</v>
      </c>
      <c r="EX6" s="95" t="str">
        <f t="shared" si="2"/>
        <v>-</v>
      </c>
      <c r="EY6" s="95" t="str">
        <f t="shared" si="2"/>
        <v>-</v>
      </c>
      <c r="EZ6" s="95" t="str">
        <f t="shared" si="2"/>
        <v>-</v>
      </c>
      <c r="FA6" s="95" t="str">
        <f t="shared" si="2"/>
        <v>-</v>
      </c>
      <c r="FB6" s="95" t="str">
        <f t="shared" si="2"/>
        <v>-</v>
      </c>
      <c r="FC6" s="95" t="str">
        <f t="shared" si="2"/>
        <v>-</v>
      </c>
      <c r="FD6" s="95" t="str">
        <f t="shared" si="2"/>
        <v>-</v>
      </c>
      <c r="FE6" s="95" t="str">
        <f t="shared" si="2"/>
        <v>-</v>
      </c>
      <c r="FF6" s="95" t="str">
        <f t="shared" si="2"/>
        <v>-</v>
      </c>
      <c r="FG6" s="95" t="str">
        <f t="shared" si="2"/>
        <v>-</v>
      </c>
      <c r="FH6" s="95" t="str">
        <f t="shared" si="2"/>
        <v>-</v>
      </c>
      <c r="FI6" s="96"/>
      <c r="FJ6" s="96"/>
      <c r="FK6" s="96"/>
      <c r="FL6" s="96"/>
      <c r="FM6" s="96"/>
      <c r="FN6" s="96"/>
      <c r="FO6" s="96"/>
      <c r="FP6" s="96"/>
      <c r="FQ6" s="96"/>
      <c r="FR6" s="96"/>
      <c r="FS6" s="96"/>
      <c r="FT6" s="96"/>
      <c r="FU6" s="96"/>
      <c r="FV6" s="96"/>
      <c r="FW6" s="96"/>
      <c r="FX6" s="96"/>
      <c r="FY6" s="96"/>
      <c r="FZ6" s="96"/>
      <c r="GA6" s="96"/>
      <c r="GB6" s="96"/>
      <c r="GC6" s="96"/>
      <c r="GD6" s="96"/>
      <c r="GE6" s="96"/>
      <c r="GF6" s="96"/>
      <c r="GG6" s="96"/>
      <c r="GH6" s="96"/>
      <c r="GI6" s="96"/>
      <c r="GJ6" s="96"/>
      <c r="GK6" s="96"/>
      <c r="GL6" s="96"/>
      <c r="GM6" s="96"/>
      <c r="GN6" s="96"/>
      <c r="GO6" s="96"/>
      <c r="GP6" s="96"/>
      <c r="GQ6" s="96"/>
      <c r="GR6" s="96"/>
      <c r="GS6" s="96"/>
      <c r="GT6" s="96"/>
      <c r="GU6" s="96"/>
      <c r="GV6" s="96"/>
      <c r="GW6" s="96"/>
      <c r="GX6" s="96"/>
      <c r="GY6" s="96"/>
      <c r="GZ6" s="96"/>
      <c r="HA6" s="96"/>
      <c r="HB6" s="96"/>
      <c r="HC6" s="96"/>
      <c r="HD6" s="96"/>
      <c r="HE6" s="96"/>
      <c r="HF6" s="96"/>
      <c r="HG6" s="96"/>
      <c r="HH6" s="96"/>
      <c r="HI6" s="96"/>
      <c r="HJ6" s="96"/>
      <c r="HK6" s="96"/>
      <c r="HL6" s="96"/>
      <c r="HM6" s="96"/>
      <c r="HN6" s="96"/>
      <c r="HO6" s="96"/>
      <c r="HP6" s="96"/>
      <c r="HQ6" s="96"/>
      <c r="HR6" s="96"/>
      <c r="HS6" s="96"/>
      <c r="HT6" s="96"/>
      <c r="HU6" s="96"/>
      <c r="HV6" s="96"/>
      <c r="HW6" s="96"/>
      <c r="HX6" s="96"/>
      <c r="HY6" s="96"/>
      <c r="HZ6" s="96"/>
      <c r="IA6" s="96"/>
      <c r="IB6" s="96"/>
      <c r="IC6" s="96"/>
      <c r="ID6" s="96"/>
      <c r="IE6" s="96"/>
      <c r="IF6" s="96"/>
      <c r="IG6" s="96"/>
      <c r="IH6" s="96"/>
      <c r="II6" s="96"/>
      <c r="IJ6" s="96"/>
      <c r="IK6" s="96"/>
      <c r="IL6" s="96"/>
      <c r="IM6" s="96"/>
      <c r="IN6" s="96"/>
      <c r="IO6" s="96"/>
      <c r="IP6" s="96"/>
      <c r="IQ6" s="96"/>
      <c r="IR6" s="96"/>
      <c r="IS6" s="96"/>
      <c r="IT6" s="96"/>
      <c r="IU6" s="96"/>
      <c r="IV6" s="96"/>
      <c r="IW6" s="96"/>
      <c r="IX6" s="96"/>
      <c r="IY6" s="96"/>
      <c r="IZ6" s="96"/>
      <c r="JA6" s="96"/>
      <c r="JB6" s="96"/>
      <c r="JC6" s="96"/>
      <c r="JD6" s="96"/>
      <c r="JE6" s="96"/>
      <c r="JF6" s="96"/>
      <c r="JG6" s="96"/>
      <c r="JH6" s="96"/>
      <c r="JI6" s="96"/>
      <c r="JJ6" s="96"/>
      <c r="JK6" s="96"/>
      <c r="JL6" s="96"/>
      <c r="JM6" s="96"/>
      <c r="JN6" s="96"/>
      <c r="JO6" s="96"/>
      <c r="JP6" s="96"/>
      <c r="JQ6" s="96"/>
      <c r="JR6" s="96"/>
      <c r="JS6" s="96"/>
      <c r="JT6" s="96"/>
      <c r="JU6" s="96"/>
      <c r="JV6" s="96"/>
      <c r="JW6" s="96"/>
      <c r="JX6" s="96"/>
      <c r="JY6" s="96"/>
      <c r="JZ6" s="96"/>
      <c r="KA6" s="96"/>
      <c r="KB6" s="96"/>
      <c r="KC6" s="96"/>
      <c r="KD6" s="96"/>
      <c r="KE6" s="96"/>
      <c r="KF6" s="96"/>
      <c r="KG6" s="96"/>
      <c r="KH6" s="96"/>
      <c r="KI6" s="96"/>
      <c r="KJ6" s="96"/>
      <c r="KK6" s="96"/>
      <c r="KL6" s="96"/>
      <c r="KM6" s="96"/>
      <c r="KN6" s="96"/>
      <c r="KO6" s="96"/>
      <c r="KP6" s="96"/>
      <c r="KQ6" s="96"/>
      <c r="KR6" s="96"/>
      <c r="KS6" s="96"/>
      <c r="KT6" s="96"/>
      <c r="KU6" s="96"/>
      <c r="KV6" s="96"/>
      <c r="KW6" s="96"/>
      <c r="KX6" s="96"/>
      <c r="KY6" s="96"/>
      <c r="KZ6" s="96"/>
      <c r="LA6" s="96"/>
      <c r="LB6" s="96"/>
      <c r="LC6" s="96"/>
      <c r="LD6" s="96"/>
      <c r="LE6" s="96"/>
      <c r="LF6" s="96"/>
      <c r="LG6" s="96"/>
      <c r="LH6" s="97"/>
    </row>
    <row r="11" spans="1:337" ht="15.75" thickBot="1"/>
    <row r="12" spans="1:337">
      <c r="A12" s="23" t="s">
        <v>3</v>
      </c>
      <c r="B12" s="24" t="str">
        <f xml:space="preserve"> " Rate - " &amp; $C$3</f>
        <v xml:space="preserve"> Rate - 12-Month Rolling rate</v>
      </c>
      <c r="C12" s="37" t="e" cm="1">
        <f t="array" ref="C12">_xlfn.IFS(AND($C$2="Lost Time Incident Frequency",'Table(related to graph)'!$C$3="Monthly"),KPI!E16,AND($C$2="Lost Time Incident Frequency",'Table(related to graph)'!$C$3='List(to hide)'!$C$3),KPI!E18,AND($C$2="Lost Time Incident Frequency",'Table(related to graph)'!$C$3='List(to hide)'!$C$4),KPI!E20)</f>
        <v>#N/A</v>
      </c>
      <c r="D12" s="37" t="e" cm="1">
        <f t="array" ref="D12">_xlfn.IFS(AND($C$2="Lost Time Incident Frequency",'Table(related to graph)'!$C$3="Monthly"),KPI!F16,AND($C$2="Lost Time Incident Frequency",'Table(related to graph)'!$C$3='List(to hide)'!$C$3),KPI!F18,AND($C$2="Lost Time Incident Frequency",'Table(related to graph)'!$C$3='List(to hide)'!$C$4),KPI!F20)</f>
        <v>#N/A</v>
      </c>
      <c r="E12" s="37" t="e" cm="1">
        <f t="array" ref="E12">_xlfn.IFS(AND($C$2="Lost Time Incident Frequency",'Table(related to graph)'!$C$3="Monthly"),KPI!G16,AND($C$2="Lost Time Incident Frequency",'Table(related to graph)'!$C$3='List(to hide)'!$C$3),KPI!G18,AND($C$2="Lost Time Incident Frequency",'Table(related to graph)'!$C$3='List(to hide)'!$C$4),KPI!G20)</f>
        <v>#N/A</v>
      </c>
      <c r="F12" s="37" t="e" cm="1">
        <f t="array" ref="F12">_xlfn.IFS(AND($C$2="Lost Time Incident Frequency",'Table(related to graph)'!$C$3="Monthly"),KPI!H16,AND($C$2="Lost Time Incident Frequency",'Table(related to graph)'!$C$3='List(to hide)'!$C$3),KPI!H18,AND($C$2="Lost Time Incident Frequency",'Table(related to graph)'!$C$3='List(to hide)'!$C$4),KPI!H20)</f>
        <v>#N/A</v>
      </c>
      <c r="G12" s="37" t="e" cm="1">
        <f t="array" ref="G12">_xlfn.IFS(AND($C$2="Lost Time Incident Frequency",'Table(related to graph)'!$C$3="Monthly"),KPI!I16,AND($C$2="Lost Time Incident Frequency",'Table(related to graph)'!$C$3='List(to hide)'!$C$3),KPI!I18,AND($C$2="Lost Time Incident Frequency",'Table(related to graph)'!$C$3='List(to hide)'!$C$4),KPI!I20)</f>
        <v>#N/A</v>
      </c>
      <c r="H12" s="37" t="e" cm="1">
        <f t="array" ref="H12">_xlfn.IFS(AND($C$2="Lost Time Incident Frequency",'Table(related to graph)'!$C$3="Monthly"),KPI!J16,AND($C$2="Lost Time Incident Frequency",'Table(related to graph)'!$C$3='List(to hide)'!$C$3),KPI!J18,AND($C$2="Lost Time Incident Frequency",'Table(related to graph)'!$C$3='List(to hide)'!$C$4),KPI!J20)</f>
        <v>#N/A</v>
      </c>
      <c r="I12" s="37" t="e" cm="1">
        <f t="array" ref="I12">_xlfn.IFS(AND($C$2="Lost Time Incident Frequency",'Table(related to graph)'!$C$3="Monthly"),KPI!K16,AND($C$2="Lost Time Incident Frequency",'Table(related to graph)'!$C$3='List(to hide)'!$C$3),KPI!K18,AND($C$2="Lost Time Incident Frequency",'Table(related to graph)'!$C$3='List(to hide)'!$C$4),KPI!K20)</f>
        <v>#N/A</v>
      </c>
      <c r="J12" s="37" t="e" cm="1">
        <f t="array" ref="J12">_xlfn.IFS(AND($C$2="Lost Time Incident Frequency",'Table(related to graph)'!$C$3="Monthly"),KPI!L16,AND($C$2="Lost Time Incident Frequency",'Table(related to graph)'!$C$3='List(to hide)'!$C$3),KPI!L18,AND($C$2="Lost Time Incident Frequency",'Table(related to graph)'!$C$3='List(to hide)'!$C$4),KPI!L20)</f>
        <v>#N/A</v>
      </c>
      <c r="K12" s="37" t="e" cm="1">
        <f t="array" ref="K12">_xlfn.IFS(AND($C$2="Lost Time Incident Frequency",'Table(related to graph)'!$C$3="Monthly"),KPI!M16,AND($C$2="Lost Time Incident Frequency",'Table(related to graph)'!$C$3='List(to hide)'!$C$3),KPI!M18,AND($C$2="Lost Time Incident Frequency",'Table(related to graph)'!$C$3='List(to hide)'!$C$4),KPI!M20)</f>
        <v>#N/A</v>
      </c>
      <c r="L12" s="37" t="e" cm="1">
        <f t="array" ref="L12">_xlfn.IFS(AND($C$2="Lost Time Incident Frequency",'Table(related to graph)'!$C$3="Monthly"),KPI!N16,AND($C$2="Lost Time Incident Frequency",'Table(related to graph)'!$C$3='List(to hide)'!$C$3),KPI!N18,AND($C$2="Lost Time Incident Frequency",'Table(related to graph)'!$C$3='List(to hide)'!$C$4),KPI!N20)</f>
        <v>#N/A</v>
      </c>
      <c r="M12" s="37" t="e" cm="1">
        <f t="array" ref="M12">_xlfn.IFS(AND($C$2="Lost Time Incident Frequency",'Table(related to graph)'!$C$3="Monthly"),KPI!O16,AND($C$2="Lost Time Incident Frequency",'Table(related to graph)'!$C$3='List(to hide)'!$C$3),KPI!O18,AND($C$2="Lost Time Incident Frequency",'Table(related to graph)'!$C$3='List(to hide)'!$C$4),KPI!O20)</f>
        <v>#N/A</v>
      </c>
      <c r="N12" s="37" t="e" cm="1">
        <f t="array" ref="N12">_xlfn.IFS(AND($C$2="Lost Time Incident Frequency",'Table(related to graph)'!$C$3="Monthly"),KPI!P16,AND($C$2="Lost Time Incident Frequency",'Table(related to graph)'!$C$3='List(to hide)'!$C$3),KPI!P18,AND($C$2="Lost Time Incident Frequency",'Table(related to graph)'!$C$3='List(to hide)'!$C$4),KPI!P20)</f>
        <v>#N/A</v>
      </c>
      <c r="O12" s="37" t="e" cm="1">
        <f t="array" ref="O12">_xlfn.IFS(AND($C$2="Lost Time Incident Frequency",'Table(related to graph)'!$C$3="Monthly"),KPI!Q16,AND($C$2="Lost Time Incident Frequency",'Table(related to graph)'!$C$3='List(to hide)'!$C$3),KPI!Q18,AND($C$2="Lost Time Incident Frequency",'Table(related to graph)'!$C$3='List(to hide)'!$C$4),KPI!Q20)</f>
        <v>#N/A</v>
      </c>
      <c r="P12" s="37" t="e" cm="1">
        <f t="array" ref="P12">_xlfn.IFS(AND($C$2="Lost Time Incident Frequency",'Table(related to graph)'!$C$3="Monthly"),KPI!R16,AND($C$2="Lost Time Incident Frequency",'Table(related to graph)'!$C$3='List(to hide)'!$C$3),KPI!R18,AND($C$2="Lost Time Incident Frequency",'Table(related to graph)'!$C$3='List(to hide)'!$C$4),KPI!R20)</f>
        <v>#N/A</v>
      </c>
      <c r="Q12" s="37" t="e" cm="1">
        <f t="array" ref="Q12">_xlfn.IFS(AND($C$2="Lost Time Incident Frequency",'Table(related to graph)'!$C$3="Monthly"),KPI!S16,AND($C$2="Lost Time Incident Frequency",'Table(related to graph)'!$C$3='List(to hide)'!$C$3),KPI!S18,AND($C$2="Lost Time Incident Frequency",'Table(related to graph)'!$C$3='List(to hide)'!$C$4),KPI!S20)</f>
        <v>#N/A</v>
      </c>
      <c r="R12" s="37" t="e" cm="1">
        <f t="array" ref="R12">_xlfn.IFS(AND($C$2="Lost Time Incident Frequency",'Table(related to graph)'!$C$3="Monthly"),KPI!T16,AND($C$2="Lost Time Incident Frequency",'Table(related to graph)'!$C$3='List(to hide)'!$C$3),KPI!T18,AND($C$2="Lost Time Incident Frequency",'Table(related to graph)'!$C$3='List(to hide)'!$C$4),KPI!T20)</f>
        <v>#N/A</v>
      </c>
      <c r="S12" s="37" t="e" cm="1">
        <f t="array" ref="S12">_xlfn.IFS(AND($C$2="Lost Time Incident Frequency",'Table(related to graph)'!$C$3="Monthly"),KPI!U16,AND($C$2="Lost Time Incident Frequency",'Table(related to graph)'!$C$3='List(to hide)'!$C$3),KPI!U18,AND($C$2="Lost Time Incident Frequency",'Table(related to graph)'!$C$3='List(to hide)'!$C$4),KPI!U20)</f>
        <v>#N/A</v>
      </c>
      <c r="T12" s="37" t="e" cm="1">
        <f t="array" ref="T12">_xlfn.IFS(AND($C$2="Lost Time Incident Frequency",'Table(related to graph)'!$C$3="Monthly"),KPI!V16,AND($C$2="Lost Time Incident Frequency",'Table(related to graph)'!$C$3='List(to hide)'!$C$3),KPI!V18,AND($C$2="Lost Time Incident Frequency",'Table(related to graph)'!$C$3='List(to hide)'!$C$4),KPI!V20)</f>
        <v>#N/A</v>
      </c>
      <c r="U12" s="37" t="e" cm="1">
        <f t="array" ref="U12">_xlfn.IFS(AND($C$2="Lost Time Incident Frequency",'Table(related to graph)'!$C$3="Monthly"),KPI!W16,AND($C$2="Lost Time Incident Frequency",'Table(related to graph)'!$C$3='List(to hide)'!$C$3),KPI!W18,AND($C$2="Lost Time Incident Frequency",'Table(related to graph)'!$C$3='List(to hide)'!$C$4),KPI!W20)</f>
        <v>#N/A</v>
      </c>
      <c r="V12" s="37" t="e" cm="1">
        <f t="array" ref="V12">_xlfn.IFS(AND($C$2="Lost Time Incident Frequency",'Table(related to graph)'!$C$3="Monthly"),KPI!X16,AND($C$2="Lost Time Incident Frequency",'Table(related to graph)'!$C$3='List(to hide)'!$C$3),KPI!X18,AND($C$2="Lost Time Incident Frequency",'Table(related to graph)'!$C$3='List(to hide)'!$C$4),KPI!X20)</f>
        <v>#N/A</v>
      </c>
      <c r="W12" s="37" t="e" cm="1">
        <f t="array" ref="W12">_xlfn.IFS(AND($C$2="Lost Time Incident Frequency",'Table(related to graph)'!$C$3="Monthly"),KPI!Y16,AND($C$2="Lost Time Incident Frequency",'Table(related to graph)'!$C$3='List(to hide)'!$C$3),KPI!Y18,AND($C$2="Lost Time Incident Frequency",'Table(related to graph)'!$C$3='List(to hide)'!$C$4),KPI!Y20)</f>
        <v>#N/A</v>
      </c>
      <c r="X12" s="37" t="e" cm="1">
        <f t="array" ref="X12">_xlfn.IFS(AND($C$2="Lost Time Incident Frequency",'Table(related to graph)'!$C$3="Monthly"),KPI!Z16,AND($C$2="Lost Time Incident Frequency",'Table(related to graph)'!$C$3='List(to hide)'!$C$3),KPI!Z18,AND($C$2="Lost Time Incident Frequency",'Table(related to graph)'!$C$3='List(to hide)'!$C$4),KPI!Z20)</f>
        <v>#N/A</v>
      </c>
      <c r="Y12" s="37" t="e" cm="1">
        <f t="array" ref="Y12">_xlfn.IFS(AND($C$2="Lost Time Incident Frequency",'Table(related to graph)'!$C$3="Monthly"),KPI!AA16,AND($C$2="Lost Time Incident Frequency",'Table(related to graph)'!$C$3='List(to hide)'!$C$3),KPI!AA18,AND($C$2="Lost Time Incident Frequency",'Table(related to graph)'!$C$3='List(to hide)'!$C$4),KPI!AA20)</f>
        <v>#N/A</v>
      </c>
      <c r="Z12" s="37" t="e" cm="1">
        <f t="array" ref="Z12">_xlfn.IFS(AND($C$2="Lost Time Incident Frequency",'Table(related to graph)'!$C$3="Monthly"),KPI!AB16,AND($C$2="Lost Time Incident Frequency",'Table(related to graph)'!$C$3='List(to hide)'!$C$3),KPI!AB18,AND($C$2="Lost Time Incident Frequency",'Table(related to graph)'!$C$3='List(to hide)'!$C$4),KPI!AB20)</f>
        <v>#N/A</v>
      </c>
      <c r="AA12" s="37" t="e" cm="1">
        <f t="array" ref="AA12">_xlfn.IFS(AND($C$2="Lost Time Incident Frequency",'Table(related to graph)'!$C$3="Monthly"),KPI!AC16,AND($C$2="Lost Time Incident Frequency",'Table(related to graph)'!$C$3='List(to hide)'!$C$3),KPI!AC18,AND($C$2="Lost Time Incident Frequency",'Table(related to graph)'!$C$3='List(to hide)'!$C$4),KPI!AC20)</f>
        <v>#N/A</v>
      </c>
      <c r="AB12" s="37" t="e" cm="1">
        <f t="array" ref="AB12">_xlfn.IFS(AND($C$2="Lost Time Incident Frequency",'Table(related to graph)'!$C$3="Monthly"),KPI!AD16,AND($C$2="Lost Time Incident Frequency",'Table(related to graph)'!$C$3='List(to hide)'!$C$3),KPI!AD18,AND($C$2="Lost Time Incident Frequency",'Table(related to graph)'!$C$3='List(to hide)'!$C$4),KPI!AD20)</f>
        <v>#N/A</v>
      </c>
      <c r="AC12" s="37" t="e" cm="1">
        <f t="array" ref="AC12">_xlfn.IFS(AND($C$2="Lost Time Incident Frequency",'Table(related to graph)'!$C$3="Monthly"),KPI!AE16,AND($C$2="Lost Time Incident Frequency",'Table(related to graph)'!$C$3='List(to hide)'!$C$3),KPI!AE18,AND($C$2="Lost Time Incident Frequency",'Table(related to graph)'!$C$3='List(to hide)'!$C$4),KPI!AE20)</f>
        <v>#N/A</v>
      </c>
      <c r="AD12" s="37" t="e" cm="1">
        <f t="array" ref="AD12">_xlfn.IFS(AND($C$2="Lost Time Incident Frequency",'Table(related to graph)'!$C$3="Monthly"),KPI!AF16,AND($C$2="Lost Time Incident Frequency",'Table(related to graph)'!$C$3='List(to hide)'!$C$3),KPI!AF18,AND($C$2="Lost Time Incident Frequency",'Table(related to graph)'!$C$3='List(to hide)'!$C$4),KPI!AF20)</f>
        <v>#N/A</v>
      </c>
      <c r="AE12" s="37" t="e" cm="1">
        <f t="array" ref="AE12">_xlfn.IFS(AND($C$2="Lost Time Incident Frequency",'Table(related to graph)'!$C$3="Monthly"),KPI!AG16,AND($C$2="Lost Time Incident Frequency",'Table(related to graph)'!$C$3='List(to hide)'!$C$3),KPI!AG18,AND($C$2="Lost Time Incident Frequency",'Table(related to graph)'!$C$3='List(to hide)'!$C$4),KPI!AG20)</f>
        <v>#N/A</v>
      </c>
      <c r="AF12" s="37" t="e" cm="1">
        <f t="array" ref="AF12">_xlfn.IFS(AND($C$2="Lost Time Incident Frequency",'Table(related to graph)'!$C$3="Monthly"),KPI!AH16,AND($C$2="Lost Time Incident Frequency",'Table(related to graph)'!$C$3='List(to hide)'!$C$3),KPI!AH18,AND($C$2="Lost Time Incident Frequency",'Table(related to graph)'!$C$3='List(to hide)'!$C$4),KPI!AH20)</f>
        <v>#N/A</v>
      </c>
      <c r="AG12" s="37" t="e" cm="1">
        <f t="array" ref="AG12">_xlfn.IFS(AND($C$2="Lost Time Incident Frequency",'Table(related to graph)'!$C$3="Monthly"),KPI!AI16,AND($C$2="Lost Time Incident Frequency",'Table(related to graph)'!$C$3='List(to hide)'!$C$3),KPI!AI18,AND($C$2="Lost Time Incident Frequency",'Table(related to graph)'!$C$3='List(to hide)'!$C$4),KPI!AI20)</f>
        <v>#N/A</v>
      </c>
      <c r="AH12" s="37" t="e" cm="1">
        <f t="array" ref="AH12">_xlfn.IFS(AND($C$2="Lost Time Incident Frequency",'Table(related to graph)'!$C$3="Monthly"),KPI!AJ16,AND($C$2="Lost Time Incident Frequency",'Table(related to graph)'!$C$3='List(to hide)'!$C$3),KPI!AJ18,AND($C$2="Lost Time Incident Frequency",'Table(related to graph)'!$C$3='List(to hide)'!$C$4),KPI!AJ20)</f>
        <v>#N/A</v>
      </c>
      <c r="AI12" s="37" t="e" cm="1">
        <f t="array" ref="AI12">_xlfn.IFS(AND($C$2="Lost Time Incident Frequency",'Table(related to graph)'!$C$3="Monthly"),KPI!AK16,AND($C$2="Lost Time Incident Frequency",'Table(related to graph)'!$C$3='List(to hide)'!$C$3),KPI!AK18,AND($C$2="Lost Time Incident Frequency",'Table(related to graph)'!$C$3='List(to hide)'!$C$4),KPI!AK20)</f>
        <v>#N/A</v>
      </c>
      <c r="AJ12" s="37" t="e" cm="1">
        <f t="array" ref="AJ12">_xlfn.IFS(AND($C$2="Lost Time Incident Frequency",'Table(related to graph)'!$C$3="Monthly"),KPI!AL16,AND($C$2="Lost Time Incident Frequency",'Table(related to graph)'!$C$3='List(to hide)'!$C$3),KPI!AL18,AND($C$2="Lost Time Incident Frequency",'Table(related to graph)'!$C$3='List(to hide)'!$C$4),KPI!AL20)</f>
        <v>#N/A</v>
      </c>
      <c r="AK12" s="37" t="e" cm="1">
        <f t="array" ref="AK12">_xlfn.IFS(AND($C$2="Lost Time Incident Frequency",'Table(related to graph)'!$C$3="Monthly"),KPI!AM16,AND($C$2="Lost Time Incident Frequency",'Table(related to graph)'!$C$3='List(to hide)'!$C$3),KPI!AM18,AND($C$2="Lost Time Incident Frequency",'Table(related to graph)'!$C$3='List(to hide)'!$C$4),KPI!AM20)</f>
        <v>#N/A</v>
      </c>
      <c r="AL12" s="37" t="e" cm="1">
        <f t="array" ref="AL12">_xlfn.IFS(AND($C$2="Lost Time Incident Frequency",'Table(related to graph)'!$C$3="Monthly"),KPI!AN16,AND($C$2="Lost Time Incident Frequency",'Table(related to graph)'!$C$3='List(to hide)'!$C$3),KPI!AN18,AND($C$2="Lost Time Incident Frequency",'Table(related to graph)'!$C$3='List(to hide)'!$C$4),KPI!AN20)</f>
        <v>#N/A</v>
      </c>
      <c r="AM12" s="37" t="e" cm="1">
        <f t="array" ref="AM12">_xlfn.IFS(AND($C$2="Lost Time Incident Frequency",'Table(related to graph)'!$C$3="Monthly"),KPI!AO16,AND($C$2="Lost Time Incident Frequency",'Table(related to graph)'!$C$3='List(to hide)'!$C$3),KPI!AO18,AND($C$2="Lost Time Incident Frequency",'Table(related to graph)'!$C$3='List(to hide)'!$C$4),KPI!AO20)</f>
        <v>#N/A</v>
      </c>
      <c r="AN12" s="37" t="e" cm="1">
        <f t="array" ref="AN12">_xlfn.IFS(AND($C$2="Lost Time Incident Frequency",'Table(related to graph)'!$C$3="Monthly"),KPI!AP16,AND($C$2="Lost Time Incident Frequency",'Table(related to graph)'!$C$3='List(to hide)'!$C$3),KPI!AP18,AND($C$2="Lost Time Incident Frequency",'Table(related to graph)'!$C$3='List(to hide)'!$C$4),KPI!AP20)</f>
        <v>#N/A</v>
      </c>
      <c r="AO12" s="37" t="e" cm="1">
        <f t="array" ref="AO12">_xlfn.IFS(AND($C$2="Lost Time Incident Frequency",'Table(related to graph)'!$C$3="Monthly"),KPI!AQ16,AND($C$2="Lost Time Incident Frequency",'Table(related to graph)'!$C$3='List(to hide)'!$C$3),KPI!AQ18,AND($C$2="Lost Time Incident Frequency",'Table(related to graph)'!$C$3='List(to hide)'!$C$4),KPI!AQ20)</f>
        <v>#N/A</v>
      </c>
      <c r="AP12" s="37" t="e" cm="1">
        <f t="array" ref="AP12">_xlfn.IFS(AND($C$2="Lost Time Incident Frequency",'Table(related to graph)'!$C$3="Monthly"),KPI!AR16,AND($C$2="Lost Time Incident Frequency",'Table(related to graph)'!$C$3='List(to hide)'!$C$3),KPI!AR18,AND($C$2="Lost Time Incident Frequency",'Table(related to graph)'!$C$3='List(to hide)'!$C$4),KPI!AR20)</f>
        <v>#N/A</v>
      </c>
      <c r="AQ12" s="37" t="e" cm="1">
        <f t="array" ref="AQ12">_xlfn.IFS(AND($C$2="Lost Time Incident Frequency",'Table(related to graph)'!$C$3="Monthly"),KPI!AS16,AND($C$2="Lost Time Incident Frequency",'Table(related to graph)'!$C$3='List(to hide)'!$C$3),KPI!AS18,AND($C$2="Lost Time Incident Frequency",'Table(related to graph)'!$C$3='List(to hide)'!$C$4),KPI!AS20)</f>
        <v>#N/A</v>
      </c>
      <c r="AR12" s="37" t="e" cm="1">
        <f t="array" ref="AR12">_xlfn.IFS(AND($C$2="Lost Time Incident Frequency",'Table(related to graph)'!$C$3="Monthly"),KPI!AT16,AND($C$2="Lost Time Incident Frequency",'Table(related to graph)'!$C$3='List(to hide)'!$C$3),KPI!AT18,AND($C$2="Lost Time Incident Frequency",'Table(related to graph)'!$C$3='List(to hide)'!$C$4),KPI!AT20)</f>
        <v>#N/A</v>
      </c>
      <c r="AS12" s="37" t="e" cm="1">
        <f t="array" ref="AS12">_xlfn.IFS(AND($C$2="Lost Time Incident Frequency",'Table(related to graph)'!$C$3="Monthly"),KPI!AU16,AND($C$2="Lost Time Incident Frequency",'Table(related to graph)'!$C$3='List(to hide)'!$C$3),KPI!AU18,AND($C$2="Lost Time Incident Frequency",'Table(related to graph)'!$C$3='List(to hide)'!$C$4),KPI!AU20)</f>
        <v>#N/A</v>
      </c>
      <c r="AT12" s="37" t="e" cm="1">
        <f t="array" ref="AT12">_xlfn.IFS(AND($C$2="Lost Time Incident Frequency",'Table(related to graph)'!$C$3="Monthly"),KPI!AV16,AND($C$2="Lost Time Incident Frequency",'Table(related to graph)'!$C$3='List(to hide)'!$C$3),KPI!AV18,AND($C$2="Lost Time Incident Frequency",'Table(related to graph)'!$C$3='List(to hide)'!$C$4),KPI!AV20)</f>
        <v>#N/A</v>
      </c>
      <c r="AU12" s="37" t="e" cm="1">
        <f t="array" ref="AU12">_xlfn.IFS(AND($C$2="Lost Time Incident Frequency",'Table(related to graph)'!$C$3="Monthly"),KPI!AW16,AND($C$2="Lost Time Incident Frequency",'Table(related to graph)'!$C$3='List(to hide)'!$C$3),KPI!AW18,AND($C$2="Lost Time Incident Frequency",'Table(related to graph)'!$C$3='List(to hide)'!$C$4),KPI!AW20)</f>
        <v>#N/A</v>
      </c>
      <c r="AV12" s="37" t="e" cm="1">
        <f t="array" ref="AV12">_xlfn.IFS(AND($C$2="Lost Time Incident Frequency",'Table(related to graph)'!$C$3="Monthly"),KPI!AX16,AND($C$2="Lost Time Incident Frequency",'Table(related to graph)'!$C$3='List(to hide)'!$C$3),KPI!AX18,AND($C$2="Lost Time Incident Frequency",'Table(related to graph)'!$C$3='List(to hide)'!$C$4),KPI!AX20)</f>
        <v>#N/A</v>
      </c>
      <c r="AW12" s="37" t="e" cm="1">
        <f t="array" ref="AW12">_xlfn.IFS(AND($C$2="Lost Time Incident Frequency",'Table(related to graph)'!$C$3="Monthly"),KPI!AY16,AND($C$2="Lost Time Incident Frequency",'Table(related to graph)'!$C$3='List(to hide)'!$C$3),KPI!AY18,AND($C$2="Lost Time Incident Frequency",'Table(related to graph)'!$C$3='List(to hide)'!$C$4),KPI!AY20)</f>
        <v>#N/A</v>
      </c>
      <c r="AX12" s="37" t="e" cm="1">
        <f t="array" ref="AX12">_xlfn.IFS(AND($C$2="Lost Time Incident Frequency",'Table(related to graph)'!$C$3="Monthly"),KPI!AZ16,AND($C$2="Lost Time Incident Frequency",'Table(related to graph)'!$C$3='List(to hide)'!$C$3),KPI!AZ18,AND($C$2="Lost Time Incident Frequency",'Table(related to graph)'!$C$3='List(to hide)'!$C$4),KPI!AZ20)</f>
        <v>#N/A</v>
      </c>
      <c r="AY12" s="37" t="e" cm="1">
        <f t="array" ref="AY12">_xlfn.IFS(AND($C$2="Lost Time Incident Frequency",'Table(related to graph)'!$C$3="Monthly"),KPI!BA16,AND($C$2="Lost Time Incident Frequency",'Table(related to graph)'!$C$3='List(to hide)'!$C$3),KPI!BA18,AND($C$2="Lost Time Incident Frequency",'Table(related to graph)'!$C$3='List(to hide)'!$C$4),KPI!BA20)</f>
        <v>#N/A</v>
      </c>
      <c r="AZ12" s="37" t="e" cm="1">
        <f t="array" ref="AZ12">_xlfn.IFS(AND($C$2="Lost Time Incident Frequency",'Table(related to graph)'!$C$3="Monthly"),KPI!BB16,AND($C$2="Lost Time Incident Frequency",'Table(related to graph)'!$C$3='List(to hide)'!$C$3),KPI!BB18,AND($C$2="Lost Time Incident Frequency",'Table(related to graph)'!$C$3='List(to hide)'!$C$4),KPI!BB20)</f>
        <v>#N/A</v>
      </c>
      <c r="BA12" s="37" t="e" cm="1">
        <f t="array" ref="BA12">_xlfn.IFS(AND($C$2="Lost Time Incident Frequency",'Table(related to graph)'!$C$3="Monthly"),KPI!BC16,AND($C$2="Lost Time Incident Frequency",'Table(related to graph)'!$C$3='List(to hide)'!$C$3),KPI!BC18,AND($C$2="Lost Time Incident Frequency",'Table(related to graph)'!$C$3='List(to hide)'!$C$4),KPI!BC20)</f>
        <v>#N/A</v>
      </c>
      <c r="BB12" s="37" t="e" cm="1">
        <f t="array" ref="BB12">_xlfn.IFS(AND($C$2="Lost Time Incident Frequency",'Table(related to graph)'!$C$3="Monthly"),KPI!BD16,AND($C$2="Lost Time Incident Frequency",'Table(related to graph)'!$C$3='List(to hide)'!$C$3),KPI!BD18,AND($C$2="Lost Time Incident Frequency",'Table(related to graph)'!$C$3='List(to hide)'!$C$4),KPI!BD20)</f>
        <v>#N/A</v>
      </c>
      <c r="BC12" s="37" t="e" cm="1">
        <f t="array" ref="BC12">_xlfn.IFS(AND($C$2="Lost Time Incident Frequency",'Table(related to graph)'!$C$3="Monthly"),KPI!BE16,AND($C$2="Lost Time Incident Frequency",'Table(related to graph)'!$C$3='List(to hide)'!$C$3),KPI!BE18,AND($C$2="Lost Time Incident Frequency",'Table(related to graph)'!$C$3='List(to hide)'!$C$4),KPI!BE20)</f>
        <v>#N/A</v>
      </c>
      <c r="BD12" s="37" t="e" cm="1">
        <f t="array" ref="BD12">_xlfn.IFS(AND($C$2="Lost Time Incident Frequency",'Table(related to graph)'!$C$3="Monthly"),KPI!BF16,AND($C$2="Lost Time Incident Frequency",'Table(related to graph)'!$C$3='List(to hide)'!$C$3),KPI!BF18,AND($C$2="Lost Time Incident Frequency",'Table(related to graph)'!$C$3='List(to hide)'!$C$4),KPI!BF20)</f>
        <v>#N/A</v>
      </c>
      <c r="BE12" s="37" t="e" cm="1">
        <f t="array" ref="BE12">_xlfn.IFS(AND($C$2="Lost Time Incident Frequency",'Table(related to graph)'!$C$3="Monthly"),KPI!BG16,AND($C$2="Lost Time Incident Frequency",'Table(related to graph)'!$C$3='List(to hide)'!$C$3),KPI!BG18,AND($C$2="Lost Time Incident Frequency",'Table(related to graph)'!$C$3='List(to hide)'!$C$4),KPI!BG20)</f>
        <v>#N/A</v>
      </c>
      <c r="BF12" s="37" t="e" cm="1">
        <f t="array" ref="BF12">_xlfn.IFS(AND($C$2="Lost Time Incident Frequency",'Table(related to graph)'!$C$3="Monthly"),KPI!BH16,AND($C$2="Lost Time Incident Frequency",'Table(related to graph)'!$C$3='List(to hide)'!$C$3),KPI!BH18,AND($C$2="Lost Time Incident Frequency",'Table(related to graph)'!$C$3='List(to hide)'!$C$4),KPI!BH20)</f>
        <v>#N/A</v>
      </c>
      <c r="BG12" s="37" t="e" cm="1">
        <f t="array" ref="BG12">_xlfn.IFS(AND($C$2="Lost Time Incident Frequency",'Table(related to graph)'!$C$3="Monthly"),KPI!BI16,AND($C$2="Lost Time Incident Frequency",'Table(related to graph)'!$C$3='List(to hide)'!$C$3),KPI!BI18,AND($C$2="Lost Time Incident Frequency",'Table(related to graph)'!$C$3='List(to hide)'!$C$4),KPI!BI20)</f>
        <v>#N/A</v>
      </c>
      <c r="BH12" s="37" t="e" cm="1">
        <f t="array" ref="BH12">_xlfn.IFS(AND($C$2="Lost Time Incident Frequency",'Table(related to graph)'!$C$3="Monthly"),KPI!BJ16,AND($C$2="Lost Time Incident Frequency",'Table(related to graph)'!$C$3='List(to hide)'!$C$3),KPI!BJ18,AND($C$2="Lost Time Incident Frequency",'Table(related to graph)'!$C$3='List(to hide)'!$C$4),KPI!BJ20)</f>
        <v>#N/A</v>
      </c>
      <c r="BI12" s="37" t="e" cm="1">
        <f t="array" ref="BI12">_xlfn.IFS(AND($C$2="Lost Time Incident Frequency",'Table(related to graph)'!$C$3="Monthly"),KPI!BK16,AND($C$2="Lost Time Incident Frequency",'Table(related to graph)'!$C$3='List(to hide)'!$C$3),KPI!BK18,AND($C$2="Lost Time Incident Frequency",'Table(related to graph)'!$C$3='List(to hide)'!$C$4),KPI!BK20)</f>
        <v>#N/A</v>
      </c>
      <c r="BJ12" s="37" t="e" cm="1">
        <f t="array" ref="BJ12">_xlfn.IFS(AND($C$2="Lost Time Incident Frequency",'Table(related to graph)'!$C$3="Monthly"),KPI!BL16,AND($C$2="Lost Time Incident Frequency",'Table(related to graph)'!$C$3='List(to hide)'!$C$3),KPI!BL18,AND($C$2="Lost Time Incident Frequency",'Table(related to graph)'!$C$3='List(to hide)'!$C$4),KPI!BL20)</f>
        <v>#N/A</v>
      </c>
      <c r="BK12" s="37" t="e" cm="1">
        <f t="array" ref="BK12">_xlfn.IFS(AND($C$2="Lost Time Incident Frequency",'Table(related to graph)'!$C$3="Monthly"),KPI!BM16,AND($C$2="Lost Time Incident Frequency",'Table(related to graph)'!$C$3='List(to hide)'!$C$3),KPI!BM18,AND($C$2="Lost Time Incident Frequency",'Table(related to graph)'!$C$3='List(to hide)'!$C$4),KPI!BM20)</f>
        <v>#N/A</v>
      </c>
      <c r="BL12" s="37" t="e" cm="1">
        <f t="array" ref="BL12">_xlfn.IFS(AND($C$2="Lost Time Incident Frequency",'Table(related to graph)'!$C$3="Monthly"),KPI!BN16,AND($C$2="Lost Time Incident Frequency",'Table(related to graph)'!$C$3='List(to hide)'!$C$3),KPI!BN18,AND($C$2="Lost Time Incident Frequency",'Table(related to graph)'!$C$3='List(to hide)'!$C$4),KPI!BN20)</f>
        <v>#N/A</v>
      </c>
      <c r="BM12" s="37" t="e" cm="1">
        <f t="array" ref="BM12">_xlfn.IFS(AND($C$2="Lost Time Incident Frequency",'Table(related to graph)'!$C$3="Monthly"),KPI!BO16,AND($C$2="Lost Time Incident Frequency",'Table(related to graph)'!$C$3='List(to hide)'!$C$3),KPI!BO18,AND($C$2="Lost Time Incident Frequency",'Table(related to graph)'!$C$3='List(to hide)'!$C$4),KPI!BO20)</f>
        <v>#N/A</v>
      </c>
      <c r="BN12" s="37" t="e" cm="1">
        <f t="array" ref="BN12">_xlfn.IFS(AND($C$2="Lost Time Incident Frequency",'Table(related to graph)'!$C$3="Monthly"),KPI!BP16,AND($C$2="Lost Time Incident Frequency",'Table(related to graph)'!$C$3='List(to hide)'!$C$3),KPI!BP18,AND($C$2="Lost Time Incident Frequency",'Table(related to graph)'!$C$3='List(to hide)'!$C$4),KPI!BP20)</f>
        <v>#N/A</v>
      </c>
      <c r="BO12" s="37" t="e" cm="1">
        <f t="array" ref="BO12">_xlfn.IFS(AND($C$2="Lost Time Incident Frequency",'Table(related to graph)'!$C$3="Monthly"),KPI!BQ16,AND($C$2="Lost Time Incident Frequency",'Table(related to graph)'!$C$3='List(to hide)'!$C$3),KPI!BQ18,AND($C$2="Lost Time Incident Frequency",'Table(related to graph)'!$C$3='List(to hide)'!$C$4),KPI!BQ20)</f>
        <v>#N/A</v>
      </c>
      <c r="BP12" s="37" t="e" cm="1">
        <f t="array" ref="BP12">_xlfn.IFS(AND($C$2="Lost Time Incident Frequency",'Table(related to graph)'!$C$3="Monthly"),KPI!BR16,AND($C$2="Lost Time Incident Frequency",'Table(related to graph)'!$C$3='List(to hide)'!$C$3),KPI!BR18,AND($C$2="Lost Time Incident Frequency",'Table(related to graph)'!$C$3='List(to hide)'!$C$4),KPI!BR20)</f>
        <v>#N/A</v>
      </c>
      <c r="BQ12" s="37" t="e" cm="1">
        <f t="array" ref="BQ12">_xlfn.IFS(AND($C$2="Lost Time Incident Frequency",'Table(related to graph)'!$C$3="Monthly"),KPI!BS16,AND($C$2="Lost Time Incident Frequency",'Table(related to graph)'!$C$3='List(to hide)'!$C$3),KPI!BS18,AND($C$2="Lost Time Incident Frequency",'Table(related to graph)'!$C$3='List(to hide)'!$C$4),KPI!BS20)</f>
        <v>#N/A</v>
      </c>
      <c r="BR12" s="37" t="e" cm="1">
        <f t="array" ref="BR12">_xlfn.IFS(AND($C$2="Lost Time Incident Frequency",'Table(related to graph)'!$C$3="Monthly"),KPI!BT16,AND($C$2="Lost Time Incident Frequency",'Table(related to graph)'!$C$3='List(to hide)'!$C$3),KPI!BT18,AND($C$2="Lost Time Incident Frequency",'Table(related to graph)'!$C$3='List(to hide)'!$C$4),KPI!BT20)</f>
        <v>#N/A</v>
      </c>
      <c r="BS12" s="37" t="e" cm="1">
        <f t="array" ref="BS12">_xlfn.IFS(AND($C$2="Lost Time Incident Frequency",'Table(related to graph)'!$C$3="Monthly"),KPI!BU16,AND($C$2="Lost Time Incident Frequency",'Table(related to graph)'!$C$3='List(to hide)'!$C$3),KPI!BU18,AND($C$2="Lost Time Incident Frequency",'Table(related to graph)'!$C$3='List(to hide)'!$C$4),KPI!BU20)</f>
        <v>#N/A</v>
      </c>
      <c r="BT12" s="37" t="e" cm="1">
        <f t="array" ref="BT12">_xlfn.IFS(AND($C$2="Lost Time Incident Frequency",'Table(related to graph)'!$C$3="Monthly"),KPI!BV16,AND($C$2="Lost Time Incident Frequency",'Table(related to graph)'!$C$3='List(to hide)'!$C$3),KPI!BV18,AND($C$2="Lost Time Incident Frequency",'Table(related to graph)'!$C$3='List(to hide)'!$C$4),KPI!BV20)</f>
        <v>#N/A</v>
      </c>
      <c r="BU12" s="37" t="e" cm="1">
        <f t="array" ref="BU12">_xlfn.IFS(AND($C$2="Lost Time Incident Frequency",'Table(related to graph)'!$C$3="Monthly"),KPI!BW16,AND($C$2="Lost Time Incident Frequency",'Table(related to graph)'!$C$3='List(to hide)'!$C$3),KPI!BW18,AND($C$2="Lost Time Incident Frequency",'Table(related to graph)'!$C$3='List(to hide)'!$C$4),KPI!BW20)</f>
        <v>#N/A</v>
      </c>
      <c r="BV12" s="37" t="e" cm="1">
        <f t="array" ref="BV12">_xlfn.IFS(AND($C$2="Lost Time Incident Frequency",'Table(related to graph)'!$C$3="Monthly"),KPI!BX16,AND($C$2="Lost Time Incident Frequency",'Table(related to graph)'!$C$3='List(to hide)'!$C$3),KPI!BX18,AND($C$2="Lost Time Incident Frequency",'Table(related to graph)'!$C$3='List(to hide)'!$C$4),KPI!BX20)</f>
        <v>#N/A</v>
      </c>
      <c r="BW12" s="37" t="e" cm="1">
        <f t="array" ref="BW12">_xlfn.IFS(AND($C$2="Lost Time Incident Frequency",'Table(related to graph)'!$C$3="Monthly"),KPI!BY16,AND($C$2="Lost Time Incident Frequency",'Table(related to graph)'!$C$3='List(to hide)'!$C$3),KPI!BY18,AND($C$2="Lost Time Incident Frequency",'Table(related to graph)'!$C$3='List(to hide)'!$C$4),KPI!BY20)</f>
        <v>#N/A</v>
      </c>
      <c r="BX12" s="37" t="e" cm="1">
        <f t="array" ref="BX12">_xlfn.IFS(AND($C$2="Lost Time Incident Frequency",'Table(related to graph)'!$C$3="Monthly"),KPI!BZ16,AND($C$2="Lost Time Incident Frequency",'Table(related to graph)'!$C$3='List(to hide)'!$C$3),KPI!BZ18,AND($C$2="Lost Time Incident Frequency",'Table(related to graph)'!$C$3='List(to hide)'!$C$4),KPI!BZ20)</f>
        <v>#N/A</v>
      </c>
      <c r="BY12" s="37" t="e" cm="1">
        <f t="array" ref="BY12">_xlfn.IFS(AND($C$2="Lost Time Incident Frequency",'Table(related to graph)'!$C$3="Monthly"),KPI!CA16,AND($C$2="Lost Time Incident Frequency",'Table(related to graph)'!$C$3='List(to hide)'!$C$3),KPI!CA18,AND($C$2="Lost Time Incident Frequency",'Table(related to graph)'!$C$3='List(to hide)'!$C$4),KPI!CA20)</f>
        <v>#N/A</v>
      </c>
      <c r="BZ12" s="37" t="e" cm="1">
        <f t="array" ref="BZ12">_xlfn.IFS(AND($C$2="Lost Time Incident Frequency",'Table(related to graph)'!$C$3="Monthly"),KPI!CB16,AND($C$2="Lost Time Incident Frequency",'Table(related to graph)'!$C$3='List(to hide)'!$C$3),KPI!CB18,AND($C$2="Lost Time Incident Frequency",'Table(related to graph)'!$C$3='List(to hide)'!$C$4),KPI!CB20)</f>
        <v>#N/A</v>
      </c>
      <c r="CA12" s="37" t="e" cm="1">
        <f t="array" ref="CA12">_xlfn.IFS(AND($C$2="Lost Time Incident Frequency",'Table(related to graph)'!$C$3="Monthly"),KPI!CC16,AND($C$2="Lost Time Incident Frequency",'Table(related to graph)'!$C$3='List(to hide)'!$C$3),KPI!CC18,AND($C$2="Lost Time Incident Frequency",'Table(related to graph)'!$C$3='List(to hide)'!$C$4),KPI!CC20)</f>
        <v>#N/A</v>
      </c>
      <c r="CB12" s="37" t="e" cm="1">
        <f t="array" ref="CB12">_xlfn.IFS(AND($C$2="Lost Time Incident Frequency",'Table(related to graph)'!$C$3="Monthly"),KPI!CD16,AND($C$2="Lost Time Incident Frequency",'Table(related to graph)'!$C$3='List(to hide)'!$C$3),KPI!CD18,AND($C$2="Lost Time Incident Frequency",'Table(related to graph)'!$C$3='List(to hide)'!$C$4),KPI!CD20)</f>
        <v>#N/A</v>
      </c>
      <c r="CC12" s="37" t="e" cm="1">
        <f t="array" ref="CC12">_xlfn.IFS(AND($C$2="Lost Time Incident Frequency",'Table(related to graph)'!$C$3="Monthly"),KPI!CE16,AND($C$2="Lost Time Incident Frequency",'Table(related to graph)'!$C$3='List(to hide)'!$C$3),KPI!CE18,AND($C$2="Lost Time Incident Frequency",'Table(related to graph)'!$C$3='List(to hide)'!$C$4),KPI!CE20)</f>
        <v>#N/A</v>
      </c>
      <c r="CD12" s="37" t="e" cm="1">
        <f t="array" ref="CD12">_xlfn.IFS(AND($C$2="Lost Time Incident Frequency",'Table(related to graph)'!$C$3="Monthly"),KPI!CF16,AND($C$2="Lost Time Incident Frequency",'Table(related to graph)'!$C$3='List(to hide)'!$C$3),KPI!CF18,AND($C$2="Lost Time Incident Frequency",'Table(related to graph)'!$C$3='List(to hide)'!$C$4),KPI!CF20)</f>
        <v>#N/A</v>
      </c>
      <c r="CE12" s="37" t="e" cm="1">
        <f t="array" ref="CE12">_xlfn.IFS(AND($C$2="Lost Time Incident Frequency",'Table(related to graph)'!$C$3="Monthly"),KPI!CG16,AND($C$2="Lost Time Incident Frequency",'Table(related to graph)'!$C$3='List(to hide)'!$C$3),KPI!CG18,AND($C$2="Lost Time Incident Frequency",'Table(related to graph)'!$C$3='List(to hide)'!$C$4),KPI!CG20)</f>
        <v>#N/A</v>
      </c>
      <c r="CF12" s="37" t="e" cm="1">
        <f t="array" ref="CF12">_xlfn.IFS(AND($C$2="Lost Time Incident Frequency",'Table(related to graph)'!$C$3="Monthly"),KPI!CH16,AND($C$2="Lost Time Incident Frequency",'Table(related to graph)'!$C$3='List(to hide)'!$C$3),KPI!CH18,AND($C$2="Lost Time Incident Frequency",'Table(related to graph)'!$C$3='List(to hide)'!$C$4),KPI!CH20)</f>
        <v>#N/A</v>
      </c>
      <c r="CG12" s="37" t="e" cm="1">
        <f t="array" ref="CG12">_xlfn.IFS(AND($C$2="Lost Time Incident Frequency",'Table(related to graph)'!$C$3="Monthly"),KPI!CI16,AND($C$2="Lost Time Incident Frequency",'Table(related to graph)'!$C$3='List(to hide)'!$C$3),KPI!CI18,AND($C$2="Lost Time Incident Frequency",'Table(related to graph)'!$C$3='List(to hide)'!$C$4),KPI!CI20)</f>
        <v>#N/A</v>
      </c>
      <c r="CH12" s="37" t="e" cm="1">
        <f t="array" ref="CH12">_xlfn.IFS(AND($C$2="Lost Time Incident Frequency",'Table(related to graph)'!$C$3="Monthly"),KPI!CJ16,AND($C$2="Lost Time Incident Frequency",'Table(related to graph)'!$C$3='List(to hide)'!$C$3),KPI!CJ18,AND($C$2="Lost Time Incident Frequency",'Table(related to graph)'!$C$3='List(to hide)'!$C$4),KPI!CJ20)</f>
        <v>#N/A</v>
      </c>
      <c r="CI12" s="37" t="e" cm="1">
        <f t="array" ref="CI12">_xlfn.IFS(AND($C$2="Lost Time Incident Frequency",'Table(related to graph)'!$C$3="Monthly"),KPI!CK16,AND($C$2="Lost Time Incident Frequency",'Table(related to graph)'!$C$3='List(to hide)'!$C$3),KPI!CK18,AND($C$2="Lost Time Incident Frequency",'Table(related to graph)'!$C$3='List(to hide)'!$C$4),KPI!CK20)</f>
        <v>#N/A</v>
      </c>
      <c r="CJ12" s="37" t="e" cm="1">
        <f t="array" ref="CJ12">_xlfn.IFS(AND($C$2="Lost Time Incident Frequency",'Table(related to graph)'!$C$3="Monthly"),KPI!CL16,AND($C$2="Lost Time Incident Frequency",'Table(related to graph)'!$C$3='List(to hide)'!$C$3),KPI!CL18,AND($C$2="Lost Time Incident Frequency",'Table(related to graph)'!$C$3='List(to hide)'!$C$4),KPI!CL20)</f>
        <v>#N/A</v>
      </c>
      <c r="CK12" s="37" t="e" cm="1">
        <f t="array" ref="CK12">_xlfn.IFS(AND($C$2="Lost Time Incident Frequency",'Table(related to graph)'!$C$3="Monthly"),KPI!CM16,AND($C$2="Lost Time Incident Frequency",'Table(related to graph)'!$C$3='List(to hide)'!$C$3),KPI!CM18,AND($C$2="Lost Time Incident Frequency",'Table(related to graph)'!$C$3='List(to hide)'!$C$4),KPI!CM20)</f>
        <v>#N/A</v>
      </c>
      <c r="CL12" s="37" t="e" cm="1">
        <f t="array" ref="CL12">_xlfn.IFS(AND($C$2="Lost Time Incident Frequency",'Table(related to graph)'!$C$3="Monthly"),KPI!CN16,AND($C$2="Lost Time Incident Frequency",'Table(related to graph)'!$C$3='List(to hide)'!$C$3),KPI!CN18,AND($C$2="Lost Time Incident Frequency",'Table(related to graph)'!$C$3='List(to hide)'!$C$4),KPI!CN20)</f>
        <v>#N/A</v>
      </c>
      <c r="CM12" s="37" t="e" cm="1">
        <f t="array" ref="CM12">_xlfn.IFS(AND($C$2="Lost Time Incident Frequency",'Table(related to graph)'!$C$3="Monthly"),KPI!CO16,AND($C$2="Lost Time Incident Frequency",'Table(related to graph)'!$C$3='List(to hide)'!$C$3),KPI!CO18,AND($C$2="Lost Time Incident Frequency",'Table(related to graph)'!$C$3='List(to hide)'!$C$4),KPI!CO20)</f>
        <v>#N/A</v>
      </c>
      <c r="CN12" s="37" t="e" cm="1">
        <f t="array" ref="CN12">_xlfn.IFS(AND($C$2="Lost Time Incident Frequency",'Table(related to graph)'!$C$3="Monthly"),KPI!CP16,AND($C$2="Lost Time Incident Frequency",'Table(related to graph)'!$C$3='List(to hide)'!$C$3),KPI!CP18,AND($C$2="Lost Time Incident Frequency",'Table(related to graph)'!$C$3='List(to hide)'!$C$4),KPI!CP20)</f>
        <v>#N/A</v>
      </c>
      <c r="CO12" s="37" t="e" cm="1">
        <f t="array" ref="CO12">_xlfn.IFS(AND($C$2="Lost Time Incident Frequency",'Table(related to graph)'!$C$3="Monthly"),KPI!CQ16,AND($C$2="Lost Time Incident Frequency",'Table(related to graph)'!$C$3='List(to hide)'!$C$3),KPI!CQ18,AND($C$2="Lost Time Incident Frequency",'Table(related to graph)'!$C$3='List(to hide)'!$C$4),KPI!CQ20)</f>
        <v>#N/A</v>
      </c>
      <c r="CP12" s="37" t="e" cm="1">
        <f t="array" ref="CP12">_xlfn.IFS(AND($C$2="Lost Time Incident Frequency",'Table(related to graph)'!$C$3="Monthly"),KPI!CR16,AND($C$2="Lost Time Incident Frequency",'Table(related to graph)'!$C$3='List(to hide)'!$C$3),KPI!CR18,AND($C$2="Lost Time Incident Frequency",'Table(related to graph)'!$C$3='List(to hide)'!$C$4),KPI!CR20)</f>
        <v>#N/A</v>
      </c>
      <c r="CQ12" s="37" t="e" cm="1">
        <f t="array" ref="CQ12">_xlfn.IFS(AND($C$2="Lost Time Incident Frequency",'Table(related to graph)'!$C$3="Monthly"),KPI!CS16,AND($C$2="Lost Time Incident Frequency",'Table(related to graph)'!$C$3='List(to hide)'!$C$3),KPI!CS18,AND($C$2="Lost Time Incident Frequency",'Table(related to graph)'!$C$3='List(to hide)'!$C$4),KPI!CS20)</f>
        <v>#N/A</v>
      </c>
      <c r="CR12" s="37" t="e" cm="1">
        <f t="array" ref="CR12">_xlfn.IFS(AND($C$2="Lost Time Incident Frequency",'Table(related to graph)'!$C$3="Monthly"),KPI!CT16,AND($C$2="Lost Time Incident Frequency",'Table(related to graph)'!$C$3='List(to hide)'!$C$3),KPI!CT18,AND($C$2="Lost Time Incident Frequency",'Table(related to graph)'!$C$3='List(to hide)'!$C$4),KPI!CT20)</f>
        <v>#N/A</v>
      </c>
      <c r="CS12" s="37" t="e" cm="1">
        <f t="array" ref="CS12">_xlfn.IFS(AND($C$2="Lost Time Incident Frequency",'Table(related to graph)'!$C$3="Monthly"),KPI!CU16,AND($C$2="Lost Time Incident Frequency",'Table(related to graph)'!$C$3='List(to hide)'!$C$3),KPI!CU18,AND($C$2="Lost Time Incident Frequency",'Table(related to graph)'!$C$3='List(to hide)'!$C$4),KPI!CU20)</f>
        <v>#N/A</v>
      </c>
      <c r="CT12" s="37" t="e" cm="1">
        <f t="array" ref="CT12">_xlfn.IFS(AND($C$2="Lost Time Incident Frequency",'Table(related to graph)'!$C$3="Monthly"),KPI!CV16,AND($C$2="Lost Time Incident Frequency",'Table(related to graph)'!$C$3='List(to hide)'!$C$3),KPI!CV18,AND($C$2="Lost Time Incident Frequency",'Table(related to graph)'!$C$3='List(to hide)'!$C$4),KPI!CV20)</f>
        <v>#N/A</v>
      </c>
      <c r="CU12" s="37" t="e" cm="1">
        <f t="array" ref="CU12">_xlfn.IFS(AND($C$2="Lost Time Incident Frequency",'Table(related to graph)'!$C$3="Monthly"),KPI!CW16,AND($C$2="Lost Time Incident Frequency",'Table(related to graph)'!$C$3='List(to hide)'!$C$3),KPI!CW18,AND($C$2="Lost Time Incident Frequency",'Table(related to graph)'!$C$3='List(to hide)'!$C$4),KPI!CW20)</f>
        <v>#N/A</v>
      </c>
      <c r="CV12" s="37" t="e" cm="1">
        <f t="array" ref="CV12">_xlfn.IFS(AND($C$2="Lost Time Incident Frequency",'Table(related to graph)'!$C$3="Monthly"),KPI!CX16,AND($C$2="Lost Time Incident Frequency",'Table(related to graph)'!$C$3='List(to hide)'!$C$3),KPI!CX18,AND($C$2="Lost Time Incident Frequency",'Table(related to graph)'!$C$3='List(to hide)'!$C$4),KPI!CX20)</f>
        <v>#N/A</v>
      </c>
      <c r="CW12" s="37" t="e" cm="1">
        <f t="array" ref="CW12">_xlfn.IFS(AND($C$2="Lost Time Incident Frequency",'Table(related to graph)'!$C$3="Monthly"),KPI!CY16,AND($C$2="Lost Time Incident Frequency",'Table(related to graph)'!$C$3='List(to hide)'!$C$3),KPI!CY18,AND($C$2="Lost Time Incident Frequency",'Table(related to graph)'!$C$3='List(to hide)'!$C$4),KPI!CY20)</f>
        <v>#N/A</v>
      </c>
      <c r="CX12" s="37" t="e" cm="1">
        <f t="array" ref="CX12">_xlfn.IFS(AND($C$2="Lost Time Incident Frequency",'Table(related to graph)'!$C$3="Monthly"),KPI!CZ16,AND($C$2="Lost Time Incident Frequency",'Table(related to graph)'!$C$3='List(to hide)'!$C$3),KPI!CZ18,AND($C$2="Lost Time Incident Frequency",'Table(related to graph)'!$C$3='List(to hide)'!$C$4),KPI!CZ20)</f>
        <v>#N/A</v>
      </c>
      <c r="CY12" s="37" t="e" cm="1">
        <f t="array" ref="CY12">_xlfn.IFS(AND($C$2="Lost Time Incident Frequency",'Table(related to graph)'!$C$3="Monthly"),KPI!DA16,AND($C$2="Lost Time Incident Frequency",'Table(related to graph)'!$C$3='List(to hide)'!$C$3),KPI!DA18,AND($C$2="Lost Time Incident Frequency",'Table(related to graph)'!$C$3='List(to hide)'!$C$4),KPI!DA20)</f>
        <v>#N/A</v>
      </c>
      <c r="CZ12" s="37" t="e" cm="1">
        <f t="array" ref="CZ12">_xlfn.IFS(AND($C$2="Lost Time Incident Frequency",'Table(related to graph)'!$C$3="Monthly"),KPI!DB16,AND($C$2="Lost Time Incident Frequency",'Table(related to graph)'!$C$3='List(to hide)'!$C$3),KPI!DB18,AND($C$2="Lost Time Incident Frequency",'Table(related to graph)'!$C$3='List(to hide)'!$C$4),KPI!DB20)</f>
        <v>#N/A</v>
      </c>
      <c r="DA12" s="37" t="e" cm="1">
        <f t="array" ref="DA12">_xlfn.IFS(AND($C$2="Lost Time Incident Frequency",'Table(related to graph)'!$C$3="Monthly"),KPI!DC16,AND($C$2="Lost Time Incident Frequency",'Table(related to graph)'!$C$3='List(to hide)'!$C$3),KPI!DC18,AND($C$2="Lost Time Incident Frequency",'Table(related to graph)'!$C$3='List(to hide)'!$C$4),KPI!DC20)</f>
        <v>#N/A</v>
      </c>
      <c r="DB12" s="37" t="e" cm="1">
        <f t="array" ref="DB12">_xlfn.IFS(AND($C$2="Lost Time Incident Frequency",'Table(related to graph)'!$C$3="Monthly"),KPI!DD16,AND($C$2="Lost Time Incident Frequency",'Table(related to graph)'!$C$3='List(to hide)'!$C$3),KPI!DD18,AND($C$2="Lost Time Incident Frequency",'Table(related to graph)'!$C$3='List(to hide)'!$C$4),KPI!DD20)</f>
        <v>#N/A</v>
      </c>
      <c r="DC12" s="37" t="e" cm="1">
        <f t="array" ref="DC12">_xlfn.IFS(AND($C$2="Lost Time Incident Frequency",'Table(related to graph)'!$C$3="Monthly"),KPI!DE16,AND($C$2="Lost Time Incident Frequency",'Table(related to graph)'!$C$3='List(to hide)'!$C$3),KPI!DE18,AND($C$2="Lost Time Incident Frequency",'Table(related to graph)'!$C$3='List(to hide)'!$C$4),KPI!DE20)</f>
        <v>#N/A</v>
      </c>
      <c r="DD12" s="37" t="e" cm="1">
        <f t="array" ref="DD12">_xlfn.IFS(AND($C$2="Lost Time Incident Frequency",'Table(related to graph)'!$C$3="Monthly"),KPI!DF16,AND($C$2="Lost Time Incident Frequency",'Table(related to graph)'!$C$3='List(to hide)'!$C$3),KPI!DF18,AND($C$2="Lost Time Incident Frequency",'Table(related to graph)'!$C$3='List(to hide)'!$C$4),KPI!DF20)</f>
        <v>#N/A</v>
      </c>
      <c r="DE12" s="37" t="e" cm="1">
        <f t="array" ref="DE12">_xlfn.IFS(AND($C$2="Lost Time Incident Frequency",'Table(related to graph)'!$C$3="Monthly"),KPI!DG16,AND($C$2="Lost Time Incident Frequency",'Table(related to graph)'!$C$3='List(to hide)'!$C$3),KPI!DG18,AND($C$2="Lost Time Incident Frequency",'Table(related to graph)'!$C$3='List(to hide)'!$C$4),KPI!DG20)</f>
        <v>#N/A</v>
      </c>
      <c r="DF12" s="37" t="e" cm="1">
        <f t="array" ref="DF12">_xlfn.IFS(AND($C$2="Lost Time Incident Frequency",'Table(related to graph)'!$C$3="Monthly"),KPI!DH16,AND($C$2="Lost Time Incident Frequency",'Table(related to graph)'!$C$3='List(to hide)'!$C$3),KPI!DH18,AND($C$2="Lost Time Incident Frequency",'Table(related to graph)'!$C$3='List(to hide)'!$C$4),KPI!DH20)</f>
        <v>#N/A</v>
      </c>
      <c r="DG12" s="37" t="e" cm="1">
        <f t="array" ref="DG12">_xlfn.IFS(AND($C$2="Lost Time Incident Frequency",'Table(related to graph)'!$C$3="Monthly"),KPI!DI16,AND($C$2="Lost Time Incident Frequency",'Table(related to graph)'!$C$3='List(to hide)'!$C$3),KPI!DI18,AND($C$2="Lost Time Incident Frequency",'Table(related to graph)'!$C$3='List(to hide)'!$C$4),KPI!DI20)</f>
        <v>#N/A</v>
      </c>
      <c r="DH12" s="37" t="e" cm="1">
        <f t="array" ref="DH12">_xlfn.IFS(AND($C$2="Lost Time Incident Frequency",'Table(related to graph)'!$C$3="Monthly"),KPI!DJ16,AND($C$2="Lost Time Incident Frequency",'Table(related to graph)'!$C$3='List(to hide)'!$C$3),KPI!DJ18,AND($C$2="Lost Time Incident Frequency",'Table(related to graph)'!$C$3='List(to hide)'!$C$4),KPI!DJ20)</f>
        <v>#N/A</v>
      </c>
      <c r="DI12" s="37" t="e" cm="1">
        <f t="array" ref="DI12">_xlfn.IFS(AND($C$2="Lost Time Incident Frequency",'Table(related to graph)'!$C$3="Monthly"),KPI!DK16,AND($C$2="Lost Time Incident Frequency",'Table(related to graph)'!$C$3='List(to hide)'!$C$3),KPI!DK18,AND($C$2="Lost Time Incident Frequency",'Table(related to graph)'!$C$3='List(to hide)'!$C$4),KPI!DK20)</f>
        <v>#N/A</v>
      </c>
      <c r="DJ12" s="37" t="e" cm="1">
        <f t="array" ref="DJ12">_xlfn.IFS(AND($C$2="Lost Time Incident Frequency",'Table(related to graph)'!$C$3="Monthly"),KPI!DL16,AND($C$2="Lost Time Incident Frequency",'Table(related to graph)'!$C$3='List(to hide)'!$C$3),KPI!DL18,AND($C$2="Lost Time Incident Frequency",'Table(related to graph)'!$C$3='List(to hide)'!$C$4),KPI!DL20)</f>
        <v>#N/A</v>
      </c>
      <c r="DK12" s="37" t="e" cm="1">
        <f t="array" ref="DK12">_xlfn.IFS(AND($C$2="Lost Time Incident Frequency",'Table(related to graph)'!$C$3="Monthly"),KPI!DM16,AND($C$2="Lost Time Incident Frequency",'Table(related to graph)'!$C$3='List(to hide)'!$C$3),KPI!DM18,AND($C$2="Lost Time Incident Frequency",'Table(related to graph)'!$C$3='List(to hide)'!$C$4),KPI!DM20)</f>
        <v>#N/A</v>
      </c>
      <c r="DL12" s="37" t="e" cm="1">
        <f t="array" ref="DL12">_xlfn.IFS(AND($C$2="Lost Time Incident Frequency",'Table(related to graph)'!$C$3="Monthly"),KPI!DN16,AND($C$2="Lost Time Incident Frequency",'Table(related to graph)'!$C$3='List(to hide)'!$C$3),KPI!DN18,AND($C$2="Lost Time Incident Frequency",'Table(related to graph)'!$C$3='List(to hide)'!$C$4),KPI!DN20)</f>
        <v>#N/A</v>
      </c>
      <c r="DM12" s="37" t="e" cm="1">
        <f t="array" ref="DM12">_xlfn.IFS(AND($C$2="Lost Time Incident Frequency",'Table(related to graph)'!$C$3="Monthly"),KPI!DO16,AND($C$2="Lost Time Incident Frequency",'Table(related to graph)'!$C$3='List(to hide)'!$C$3),KPI!DO18,AND($C$2="Lost Time Incident Frequency",'Table(related to graph)'!$C$3='List(to hide)'!$C$4),KPI!DO20)</f>
        <v>#N/A</v>
      </c>
      <c r="DN12" s="37" t="e" cm="1">
        <f t="array" ref="DN12">_xlfn.IFS(AND($C$2="Lost Time Incident Frequency",'Table(related to graph)'!$C$3="Monthly"),KPI!DP16,AND($C$2="Lost Time Incident Frequency",'Table(related to graph)'!$C$3='List(to hide)'!$C$3),KPI!DP18,AND($C$2="Lost Time Incident Frequency",'Table(related to graph)'!$C$3='List(to hide)'!$C$4),KPI!DP20)</f>
        <v>#N/A</v>
      </c>
      <c r="DO12" s="37" t="e" cm="1">
        <f t="array" ref="DO12">_xlfn.IFS(AND($C$2="Lost Time Incident Frequency",'Table(related to graph)'!$C$3="Monthly"),KPI!DQ16,AND($C$2="Lost Time Incident Frequency",'Table(related to graph)'!$C$3='List(to hide)'!$C$3),KPI!DQ18,AND($C$2="Lost Time Incident Frequency",'Table(related to graph)'!$C$3='List(to hide)'!$C$4),KPI!DQ20)</f>
        <v>#N/A</v>
      </c>
      <c r="DP12" s="37" t="e" cm="1">
        <f t="array" ref="DP12">_xlfn.IFS(AND($C$2="Lost Time Incident Frequency",'Table(related to graph)'!$C$3="Monthly"),KPI!DR16,AND($C$2="Lost Time Incident Frequency",'Table(related to graph)'!$C$3='List(to hide)'!$C$3),KPI!DR18,AND($C$2="Lost Time Incident Frequency",'Table(related to graph)'!$C$3='List(to hide)'!$C$4),KPI!DR20)</f>
        <v>#N/A</v>
      </c>
      <c r="DQ12" s="37" t="e" cm="1">
        <f t="array" ref="DQ12">_xlfn.IFS(AND($C$2="Lost Time Incident Frequency",'Table(related to graph)'!$C$3="Monthly"),KPI!DS16,AND($C$2="Lost Time Incident Frequency",'Table(related to graph)'!$C$3='List(to hide)'!$C$3),KPI!DS18,AND($C$2="Lost Time Incident Frequency",'Table(related to graph)'!$C$3='List(to hide)'!$C$4),KPI!DS20)</f>
        <v>#N/A</v>
      </c>
      <c r="DR12" s="37" t="e" cm="1">
        <f t="array" ref="DR12">_xlfn.IFS(AND($C$2="Lost Time Incident Frequency",'Table(related to graph)'!$C$3="Monthly"),KPI!DT16,AND($C$2="Lost Time Incident Frequency",'Table(related to graph)'!$C$3='List(to hide)'!$C$3),KPI!DT18,AND($C$2="Lost Time Incident Frequency",'Table(related to graph)'!$C$3='List(to hide)'!$C$4),KPI!DT20)</f>
        <v>#N/A</v>
      </c>
      <c r="DS12" s="37" t="e" cm="1">
        <f t="array" ref="DS12">_xlfn.IFS(AND($C$2="Lost Time Incident Frequency",'Table(related to graph)'!$C$3="Monthly"),KPI!DU16,AND($C$2="Lost Time Incident Frequency",'Table(related to graph)'!$C$3='List(to hide)'!$C$3),KPI!DU18,AND($C$2="Lost Time Incident Frequency",'Table(related to graph)'!$C$3='List(to hide)'!$C$4),KPI!DU20)</f>
        <v>#N/A</v>
      </c>
      <c r="DT12" s="37" t="e" cm="1">
        <f t="array" ref="DT12">_xlfn.IFS(AND($C$2="Lost Time Incident Frequency",'Table(related to graph)'!$C$3="Monthly"),KPI!DV16,AND($C$2="Lost Time Incident Frequency",'Table(related to graph)'!$C$3='List(to hide)'!$C$3),KPI!DV18,AND($C$2="Lost Time Incident Frequency",'Table(related to graph)'!$C$3='List(to hide)'!$C$4),KPI!DV20)</f>
        <v>#N/A</v>
      </c>
      <c r="DU12" s="37" t="e" cm="1">
        <f t="array" ref="DU12">_xlfn.IFS(AND($C$2="Lost Time Incident Frequency",'Table(related to graph)'!$C$3="Monthly"),KPI!DW16,AND($C$2="Lost Time Incident Frequency",'Table(related to graph)'!$C$3='List(to hide)'!$C$3),KPI!DW18,AND($C$2="Lost Time Incident Frequency",'Table(related to graph)'!$C$3='List(to hide)'!$C$4),KPI!DW20)</f>
        <v>#N/A</v>
      </c>
      <c r="DV12" s="37" t="e" cm="1">
        <f t="array" ref="DV12">_xlfn.IFS(AND($C$2="Lost Time Incident Frequency",'Table(related to graph)'!$C$3="Monthly"),KPI!DX16,AND($C$2="Lost Time Incident Frequency",'Table(related to graph)'!$C$3='List(to hide)'!$C$3),KPI!DX18,AND($C$2="Lost Time Incident Frequency",'Table(related to graph)'!$C$3='List(to hide)'!$C$4),KPI!DX20)</f>
        <v>#N/A</v>
      </c>
      <c r="DW12" s="37" t="e" cm="1">
        <f t="array" ref="DW12">_xlfn.IFS(AND($C$2="Lost Time Incident Frequency",'Table(related to graph)'!$C$3="Monthly"),KPI!DY16,AND($C$2="Lost Time Incident Frequency",'Table(related to graph)'!$C$3='List(to hide)'!$C$3),KPI!DY18,AND($C$2="Lost Time Incident Frequency",'Table(related to graph)'!$C$3='List(to hide)'!$C$4),KPI!DY20)</f>
        <v>#N/A</v>
      </c>
      <c r="DX12" s="37" t="e" cm="1">
        <f t="array" ref="DX12">_xlfn.IFS(AND($C$2="Lost Time Incident Frequency",'Table(related to graph)'!$C$3="Monthly"),KPI!DZ16,AND($C$2="Lost Time Incident Frequency",'Table(related to graph)'!$C$3='List(to hide)'!$C$3),KPI!DZ18,AND($C$2="Lost Time Incident Frequency",'Table(related to graph)'!$C$3='List(to hide)'!$C$4),KPI!DZ20)</f>
        <v>#N/A</v>
      </c>
      <c r="DY12" s="37" t="e" cm="1">
        <f t="array" ref="DY12">_xlfn.IFS(AND($C$2="Lost Time Incident Frequency",'Table(related to graph)'!$C$3="Monthly"),KPI!EA16,AND($C$2="Lost Time Incident Frequency",'Table(related to graph)'!$C$3='List(to hide)'!$C$3),KPI!EA18,AND($C$2="Lost Time Incident Frequency",'Table(related to graph)'!$C$3='List(to hide)'!$C$4),KPI!EA20)</f>
        <v>#N/A</v>
      </c>
      <c r="DZ12" s="37" t="e" cm="1">
        <f t="array" ref="DZ12">_xlfn.IFS(AND($C$2="Lost Time Incident Frequency",'Table(related to graph)'!$C$3="Monthly"),KPI!EB16,AND($C$2="Lost Time Incident Frequency",'Table(related to graph)'!$C$3='List(to hide)'!$C$3),KPI!EB18,AND($C$2="Lost Time Incident Frequency",'Table(related to graph)'!$C$3='List(to hide)'!$C$4),KPI!EB20)</f>
        <v>#N/A</v>
      </c>
      <c r="EA12" s="37" t="e" cm="1">
        <f t="array" ref="EA12">_xlfn.IFS(AND($C$2="Lost Time Incident Frequency",'Table(related to graph)'!$C$3="Monthly"),KPI!EC16,AND($C$2="Lost Time Incident Frequency",'Table(related to graph)'!$C$3='List(to hide)'!$C$3),KPI!EC18,AND($C$2="Lost Time Incident Frequency",'Table(related to graph)'!$C$3='List(to hide)'!$C$4),KPI!EC20)</f>
        <v>#N/A</v>
      </c>
      <c r="EB12" s="37" t="e" cm="1">
        <f t="array" ref="EB12">_xlfn.IFS(AND($C$2="Lost Time Incident Frequency",'Table(related to graph)'!$C$3="Monthly"),KPI!ED16,AND($C$2="Lost Time Incident Frequency",'Table(related to graph)'!$C$3='List(to hide)'!$C$3),KPI!ED18,AND($C$2="Lost Time Incident Frequency",'Table(related to graph)'!$C$3='List(to hide)'!$C$4),KPI!ED20)</f>
        <v>#N/A</v>
      </c>
      <c r="EC12" s="37" t="e" cm="1">
        <f t="array" ref="EC12">_xlfn.IFS(AND($C$2="Lost Time Incident Frequency",'Table(related to graph)'!$C$3="Monthly"),KPI!EE16,AND($C$2="Lost Time Incident Frequency",'Table(related to graph)'!$C$3='List(to hide)'!$C$3),KPI!EE18,AND($C$2="Lost Time Incident Frequency",'Table(related to graph)'!$C$3='List(to hide)'!$C$4),KPI!EE20)</f>
        <v>#N/A</v>
      </c>
      <c r="ED12" s="37" t="e" cm="1">
        <f t="array" ref="ED12">_xlfn.IFS(AND($C$2="Lost Time Incident Frequency",'Table(related to graph)'!$C$3="Monthly"),KPI!EF16,AND($C$2="Lost Time Incident Frequency",'Table(related to graph)'!$C$3='List(to hide)'!$C$3),KPI!EF18,AND($C$2="Lost Time Incident Frequency",'Table(related to graph)'!$C$3='List(to hide)'!$C$4),KPI!EF20)</f>
        <v>#N/A</v>
      </c>
      <c r="EE12" s="37" t="e" cm="1">
        <f t="array" ref="EE12">_xlfn.IFS(AND($C$2="Lost Time Incident Frequency",'Table(related to graph)'!$C$3="Monthly"),KPI!EG16,AND($C$2="Lost Time Incident Frequency",'Table(related to graph)'!$C$3='List(to hide)'!$C$3),KPI!EG18,AND($C$2="Lost Time Incident Frequency",'Table(related to graph)'!$C$3='List(to hide)'!$C$4),KPI!EG20)</f>
        <v>#N/A</v>
      </c>
      <c r="EF12" s="37" t="e" cm="1">
        <f t="array" ref="EF12">_xlfn.IFS(AND($C$2="Lost Time Incident Frequency",'Table(related to graph)'!$C$3="Monthly"),KPI!EH16,AND($C$2="Lost Time Incident Frequency",'Table(related to graph)'!$C$3='List(to hide)'!$C$3),KPI!EH18,AND($C$2="Lost Time Incident Frequency",'Table(related to graph)'!$C$3='List(to hide)'!$C$4),KPI!EH20)</f>
        <v>#N/A</v>
      </c>
      <c r="EG12" s="37" t="e" cm="1">
        <f t="array" ref="EG12">_xlfn.IFS(AND($C$2="Lost Time Incident Frequency",'Table(related to graph)'!$C$3="Monthly"),KPI!EI16,AND($C$2="Lost Time Incident Frequency",'Table(related to graph)'!$C$3='List(to hide)'!$C$3),KPI!EI18,AND($C$2="Lost Time Incident Frequency",'Table(related to graph)'!$C$3='List(to hide)'!$C$4),KPI!EI20)</f>
        <v>#N/A</v>
      </c>
      <c r="EH12" s="37" t="e" cm="1">
        <f t="array" ref="EH12">_xlfn.IFS(AND($C$2="Lost Time Incident Frequency",'Table(related to graph)'!$C$3="Monthly"),KPI!EJ16,AND($C$2="Lost Time Incident Frequency",'Table(related to graph)'!$C$3='List(to hide)'!$C$3),KPI!EJ18,AND($C$2="Lost Time Incident Frequency",'Table(related to graph)'!$C$3='List(to hide)'!$C$4),KPI!EJ20)</f>
        <v>#N/A</v>
      </c>
      <c r="EI12" s="37" t="e" cm="1">
        <f t="array" ref="EI12">_xlfn.IFS(AND($C$2="Lost Time Incident Frequency",'Table(related to graph)'!$C$3="Monthly"),KPI!EK16,AND($C$2="Lost Time Incident Frequency",'Table(related to graph)'!$C$3='List(to hide)'!$C$3),KPI!EK18,AND($C$2="Lost Time Incident Frequency",'Table(related to graph)'!$C$3='List(to hide)'!$C$4),KPI!EK20)</f>
        <v>#N/A</v>
      </c>
      <c r="EJ12" s="37" t="e" cm="1">
        <f t="array" ref="EJ12">_xlfn.IFS(AND($C$2="Lost Time Incident Frequency",'Table(related to graph)'!$C$3="Monthly"),KPI!EL16,AND($C$2="Lost Time Incident Frequency",'Table(related to graph)'!$C$3='List(to hide)'!$C$3),KPI!EL18,AND($C$2="Lost Time Incident Frequency",'Table(related to graph)'!$C$3='List(to hide)'!$C$4),KPI!EL20)</f>
        <v>#N/A</v>
      </c>
      <c r="EK12" s="37" t="e" cm="1">
        <f t="array" ref="EK12">_xlfn.IFS(AND($C$2="Lost Time Incident Frequency",'Table(related to graph)'!$C$3="Monthly"),KPI!EM16,AND($C$2="Lost Time Incident Frequency",'Table(related to graph)'!$C$3='List(to hide)'!$C$3),KPI!EM18,AND($C$2="Lost Time Incident Frequency",'Table(related to graph)'!$C$3='List(to hide)'!$C$4),KPI!EM20)</f>
        <v>#N/A</v>
      </c>
      <c r="EL12" s="37" t="e" cm="1">
        <f t="array" ref="EL12">_xlfn.IFS(AND($C$2="Lost Time Incident Frequency",'Table(related to graph)'!$C$3="Monthly"),KPI!EN16,AND($C$2="Lost Time Incident Frequency",'Table(related to graph)'!$C$3='List(to hide)'!$C$3),KPI!EN18,AND($C$2="Lost Time Incident Frequency",'Table(related to graph)'!$C$3='List(to hide)'!$C$4),KPI!EN20)</f>
        <v>#N/A</v>
      </c>
      <c r="EM12" s="37" t="e" cm="1">
        <f t="array" ref="EM12">_xlfn.IFS(AND($C$2="Lost Time Incident Frequency",'Table(related to graph)'!$C$3="Monthly"),KPI!EO16,AND($C$2="Lost Time Incident Frequency",'Table(related to graph)'!$C$3='List(to hide)'!$C$3),KPI!EO18,AND($C$2="Lost Time Incident Frequency",'Table(related to graph)'!$C$3='List(to hide)'!$C$4),KPI!EO20)</f>
        <v>#N/A</v>
      </c>
      <c r="EN12" s="37" t="e" cm="1">
        <f t="array" ref="EN12">_xlfn.IFS(AND($C$2="Lost Time Incident Frequency",'Table(related to graph)'!$C$3="Monthly"),KPI!EP16,AND($C$2="Lost Time Incident Frequency",'Table(related to graph)'!$C$3='List(to hide)'!$C$3),KPI!EP18,AND($C$2="Lost Time Incident Frequency",'Table(related to graph)'!$C$3='List(to hide)'!$C$4),KPI!EP20)</f>
        <v>#N/A</v>
      </c>
      <c r="EO12" s="37" t="e" cm="1">
        <f t="array" ref="EO12">_xlfn.IFS(AND($C$2="Lost Time Incident Frequency",'Table(related to graph)'!$C$3="Monthly"),KPI!EQ16,AND($C$2="Lost Time Incident Frequency",'Table(related to graph)'!$C$3='List(to hide)'!$C$3),KPI!EQ18,AND($C$2="Lost Time Incident Frequency",'Table(related to graph)'!$C$3='List(to hide)'!$C$4),KPI!EQ20)</f>
        <v>#N/A</v>
      </c>
      <c r="EP12" s="37" t="e" cm="1">
        <f t="array" ref="EP12">_xlfn.IFS(AND($C$2="Lost Time Incident Frequency",'Table(related to graph)'!$C$3="Monthly"),KPI!ER16,AND($C$2="Lost Time Incident Frequency",'Table(related to graph)'!$C$3='List(to hide)'!$C$3),KPI!ER18,AND($C$2="Lost Time Incident Frequency",'Table(related to graph)'!$C$3='List(to hide)'!$C$4),KPI!ER20)</f>
        <v>#N/A</v>
      </c>
      <c r="EQ12" s="37" t="e" cm="1">
        <f t="array" ref="EQ12">_xlfn.IFS(AND($C$2="Lost Time Incident Frequency",'Table(related to graph)'!$C$3="Monthly"),KPI!ES16,AND($C$2="Lost Time Incident Frequency",'Table(related to graph)'!$C$3='List(to hide)'!$C$3),KPI!ES18,AND($C$2="Lost Time Incident Frequency",'Table(related to graph)'!$C$3='List(to hide)'!$C$4),KPI!ES20)</f>
        <v>#N/A</v>
      </c>
      <c r="ER12" s="37" t="e" cm="1">
        <f t="array" ref="ER12">_xlfn.IFS(AND($C$2="Lost Time Incident Frequency",'Table(related to graph)'!$C$3="Monthly"),KPI!ET16,AND($C$2="Lost Time Incident Frequency",'Table(related to graph)'!$C$3='List(to hide)'!$C$3),KPI!ET18,AND($C$2="Lost Time Incident Frequency",'Table(related to graph)'!$C$3='List(to hide)'!$C$4),KPI!ET20)</f>
        <v>#N/A</v>
      </c>
      <c r="ES12" s="37" t="e" cm="1">
        <f t="array" ref="ES12">_xlfn.IFS(AND($C$2="Lost Time Incident Frequency",'Table(related to graph)'!$C$3="Monthly"),KPI!EU16,AND($C$2="Lost Time Incident Frequency",'Table(related to graph)'!$C$3='List(to hide)'!$C$3),KPI!EU18,AND($C$2="Lost Time Incident Frequency",'Table(related to graph)'!$C$3='List(to hide)'!$C$4),KPI!EU20)</f>
        <v>#N/A</v>
      </c>
      <c r="ET12" s="37" t="e" cm="1">
        <f t="array" ref="ET12">_xlfn.IFS(AND($C$2="Lost Time Incident Frequency",'Table(related to graph)'!$C$3="Monthly"),KPI!EV16,AND($C$2="Lost Time Incident Frequency",'Table(related to graph)'!$C$3='List(to hide)'!$C$3),KPI!EV18,AND($C$2="Lost Time Incident Frequency",'Table(related to graph)'!$C$3='List(to hide)'!$C$4),KPI!EV20)</f>
        <v>#N/A</v>
      </c>
      <c r="EU12" s="37" t="e" cm="1">
        <f t="array" ref="EU12">_xlfn.IFS(AND($C$2="Lost Time Incident Frequency",'Table(related to graph)'!$C$3="Monthly"),KPI!EW16,AND($C$2="Lost Time Incident Frequency",'Table(related to graph)'!$C$3='List(to hide)'!$C$3),KPI!EW18,AND($C$2="Lost Time Incident Frequency",'Table(related to graph)'!$C$3='List(to hide)'!$C$4),KPI!EW20)</f>
        <v>#N/A</v>
      </c>
      <c r="EV12" s="37" t="e" cm="1">
        <f t="array" ref="EV12">_xlfn.IFS(AND($C$2="Lost Time Incident Frequency",'Table(related to graph)'!$C$3="Monthly"),KPI!EX16,AND($C$2="Lost Time Incident Frequency",'Table(related to graph)'!$C$3='List(to hide)'!$C$3),KPI!EX18,AND($C$2="Lost Time Incident Frequency",'Table(related to graph)'!$C$3='List(to hide)'!$C$4),KPI!EX20)</f>
        <v>#N/A</v>
      </c>
      <c r="EW12" s="37" t="e" cm="1">
        <f t="array" ref="EW12">_xlfn.IFS(AND($C$2="Lost Time Incident Frequency",'Table(related to graph)'!$C$3="Monthly"),KPI!EY16,AND($C$2="Lost Time Incident Frequency",'Table(related to graph)'!$C$3='List(to hide)'!$C$3),KPI!EY18,AND($C$2="Lost Time Incident Frequency",'Table(related to graph)'!$C$3='List(to hide)'!$C$4),KPI!EY20)</f>
        <v>#N/A</v>
      </c>
      <c r="EX12" s="37" t="e" cm="1">
        <f t="array" ref="EX12">_xlfn.IFS(AND($C$2="Lost Time Incident Frequency",'Table(related to graph)'!$C$3="Monthly"),KPI!EZ16,AND($C$2="Lost Time Incident Frequency",'Table(related to graph)'!$C$3='List(to hide)'!$C$3),KPI!EZ18,AND($C$2="Lost Time Incident Frequency",'Table(related to graph)'!$C$3='List(to hide)'!$C$4),KPI!EZ20)</f>
        <v>#N/A</v>
      </c>
      <c r="EY12" s="37" t="e" cm="1">
        <f t="array" ref="EY12">_xlfn.IFS(AND($C$2="Lost Time Incident Frequency",'Table(related to graph)'!$C$3="Monthly"),KPI!FA16,AND($C$2="Lost Time Incident Frequency",'Table(related to graph)'!$C$3='List(to hide)'!$C$3),KPI!FA18,AND($C$2="Lost Time Incident Frequency",'Table(related to graph)'!$C$3='List(to hide)'!$C$4),KPI!FA20)</f>
        <v>#N/A</v>
      </c>
      <c r="EZ12" s="37" t="e" cm="1">
        <f t="array" ref="EZ12">_xlfn.IFS(AND($C$2="Lost Time Incident Frequency",'Table(related to graph)'!$C$3="Monthly"),KPI!FB16,AND($C$2="Lost Time Incident Frequency",'Table(related to graph)'!$C$3='List(to hide)'!$C$3),KPI!FB18,AND($C$2="Lost Time Incident Frequency",'Table(related to graph)'!$C$3='List(to hide)'!$C$4),KPI!FB20)</f>
        <v>#N/A</v>
      </c>
      <c r="FA12" s="37" t="e" cm="1">
        <f t="array" ref="FA12">_xlfn.IFS(AND($C$2="Lost Time Incident Frequency",'Table(related to graph)'!$C$3="Monthly"),KPI!FC16,AND($C$2="Lost Time Incident Frequency",'Table(related to graph)'!$C$3='List(to hide)'!$C$3),KPI!FC18,AND($C$2="Lost Time Incident Frequency",'Table(related to graph)'!$C$3='List(to hide)'!$C$4),KPI!FC20)</f>
        <v>#N/A</v>
      </c>
      <c r="FB12" s="37" t="e" cm="1">
        <f t="array" ref="FB12">_xlfn.IFS(AND($C$2="Lost Time Incident Frequency",'Table(related to graph)'!$C$3="Monthly"),KPI!FD16,AND($C$2="Lost Time Incident Frequency",'Table(related to graph)'!$C$3='List(to hide)'!$C$3),KPI!FD18,AND($C$2="Lost Time Incident Frequency",'Table(related to graph)'!$C$3='List(to hide)'!$C$4),KPI!FD20)</f>
        <v>#N/A</v>
      </c>
      <c r="FC12" s="37" t="e" cm="1">
        <f t="array" ref="FC12">_xlfn.IFS(AND($C$2="Lost Time Incident Frequency",'Table(related to graph)'!$C$3="Monthly"),KPI!FE16,AND($C$2="Lost Time Incident Frequency",'Table(related to graph)'!$C$3='List(to hide)'!$C$3),KPI!FE18,AND($C$2="Lost Time Incident Frequency",'Table(related to graph)'!$C$3='List(to hide)'!$C$4),KPI!FE20)</f>
        <v>#N/A</v>
      </c>
      <c r="FD12" s="37" t="e" cm="1">
        <f t="array" ref="FD12">_xlfn.IFS(AND($C$2="Lost Time Incident Frequency",'Table(related to graph)'!$C$3="Monthly"),KPI!FF16,AND($C$2="Lost Time Incident Frequency",'Table(related to graph)'!$C$3='List(to hide)'!$C$3),KPI!FF18,AND($C$2="Lost Time Incident Frequency",'Table(related to graph)'!$C$3='List(to hide)'!$C$4),KPI!FF20)</f>
        <v>#N/A</v>
      </c>
      <c r="FE12" s="37" t="e" cm="1">
        <f t="array" ref="FE12">_xlfn.IFS(AND($C$2="Lost Time Incident Frequency",'Table(related to graph)'!$C$3="Monthly"),KPI!FG16,AND($C$2="Lost Time Incident Frequency",'Table(related to graph)'!$C$3='List(to hide)'!$C$3),KPI!FG18,AND($C$2="Lost Time Incident Frequency",'Table(related to graph)'!$C$3='List(to hide)'!$C$4),KPI!FG20)</f>
        <v>#N/A</v>
      </c>
      <c r="FF12" s="37" t="e" cm="1">
        <f t="array" ref="FF12">_xlfn.IFS(AND($C$2="Lost Time Incident Frequency",'Table(related to graph)'!$C$3="Monthly"),KPI!FH16,AND($C$2="Lost Time Incident Frequency",'Table(related to graph)'!$C$3='List(to hide)'!$C$3),KPI!FH18,AND($C$2="Lost Time Incident Frequency",'Table(related to graph)'!$C$3='List(to hide)'!$C$4),KPI!FH20)</f>
        <v>#N/A</v>
      </c>
      <c r="FG12" s="37" t="e" cm="1">
        <f t="array" ref="FG12">_xlfn.IFS(AND($C$2="Lost Time Incident Frequency",'Table(related to graph)'!$C$3="Monthly"),KPI!FI16,AND($C$2="Lost Time Incident Frequency",'Table(related to graph)'!$C$3='List(to hide)'!$C$3),KPI!FI18,AND($C$2="Lost Time Incident Frequency",'Table(related to graph)'!$C$3='List(to hide)'!$C$4),KPI!FI20)</f>
        <v>#N/A</v>
      </c>
      <c r="FH12" s="37" t="e" cm="1">
        <f t="array" ref="FH12">_xlfn.IFS(AND($C$2="Lost Time Incident Frequency",'Table(related to graph)'!$C$3="Monthly"),KPI!FJ16,AND($C$2="Lost Time Incident Frequency",'Table(related to graph)'!$C$3='List(to hide)'!$C$3),KPI!FJ18,AND($C$2="Lost Time Incident Frequency",'Table(related to graph)'!$C$3='List(to hide)'!$C$4),KPI!FJ20)</f>
        <v>#N/A</v>
      </c>
      <c r="FI12" s="37" t="e" cm="1">
        <f t="array" ref="FI12">_xlfn.IFS(AND($C$2="Lost Time Incident Frequency",'Table(related to graph)'!$C$3="Monthly"),KPI!FK16,AND($C$2="Lost Time Incident Frequency",'Table(related to graph)'!$C$3='List(to hide)'!$C$3),KPI!FK18,AND($C$2="Lost Time Incident Frequency",'Table(related to graph)'!$C$3='List(to hide)'!$C$4),KPI!FK20)</f>
        <v>#N/A</v>
      </c>
      <c r="FJ12" s="37" t="e" cm="1">
        <f t="array" ref="FJ12">_xlfn.IFS(AND($C$2="Lost Time Incident Frequency",'Table(related to graph)'!$C$3="Monthly"),KPI!FL16,AND($C$2="Lost Time Incident Frequency",'Table(related to graph)'!$C$3='List(to hide)'!$C$3),KPI!FL18,AND($C$2="Lost Time Incident Frequency",'Table(related to graph)'!$C$3='List(to hide)'!$C$4),KPI!FL20)</f>
        <v>#N/A</v>
      </c>
      <c r="FK12" s="37" t="e" cm="1">
        <f t="array" ref="FK12">_xlfn.IFS(AND($C$2="Lost Time Incident Frequency",'Table(related to graph)'!$C$3="Monthly"),KPI!FM16,AND($C$2="Lost Time Incident Frequency",'Table(related to graph)'!$C$3='List(to hide)'!$C$3),KPI!FM18,AND($C$2="Lost Time Incident Frequency",'Table(related to graph)'!$C$3='List(to hide)'!$C$4),KPI!FM20)</f>
        <v>#N/A</v>
      </c>
      <c r="FL12" s="37" t="e" cm="1">
        <f t="array" ref="FL12">_xlfn.IFS(AND($C$2="Lost Time Incident Frequency",'Table(related to graph)'!$C$3="Monthly"),KPI!FN16,AND($C$2="Lost Time Incident Frequency",'Table(related to graph)'!$C$3='List(to hide)'!$C$3),KPI!FN18,AND($C$2="Lost Time Incident Frequency",'Table(related to graph)'!$C$3='List(to hide)'!$C$4),KPI!FN20)</f>
        <v>#N/A</v>
      </c>
      <c r="FM12" s="37" t="e" cm="1">
        <f t="array" ref="FM12">_xlfn.IFS(AND($C$2="Lost Time Incident Frequency",'Table(related to graph)'!$C$3="Monthly"),KPI!FO16,AND($C$2="Lost Time Incident Frequency",'Table(related to graph)'!$C$3='List(to hide)'!$C$3),KPI!FO18,AND($C$2="Lost Time Incident Frequency",'Table(related to graph)'!$C$3='List(to hide)'!$C$4),KPI!FO20)</f>
        <v>#N/A</v>
      </c>
      <c r="FN12" s="37" t="e" cm="1">
        <f t="array" ref="FN12">_xlfn.IFS(AND($C$2="Lost Time Incident Frequency",'Table(related to graph)'!$C$3="Monthly"),KPI!FP16,AND($C$2="Lost Time Incident Frequency",'Table(related to graph)'!$C$3='List(to hide)'!$C$3),KPI!FP18,AND($C$2="Lost Time Incident Frequency",'Table(related to graph)'!$C$3='List(to hide)'!$C$4),KPI!FP20)</f>
        <v>#N/A</v>
      </c>
      <c r="FO12" s="37" t="e" cm="1">
        <f t="array" ref="FO12">_xlfn.IFS(AND($C$2="Lost Time Incident Frequency",'Table(related to graph)'!$C$3="Monthly"),KPI!FQ16,AND($C$2="Lost Time Incident Frequency",'Table(related to graph)'!$C$3='List(to hide)'!$C$3),KPI!FQ18,AND($C$2="Lost Time Incident Frequency",'Table(related to graph)'!$C$3='List(to hide)'!$C$4),KPI!FQ20)</f>
        <v>#N/A</v>
      </c>
      <c r="FP12" s="37" t="e" cm="1">
        <f t="array" ref="FP12">_xlfn.IFS(AND($C$2="Lost Time Incident Frequency",'Table(related to graph)'!$C$3="Monthly"),KPI!FR16,AND($C$2="Lost Time Incident Frequency",'Table(related to graph)'!$C$3='List(to hide)'!$C$3),KPI!FR18,AND($C$2="Lost Time Incident Frequency",'Table(related to graph)'!$C$3='List(to hide)'!$C$4),KPI!FR20)</f>
        <v>#N/A</v>
      </c>
      <c r="FQ12" s="37" t="e" cm="1">
        <f t="array" ref="FQ12">_xlfn.IFS(AND($C$2="Lost Time Incident Frequency",'Table(related to graph)'!$C$3="Monthly"),KPI!FS16,AND($C$2="Lost Time Incident Frequency",'Table(related to graph)'!$C$3='List(to hide)'!$C$3),KPI!FS18,AND($C$2="Lost Time Incident Frequency",'Table(related to graph)'!$C$3='List(to hide)'!$C$4),KPI!FS20)</f>
        <v>#N/A</v>
      </c>
      <c r="FR12" s="37" t="e" cm="1">
        <f t="array" ref="FR12">_xlfn.IFS(AND($C$2="Lost Time Incident Frequency",'Table(related to graph)'!$C$3="Monthly"),KPI!FT16,AND($C$2="Lost Time Incident Frequency",'Table(related to graph)'!$C$3='List(to hide)'!$C$3),KPI!FT18,AND($C$2="Lost Time Incident Frequency",'Table(related to graph)'!$C$3='List(to hide)'!$C$4),KPI!FT20)</f>
        <v>#N/A</v>
      </c>
      <c r="FS12" s="37" t="e" cm="1">
        <f t="array" ref="FS12">_xlfn.IFS(AND($C$2="Lost Time Incident Frequency",'Table(related to graph)'!$C$3="Monthly"),KPI!FU16,AND($C$2="Lost Time Incident Frequency",'Table(related to graph)'!$C$3='List(to hide)'!$C$3),KPI!FU18,AND($C$2="Lost Time Incident Frequency",'Table(related to graph)'!$C$3='List(to hide)'!$C$4),KPI!FU20)</f>
        <v>#N/A</v>
      </c>
      <c r="FT12" s="37" t="e" cm="1">
        <f t="array" ref="FT12">_xlfn.IFS(AND($C$2="Lost Time Incident Frequency",'Table(related to graph)'!$C$3="Monthly"),KPI!FV16,AND($C$2="Lost Time Incident Frequency",'Table(related to graph)'!$C$3='List(to hide)'!$C$3),KPI!FV18,AND($C$2="Lost Time Incident Frequency",'Table(related to graph)'!$C$3='List(to hide)'!$C$4),KPI!FV20)</f>
        <v>#N/A</v>
      </c>
      <c r="FU12" s="37" t="e" cm="1">
        <f t="array" ref="FU12">_xlfn.IFS(AND($C$2="Lost Time Incident Frequency",'Table(related to graph)'!$C$3="Monthly"),KPI!FW16,AND($C$2="Lost Time Incident Frequency",'Table(related to graph)'!$C$3='List(to hide)'!$C$3),KPI!FW18,AND($C$2="Lost Time Incident Frequency",'Table(related to graph)'!$C$3='List(to hide)'!$C$4),KPI!FW20)</f>
        <v>#N/A</v>
      </c>
      <c r="FV12" s="37" t="e" cm="1">
        <f t="array" ref="FV12">_xlfn.IFS(AND($C$2="Lost Time Incident Frequency",'Table(related to graph)'!$C$3="Monthly"),KPI!FX16,AND($C$2="Lost Time Incident Frequency",'Table(related to graph)'!$C$3='List(to hide)'!$C$3),KPI!FX18,AND($C$2="Lost Time Incident Frequency",'Table(related to graph)'!$C$3='List(to hide)'!$C$4),KPI!FX20)</f>
        <v>#N/A</v>
      </c>
      <c r="FW12" s="37" t="e" cm="1">
        <f t="array" ref="FW12">_xlfn.IFS(AND($C$2="Lost Time Incident Frequency",'Table(related to graph)'!$C$3="Monthly"),KPI!FY16,AND($C$2="Lost Time Incident Frequency",'Table(related to graph)'!$C$3='List(to hide)'!$C$3),KPI!FY18,AND($C$2="Lost Time Incident Frequency",'Table(related to graph)'!$C$3='List(to hide)'!$C$4),KPI!FY20)</f>
        <v>#N/A</v>
      </c>
      <c r="FX12" s="37" t="e" cm="1">
        <f t="array" ref="FX12">_xlfn.IFS(AND($C$2="Lost Time Incident Frequency",'Table(related to graph)'!$C$3="Monthly"),KPI!FZ16,AND($C$2="Lost Time Incident Frequency",'Table(related to graph)'!$C$3='List(to hide)'!$C$3),KPI!FZ18,AND($C$2="Lost Time Incident Frequency",'Table(related to graph)'!$C$3='List(to hide)'!$C$4),KPI!FZ20)</f>
        <v>#N/A</v>
      </c>
      <c r="FY12" s="37" t="e" cm="1">
        <f t="array" ref="FY12">_xlfn.IFS(AND($C$2="Lost Time Incident Frequency",'Table(related to graph)'!$C$3="Monthly"),KPI!GA16,AND($C$2="Lost Time Incident Frequency",'Table(related to graph)'!$C$3='List(to hide)'!$C$3),KPI!GA18,AND($C$2="Lost Time Incident Frequency",'Table(related to graph)'!$C$3='List(to hide)'!$C$4),KPI!GA20)</f>
        <v>#N/A</v>
      </c>
      <c r="FZ12" s="37" t="e" cm="1">
        <f t="array" ref="FZ12">_xlfn.IFS(AND($C$2="Lost Time Incident Frequency",'Table(related to graph)'!$C$3="Monthly"),KPI!GB16,AND($C$2="Lost Time Incident Frequency",'Table(related to graph)'!$C$3='List(to hide)'!$C$3),KPI!GB18,AND($C$2="Lost Time Incident Frequency",'Table(related to graph)'!$C$3='List(to hide)'!$C$4),KPI!GB20)</f>
        <v>#N/A</v>
      </c>
      <c r="GA12" s="37" t="e" cm="1">
        <f t="array" ref="GA12">_xlfn.IFS(AND($C$2="Lost Time Incident Frequency",'Table(related to graph)'!$C$3="Monthly"),KPI!GC16,AND($C$2="Lost Time Incident Frequency",'Table(related to graph)'!$C$3='List(to hide)'!$C$3),KPI!GC18,AND($C$2="Lost Time Incident Frequency",'Table(related to graph)'!$C$3='List(to hide)'!$C$4),KPI!GC20)</f>
        <v>#N/A</v>
      </c>
      <c r="GB12" s="37" t="e" cm="1">
        <f t="array" ref="GB12">_xlfn.IFS(AND($C$2="Lost Time Incident Frequency",'Table(related to graph)'!$C$3="Monthly"),KPI!GD16,AND($C$2="Lost Time Incident Frequency",'Table(related to graph)'!$C$3='List(to hide)'!$C$3),KPI!GD18,AND($C$2="Lost Time Incident Frequency",'Table(related to graph)'!$C$3='List(to hide)'!$C$4),KPI!GD20)</f>
        <v>#N/A</v>
      </c>
      <c r="GC12" s="37" t="e" cm="1">
        <f t="array" ref="GC12">_xlfn.IFS(AND($C$2="Lost Time Incident Frequency",'Table(related to graph)'!$C$3="Monthly"),KPI!GE16,AND($C$2="Lost Time Incident Frequency",'Table(related to graph)'!$C$3='List(to hide)'!$C$3),KPI!GE18,AND($C$2="Lost Time Incident Frequency",'Table(related to graph)'!$C$3='List(to hide)'!$C$4),KPI!GE20)</f>
        <v>#N/A</v>
      </c>
      <c r="GD12" s="37" t="e" cm="1">
        <f t="array" ref="GD12">_xlfn.IFS(AND($C$2="Lost Time Incident Frequency",'Table(related to graph)'!$C$3="Monthly"),KPI!GF16,AND($C$2="Lost Time Incident Frequency",'Table(related to graph)'!$C$3='List(to hide)'!$C$3),KPI!GF18,AND($C$2="Lost Time Incident Frequency",'Table(related to graph)'!$C$3='List(to hide)'!$C$4),KPI!GF20)</f>
        <v>#N/A</v>
      </c>
      <c r="GE12" s="37" t="e" cm="1">
        <f t="array" ref="GE12">_xlfn.IFS(AND($C$2="Lost Time Incident Frequency",'Table(related to graph)'!$C$3="Monthly"),KPI!GG16,AND($C$2="Lost Time Incident Frequency",'Table(related to graph)'!$C$3='List(to hide)'!$C$3),KPI!GG18,AND($C$2="Lost Time Incident Frequency",'Table(related to graph)'!$C$3='List(to hide)'!$C$4),KPI!GG20)</f>
        <v>#N/A</v>
      </c>
      <c r="GF12" s="37" t="e" cm="1">
        <f t="array" ref="GF12">_xlfn.IFS(AND($C$2="Lost Time Incident Frequency",'Table(related to graph)'!$C$3="Monthly"),KPI!GH16,AND($C$2="Lost Time Incident Frequency",'Table(related to graph)'!$C$3='List(to hide)'!$C$3),KPI!GH18,AND($C$2="Lost Time Incident Frequency",'Table(related to graph)'!$C$3='List(to hide)'!$C$4),KPI!GH20)</f>
        <v>#N/A</v>
      </c>
      <c r="GG12" s="37" t="e" cm="1">
        <f t="array" ref="GG12">_xlfn.IFS(AND($C$2="Lost Time Incident Frequency",'Table(related to graph)'!$C$3="Monthly"),KPI!GI16,AND($C$2="Lost Time Incident Frequency",'Table(related to graph)'!$C$3='List(to hide)'!$C$3),KPI!GI18,AND($C$2="Lost Time Incident Frequency",'Table(related to graph)'!$C$3='List(to hide)'!$C$4),KPI!GI20)</f>
        <v>#N/A</v>
      </c>
      <c r="GH12" s="37" t="e" cm="1">
        <f t="array" ref="GH12">_xlfn.IFS(AND($C$2="Lost Time Incident Frequency",'Table(related to graph)'!$C$3="Monthly"),KPI!GJ16,AND($C$2="Lost Time Incident Frequency",'Table(related to graph)'!$C$3='List(to hide)'!$C$3),KPI!GJ18,AND($C$2="Lost Time Incident Frequency",'Table(related to graph)'!$C$3='List(to hide)'!$C$4),KPI!GJ20)</f>
        <v>#N/A</v>
      </c>
      <c r="GI12" s="37" t="e" cm="1">
        <f t="array" ref="GI12">_xlfn.IFS(AND($C$2="Lost Time Incident Frequency",'Table(related to graph)'!$C$3="Monthly"),KPI!GK16,AND($C$2="Lost Time Incident Frequency",'Table(related to graph)'!$C$3='List(to hide)'!$C$3),KPI!GK18,AND($C$2="Lost Time Incident Frequency",'Table(related to graph)'!$C$3='List(to hide)'!$C$4),KPI!GK20)</f>
        <v>#N/A</v>
      </c>
      <c r="GJ12" s="37" t="e" cm="1">
        <f t="array" ref="GJ12">_xlfn.IFS(AND($C$2="Lost Time Incident Frequency",'Table(related to graph)'!$C$3="Monthly"),KPI!GL16,AND($C$2="Lost Time Incident Frequency",'Table(related to graph)'!$C$3='List(to hide)'!$C$3),KPI!GL18,AND($C$2="Lost Time Incident Frequency",'Table(related to graph)'!$C$3='List(to hide)'!$C$4),KPI!GL20)</f>
        <v>#N/A</v>
      </c>
      <c r="GK12" s="37" t="e" cm="1">
        <f t="array" ref="GK12">_xlfn.IFS(AND($C$2="Lost Time Incident Frequency",'Table(related to graph)'!$C$3="Monthly"),KPI!GM16,AND($C$2="Lost Time Incident Frequency",'Table(related to graph)'!$C$3='List(to hide)'!$C$3),KPI!GM18,AND($C$2="Lost Time Incident Frequency",'Table(related to graph)'!$C$3='List(to hide)'!$C$4),KPI!GM20)</f>
        <v>#N/A</v>
      </c>
      <c r="GL12" s="37" t="e" cm="1">
        <f t="array" ref="GL12">_xlfn.IFS(AND($C$2="Lost Time Incident Frequency",'Table(related to graph)'!$C$3="Monthly"),KPI!GN16,AND($C$2="Lost Time Incident Frequency",'Table(related to graph)'!$C$3='List(to hide)'!$C$3),KPI!GN18,AND($C$2="Lost Time Incident Frequency",'Table(related to graph)'!$C$3='List(to hide)'!$C$4),KPI!GN20)</f>
        <v>#N/A</v>
      </c>
      <c r="GM12" s="37" t="e" cm="1">
        <f t="array" ref="GM12">_xlfn.IFS(AND($C$2="Lost Time Incident Frequency",'Table(related to graph)'!$C$3="Monthly"),KPI!GO16,AND($C$2="Lost Time Incident Frequency",'Table(related to graph)'!$C$3='List(to hide)'!$C$3),KPI!GO18,AND($C$2="Lost Time Incident Frequency",'Table(related to graph)'!$C$3='List(to hide)'!$C$4),KPI!GO20)</f>
        <v>#N/A</v>
      </c>
      <c r="GN12" s="37" t="e" cm="1">
        <f t="array" ref="GN12">_xlfn.IFS(AND($C$2="Lost Time Incident Frequency",'Table(related to graph)'!$C$3="Monthly"),KPI!GP16,AND($C$2="Lost Time Incident Frequency",'Table(related to graph)'!$C$3='List(to hide)'!$C$3),KPI!GP18,AND($C$2="Lost Time Incident Frequency",'Table(related to graph)'!$C$3='List(to hide)'!$C$4),KPI!GP20)</f>
        <v>#N/A</v>
      </c>
      <c r="GO12" s="37" t="e" cm="1">
        <f t="array" ref="GO12">_xlfn.IFS(AND($C$2="Lost Time Incident Frequency",'Table(related to graph)'!$C$3="Monthly"),KPI!GQ16,AND($C$2="Lost Time Incident Frequency",'Table(related to graph)'!$C$3='List(to hide)'!$C$3),KPI!GQ18,AND($C$2="Lost Time Incident Frequency",'Table(related to graph)'!$C$3='List(to hide)'!$C$4),KPI!GQ20)</f>
        <v>#N/A</v>
      </c>
      <c r="GP12" s="37" t="e" cm="1">
        <f t="array" ref="GP12">_xlfn.IFS(AND($C$2="Lost Time Incident Frequency",'Table(related to graph)'!$C$3="Monthly"),KPI!GR16,AND($C$2="Lost Time Incident Frequency",'Table(related to graph)'!$C$3='List(to hide)'!$C$3),KPI!GR18,AND($C$2="Lost Time Incident Frequency",'Table(related to graph)'!$C$3='List(to hide)'!$C$4),KPI!GR20)</f>
        <v>#N/A</v>
      </c>
      <c r="GQ12" s="37" t="e" cm="1">
        <f t="array" ref="GQ12">_xlfn.IFS(AND($C$2="Lost Time Incident Frequency",'Table(related to graph)'!$C$3="Monthly"),KPI!GS16,AND($C$2="Lost Time Incident Frequency",'Table(related to graph)'!$C$3='List(to hide)'!$C$3),KPI!GS18,AND($C$2="Lost Time Incident Frequency",'Table(related to graph)'!$C$3='List(to hide)'!$C$4),KPI!GS20)</f>
        <v>#N/A</v>
      </c>
      <c r="GR12" s="37" t="e" cm="1">
        <f t="array" ref="GR12">_xlfn.IFS(AND($C$2="Lost Time Incident Frequency",'Table(related to graph)'!$C$3="Monthly"),KPI!GT16,AND($C$2="Lost Time Incident Frequency",'Table(related to graph)'!$C$3='List(to hide)'!$C$3),KPI!GT18,AND($C$2="Lost Time Incident Frequency",'Table(related to graph)'!$C$3='List(to hide)'!$C$4),KPI!GT20)</f>
        <v>#N/A</v>
      </c>
      <c r="GS12" s="37" t="e" cm="1">
        <f t="array" ref="GS12">_xlfn.IFS(AND($C$2="Lost Time Incident Frequency",'Table(related to graph)'!$C$3="Monthly"),KPI!GU16,AND($C$2="Lost Time Incident Frequency",'Table(related to graph)'!$C$3='List(to hide)'!$C$3),KPI!GU18,AND($C$2="Lost Time Incident Frequency",'Table(related to graph)'!$C$3='List(to hide)'!$C$4),KPI!GU20)</f>
        <v>#N/A</v>
      </c>
      <c r="GT12" s="37" t="e" cm="1">
        <f t="array" ref="GT12">_xlfn.IFS(AND($C$2="Lost Time Incident Frequency",'Table(related to graph)'!$C$3="Monthly"),KPI!GV16,AND($C$2="Lost Time Incident Frequency",'Table(related to graph)'!$C$3='List(to hide)'!$C$3),KPI!GV18,AND($C$2="Lost Time Incident Frequency",'Table(related to graph)'!$C$3='List(to hide)'!$C$4),KPI!GV20)</f>
        <v>#N/A</v>
      </c>
      <c r="GU12" s="37" t="e" cm="1">
        <f t="array" ref="GU12">_xlfn.IFS(AND($C$2="Lost Time Incident Frequency",'Table(related to graph)'!$C$3="Monthly"),KPI!GW16,AND($C$2="Lost Time Incident Frequency",'Table(related to graph)'!$C$3='List(to hide)'!$C$3),KPI!GW18,AND($C$2="Lost Time Incident Frequency",'Table(related to graph)'!$C$3='List(to hide)'!$C$4),KPI!GW20)</f>
        <v>#N/A</v>
      </c>
      <c r="GV12" s="37" t="e" cm="1">
        <f t="array" ref="GV12">_xlfn.IFS(AND($C$2="Lost Time Incident Frequency",'Table(related to graph)'!$C$3="Monthly"),KPI!GX16,AND($C$2="Lost Time Incident Frequency",'Table(related to graph)'!$C$3='List(to hide)'!$C$3),KPI!GX18,AND($C$2="Lost Time Incident Frequency",'Table(related to graph)'!$C$3='List(to hide)'!$C$4),KPI!GX20)</f>
        <v>#N/A</v>
      </c>
      <c r="GW12" s="37" t="e" cm="1">
        <f t="array" ref="GW12">_xlfn.IFS(AND($C$2="Lost Time Incident Frequency",'Table(related to graph)'!$C$3="Monthly"),KPI!GY16,AND($C$2="Lost Time Incident Frequency",'Table(related to graph)'!$C$3='List(to hide)'!$C$3),KPI!GY18,AND($C$2="Lost Time Incident Frequency",'Table(related to graph)'!$C$3='List(to hide)'!$C$4),KPI!GY20)</f>
        <v>#N/A</v>
      </c>
      <c r="GX12" s="37" t="e" cm="1">
        <f t="array" ref="GX12">_xlfn.IFS(AND($C$2="Lost Time Incident Frequency",'Table(related to graph)'!$C$3="Monthly"),KPI!GZ16,AND($C$2="Lost Time Incident Frequency",'Table(related to graph)'!$C$3='List(to hide)'!$C$3),KPI!GZ18,AND($C$2="Lost Time Incident Frequency",'Table(related to graph)'!$C$3='List(to hide)'!$C$4),KPI!GZ20)</f>
        <v>#N/A</v>
      </c>
      <c r="GY12" s="37" t="e" cm="1">
        <f t="array" ref="GY12">_xlfn.IFS(AND($C$2="Lost Time Incident Frequency",'Table(related to graph)'!$C$3="Monthly"),KPI!HA16,AND($C$2="Lost Time Incident Frequency",'Table(related to graph)'!$C$3='List(to hide)'!$C$3),KPI!HA18,AND($C$2="Lost Time Incident Frequency",'Table(related to graph)'!$C$3='List(to hide)'!$C$4),KPI!HA20)</f>
        <v>#N/A</v>
      </c>
      <c r="GZ12" s="37" t="e" cm="1">
        <f t="array" ref="GZ12">_xlfn.IFS(AND($C$2="Lost Time Incident Frequency",'Table(related to graph)'!$C$3="Monthly"),KPI!HB16,AND($C$2="Lost Time Incident Frequency",'Table(related to graph)'!$C$3='List(to hide)'!$C$3),KPI!HB18,AND($C$2="Lost Time Incident Frequency",'Table(related to graph)'!$C$3='List(to hide)'!$C$4),KPI!HB20)</f>
        <v>#N/A</v>
      </c>
      <c r="HA12" s="37" t="e" cm="1">
        <f t="array" ref="HA12">_xlfn.IFS(AND($C$2="Lost Time Incident Frequency",'Table(related to graph)'!$C$3="Monthly"),KPI!HC16,AND($C$2="Lost Time Incident Frequency",'Table(related to graph)'!$C$3='List(to hide)'!$C$3),KPI!HC18,AND($C$2="Lost Time Incident Frequency",'Table(related to graph)'!$C$3='List(to hide)'!$C$4),KPI!HC20)</f>
        <v>#N/A</v>
      </c>
      <c r="HB12" s="37" t="e" cm="1">
        <f t="array" ref="HB12">_xlfn.IFS(AND($C$2="Lost Time Incident Frequency",'Table(related to graph)'!$C$3="Monthly"),KPI!HD16,AND($C$2="Lost Time Incident Frequency",'Table(related to graph)'!$C$3='List(to hide)'!$C$3),KPI!HD18,AND($C$2="Lost Time Incident Frequency",'Table(related to graph)'!$C$3='List(to hide)'!$C$4),KPI!HD20)</f>
        <v>#N/A</v>
      </c>
      <c r="HC12" s="37" t="e" cm="1">
        <f t="array" ref="HC12">_xlfn.IFS(AND($C$2="Lost Time Incident Frequency",'Table(related to graph)'!$C$3="Monthly"),KPI!HE16,AND($C$2="Lost Time Incident Frequency",'Table(related to graph)'!$C$3='List(to hide)'!$C$3),KPI!HE18,AND($C$2="Lost Time Incident Frequency",'Table(related to graph)'!$C$3='List(to hide)'!$C$4),KPI!HE20)</f>
        <v>#N/A</v>
      </c>
      <c r="HD12" s="37" t="e" cm="1">
        <f t="array" ref="HD12">_xlfn.IFS(AND($C$2="Lost Time Incident Frequency",'Table(related to graph)'!$C$3="Monthly"),KPI!HF16,AND($C$2="Lost Time Incident Frequency",'Table(related to graph)'!$C$3='List(to hide)'!$C$3),KPI!HF18,AND($C$2="Lost Time Incident Frequency",'Table(related to graph)'!$C$3='List(to hide)'!$C$4),KPI!HF20)</f>
        <v>#N/A</v>
      </c>
      <c r="HE12" s="37" t="e" cm="1">
        <f t="array" ref="HE12">_xlfn.IFS(AND($C$2="Lost Time Incident Frequency",'Table(related to graph)'!$C$3="Monthly"),KPI!HG16,AND($C$2="Lost Time Incident Frequency",'Table(related to graph)'!$C$3='List(to hide)'!$C$3),KPI!HG18,AND($C$2="Lost Time Incident Frequency",'Table(related to graph)'!$C$3='List(to hide)'!$C$4),KPI!HG20)</f>
        <v>#N/A</v>
      </c>
      <c r="HF12" s="37" t="e" cm="1">
        <f t="array" ref="HF12">_xlfn.IFS(AND($C$2="Lost Time Incident Frequency",'Table(related to graph)'!$C$3="Monthly"),KPI!HH16,AND($C$2="Lost Time Incident Frequency",'Table(related to graph)'!$C$3='List(to hide)'!$C$3),KPI!HH18,AND($C$2="Lost Time Incident Frequency",'Table(related to graph)'!$C$3='List(to hide)'!$C$4),KPI!HH20)</f>
        <v>#N/A</v>
      </c>
      <c r="HG12" s="37" t="e" cm="1">
        <f t="array" ref="HG12">_xlfn.IFS(AND($C$2="Lost Time Incident Frequency",'Table(related to graph)'!$C$3="Monthly"),KPI!HI16,AND($C$2="Lost Time Incident Frequency",'Table(related to graph)'!$C$3='List(to hide)'!$C$3),KPI!HI18,AND($C$2="Lost Time Incident Frequency",'Table(related to graph)'!$C$3='List(to hide)'!$C$4),KPI!HI20)</f>
        <v>#N/A</v>
      </c>
      <c r="HH12" s="37" t="e" cm="1">
        <f t="array" ref="HH12">_xlfn.IFS(AND($C$2="Lost Time Incident Frequency",'Table(related to graph)'!$C$3="Monthly"),KPI!HJ16,AND($C$2="Lost Time Incident Frequency",'Table(related to graph)'!$C$3='List(to hide)'!$C$3),KPI!HJ18,AND($C$2="Lost Time Incident Frequency",'Table(related to graph)'!$C$3='List(to hide)'!$C$4),KPI!HJ20)</f>
        <v>#N/A</v>
      </c>
      <c r="HI12" s="37" t="e" cm="1">
        <f t="array" ref="HI12">_xlfn.IFS(AND($C$2="Lost Time Incident Frequency",'Table(related to graph)'!$C$3="Monthly"),KPI!HK16,AND($C$2="Lost Time Incident Frequency",'Table(related to graph)'!$C$3='List(to hide)'!$C$3),KPI!HK18,AND($C$2="Lost Time Incident Frequency",'Table(related to graph)'!$C$3='List(to hide)'!$C$4),KPI!HK20)</f>
        <v>#N/A</v>
      </c>
      <c r="HJ12" s="37" t="e" cm="1">
        <f t="array" ref="HJ12">_xlfn.IFS(AND($C$2="Lost Time Incident Frequency",'Table(related to graph)'!$C$3="Monthly"),KPI!HL16,AND($C$2="Lost Time Incident Frequency",'Table(related to graph)'!$C$3='List(to hide)'!$C$3),KPI!HL18,AND($C$2="Lost Time Incident Frequency",'Table(related to graph)'!$C$3='List(to hide)'!$C$4),KPI!HL20)</f>
        <v>#N/A</v>
      </c>
      <c r="HK12" s="37" t="e" cm="1">
        <f t="array" ref="HK12">_xlfn.IFS(AND($C$2="Lost Time Incident Frequency",'Table(related to graph)'!$C$3="Monthly"),KPI!HM16,AND($C$2="Lost Time Incident Frequency",'Table(related to graph)'!$C$3='List(to hide)'!$C$3),KPI!HM18,AND($C$2="Lost Time Incident Frequency",'Table(related to graph)'!$C$3='List(to hide)'!$C$4),KPI!HM20)</f>
        <v>#N/A</v>
      </c>
      <c r="HL12" s="37" t="e" cm="1">
        <f t="array" ref="HL12">_xlfn.IFS(AND($C$2="Lost Time Incident Frequency",'Table(related to graph)'!$C$3="Monthly"),KPI!HN16,AND($C$2="Lost Time Incident Frequency",'Table(related to graph)'!$C$3='List(to hide)'!$C$3),KPI!HN18,AND($C$2="Lost Time Incident Frequency",'Table(related to graph)'!$C$3='List(to hide)'!$C$4),KPI!HN20)</f>
        <v>#N/A</v>
      </c>
      <c r="HM12" s="37" t="e" cm="1">
        <f t="array" ref="HM12">_xlfn.IFS(AND($C$2="Lost Time Incident Frequency",'Table(related to graph)'!$C$3="Monthly"),KPI!HO16,AND($C$2="Lost Time Incident Frequency",'Table(related to graph)'!$C$3='List(to hide)'!$C$3),KPI!HO18,AND($C$2="Lost Time Incident Frequency",'Table(related to graph)'!$C$3='List(to hide)'!$C$4),KPI!HO20)</f>
        <v>#N/A</v>
      </c>
      <c r="HN12" s="37" t="e" cm="1">
        <f t="array" ref="HN12">_xlfn.IFS(AND($C$2="Lost Time Incident Frequency",'Table(related to graph)'!$C$3="Monthly"),KPI!HP16,AND($C$2="Lost Time Incident Frequency",'Table(related to graph)'!$C$3='List(to hide)'!$C$3),KPI!HP18,AND($C$2="Lost Time Incident Frequency",'Table(related to graph)'!$C$3='List(to hide)'!$C$4),KPI!HP20)</f>
        <v>#N/A</v>
      </c>
      <c r="HO12" s="37" t="e" cm="1">
        <f t="array" ref="HO12">_xlfn.IFS(AND($C$2="Lost Time Incident Frequency",'Table(related to graph)'!$C$3="Monthly"),KPI!HQ16,AND($C$2="Lost Time Incident Frequency",'Table(related to graph)'!$C$3='List(to hide)'!$C$3),KPI!HQ18,AND($C$2="Lost Time Incident Frequency",'Table(related to graph)'!$C$3='List(to hide)'!$C$4),KPI!HQ20)</f>
        <v>#N/A</v>
      </c>
      <c r="HP12" s="37" t="e" cm="1">
        <f t="array" ref="HP12">_xlfn.IFS(AND($C$2="Lost Time Incident Frequency",'Table(related to graph)'!$C$3="Monthly"),KPI!HR16,AND($C$2="Lost Time Incident Frequency",'Table(related to graph)'!$C$3='List(to hide)'!$C$3),KPI!HR18,AND($C$2="Lost Time Incident Frequency",'Table(related to graph)'!$C$3='List(to hide)'!$C$4),KPI!HR20)</f>
        <v>#N/A</v>
      </c>
      <c r="HQ12" s="37" t="e" cm="1">
        <f t="array" ref="HQ12">_xlfn.IFS(AND($C$2="Lost Time Incident Frequency",'Table(related to graph)'!$C$3="Monthly"),KPI!HS16,AND($C$2="Lost Time Incident Frequency",'Table(related to graph)'!$C$3='List(to hide)'!$C$3),KPI!HS18,AND($C$2="Lost Time Incident Frequency",'Table(related to graph)'!$C$3='List(to hide)'!$C$4),KPI!HS20)</f>
        <v>#N/A</v>
      </c>
      <c r="HR12" s="37" t="e" cm="1">
        <f t="array" ref="HR12">_xlfn.IFS(AND($C$2="Lost Time Incident Frequency",'Table(related to graph)'!$C$3="Monthly"),KPI!HT16,AND($C$2="Lost Time Incident Frequency",'Table(related to graph)'!$C$3='List(to hide)'!$C$3),KPI!HT18,AND($C$2="Lost Time Incident Frequency",'Table(related to graph)'!$C$3='List(to hide)'!$C$4),KPI!HT20)</f>
        <v>#N/A</v>
      </c>
      <c r="HS12" s="37" t="e" cm="1">
        <f t="array" ref="HS12">_xlfn.IFS(AND($C$2="Lost Time Incident Frequency",'Table(related to graph)'!$C$3="Monthly"),KPI!HU16,AND($C$2="Lost Time Incident Frequency",'Table(related to graph)'!$C$3='List(to hide)'!$C$3),KPI!HU18,AND($C$2="Lost Time Incident Frequency",'Table(related to graph)'!$C$3='List(to hide)'!$C$4),KPI!HU20)</f>
        <v>#N/A</v>
      </c>
      <c r="HT12" s="37" t="e" cm="1">
        <f t="array" ref="HT12">_xlfn.IFS(AND($C$2="Lost Time Incident Frequency",'Table(related to graph)'!$C$3="Monthly"),KPI!HV16,AND($C$2="Lost Time Incident Frequency",'Table(related to graph)'!$C$3='List(to hide)'!$C$3),KPI!HV18,AND($C$2="Lost Time Incident Frequency",'Table(related to graph)'!$C$3='List(to hide)'!$C$4),KPI!HV20)</f>
        <v>#N/A</v>
      </c>
      <c r="HU12" s="37" t="e" cm="1">
        <f t="array" ref="HU12">_xlfn.IFS(AND($C$2="Lost Time Incident Frequency",'Table(related to graph)'!$C$3="Monthly"),KPI!HW16,AND($C$2="Lost Time Incident Frequency",'Table(related to graph)'!$C$3='List(to hide)'!$C$3),KPI!HW18,AND($C$2="Lost Time Incident Frequency",'Table(related to graph)'!$C$3='List(to hide)'!$C$4),KPI!HW20)</f>
        <v>#N/A</v>
      </c>
      <c r="HV12" s="37" t="e" cm="1">
        <f t="array" ref="HV12">_xlfn.IFS(AND($C$2="Lost Time Incident Frequency",'Table(related to graph)'!$C$3="Monthly"),KPI!HX16,AND($C$2="Lost Time Incident Frequency",'Table(related to graph)'!$C$3='List(to hide)'!$C$3),KPI!HX18,AND($C$2="Lost Time Incident Frequency",'Table(related to graph)'!$C$3='List(to hide)'!$C$4),KPI!HX20)</f>
        <v>#N/A</v>
      </c>
      <c r="HW12" s="37" t="e" cm="1">
        <f t="array" ref="HW12">_xlfn.IFS(AND($C$2="Lost Time Incident Frequency",'Table(related to graph)'!$C$3="Monthly"),KPI!HY16,AND($C$2="Lost Time Incident Frequency",'Table(related to graph)'!$C$3='List(to hide)'!$C$3),KPI!HY18,AND($C$2="Lost Time Incident Frequency",'Table(related to graph)'!$C$3='List(to hide)'!$C$4),KPI!HY20)</f>
        <v>#N/A</v>
      </c>
      <c r="HX12" s="37" t="e" cm="1">
        <f t="array" ref="HX12">_xlfn.IFS(AND($C$2="Lost Time Incident Frequency",'Table(related to graph)'!$C$3="Monthly"),KPI!HZ16,AND($C$2="Lost Time Incident Frequency",'Table(related to graph)'!$C$3='List(to hide)'!$C$3),KPI!HZ18,AND($C$2="Lost Time Incident Frequency",'Table(related to graph)'!$C$3='List(to hide)'!$C$4),KPI!HZ20)</f>
        <v>#N/A</v>
      </c>
      <c r="HY12" s="37" t="e" cm="1">
        <f t="array" ref="HY12">_xlfn.IFS(AND($C$2="Lost Time Incident Frequency",'Table(related to graph)'!$C$3="Monthly"),KPI!IA16,AND($C$2="Lost Time Incident Frequency",'Table(related to graph)'!$C$3='List(to hide)'!$C$3),KPI!IA18,AND($C$2="Lost Time Incident Frequency",'Table(related to graph)'!$C$3='List(to hide)'!$C$4),KPI!IA20)</f>
        <v>#N/A</v>
      </c>
      <c r="HZ12" s="37" t="e" cm="1">
        <f t="array" ref="HZ12">_xlfn.IFS(AND($C$2="Lost Time Incident Frequency",'Table(related to graph)'!$C$3="Monthly"),KPI!IB16,AND($C$2="Lost Time Incident Frequency",'Table(related to graph)'!$C$3='List(to hide)'!$C$3),KPI!IB18,AND($C$2="Lost Time Incident Frequency",'Table(related to graph)'!$C$3='List(to hide)'!$C$4),KPI!IB20)</f>
        <v>#N/A</v>
      </c>
      <c r="IA12" s="37" t="e" cm="1">
        <f t="array" ref="IA12">_xlfn.IFS(AND($C$2="Lost Time Incident Frequency",'Table(related to graph)'!$C$3="Monthly"),KPI!IC16,AND($C$2="Lost Time Incident Frequency",'Table(related to graph)'!$C$3='List(to hide)'!$C$3),KPI!IC18,AND($C$2="Lost Time Incident Frequency",'Table(related to graph)'!$C$3='List(to hide)'!$C$4),KPI!IC20)</f>
        <v>#N/A</v>
      </c>
      <c r="IB12" s="37" t="e" cm="1">
        <f t="array" ref="IB12">_xlfn.IFS(AND($C$2="Lost Time Incident Frequency",'Table(related to graph)'!$C$3="Monthly"),KPI!ID16,AND($C$2="Lost Time Incident Frequency",'Table(related to graph)'!$C$3='List(to hide)'!$C$3),KPI!ID18,AND($C$2="Lost Time Incident Frequency",'Table(related to graph)'!$C$3='List(to hide)'!$C$4),KPI!ID20)</f>
        <v>#N/A</v>
      </c>
      <c r="IC12" s="37" t="e" cm="1">
        <f t="array" ref="IC12">_xlfn.IFS(AND($C$2="Lost Time Incident Frequency",'Table(related to graph)'!$C$3="Monthly"),KPI!IE16,AND($C$2="Lost Time Incident Frequency",'Table(related to graph)'!$C$3='List(to hide)'!$C$3),KPI!IE18,AND($C$2="Lost Time Incident Frequency",'Table(related to graph)'!$C$3='List(to hide)'!$C$4),KPI!IE20)</f>
        <v>#N/A</v>
      </c>
      <c r="ID12" s="37" t="e" cm="1">
        <f t="array" ref="ID12">_xlfn.IFS(AND($C$2="Lost Time Incident Frequency",'Table(related to graph)'!$C$3="Monthly"),KPI!IF16,AND($C$2="Lost Time Incident Frequency",'Table(related to graph)'!$C$3='List(to hide)'!$C$3),KPI!IF18,AND($C$2="Lost Time Incident Frequency",'Table(related to graph)'!$C$3='List(to hide)'!$C$4),KPI!IF20)</f>
        <v>#N/A</v>
      </c>
      <c r="IE12" s="37" t="e" cm="1">
        <f t="array" ref="IE12">_xlfn.IFS(AND($C$2="Lost Time Incident Frequency",'Table(related to graph)'!$C$3="Monthly"),KPI!IG16,AND($C$2="Lost Time Incident Frequency",'Table(related to graph)'!$C$3='List(to hide)'!$C$3),KPI!IG18,AND($C$2="Lost Time Incident Frequency",'Table(related to graph)'!$C$3='List(to hide)'!$C$4),KPI!IG20)</f>
        <v>#N/A</v>
      </c>
      <c r="IF12" s="37" t="e" cm="1">
        <f t="array" ref="IF12">_xlfn.IFS(AND($C$2="Lost Time Incident Frequency",'Table(related to graph)'!$C$3="Monthly"),KPI!IH16,AND($C$2="Lost Time Incident Frequency",'Table(related to graph)'!$C$3='List(to hide)'!$C$3),KPI!IH18,AND($C$2="Lost Time Incident Frequency",'Table(related to graph)'!$C$3='List(to hide)'!$C$4),KPI!IH20)</f>
        <v>#N/A</v>
      </c>
      <c r="IG12" s="37" t="e" cm="1">
        <f t="array" ref="IG12">_xlfn.IFS(AND($C$2="Lost Time Incident Frequency",'Table(related to graph)'!$C$3="Monthly"),KPI!II16,AND($C$2="Lost Time Incident Frequency",'Table(related to graph)'!$C$3='List(to hide)'!$C$3),KPI!II18,AND($C$2="Lost Time Incident Frequency",'Table(related to graph)'!$C$3='List(to hide)'!$C$4),KPI!II20)</f>
        <v>#N/A</v>
      </c>
      <c r="IH12" s="37" t="e" cm="1">
        <f t="array" ref="IH12">_xlfn.IFS(AND($C$2="Lost Time Incident Frequency",'Table(related to graph)'!$C$3="Monthly"),KPI!IJ16,AND($C$2="Lost Time Incident Frequency",'Table(related to graph)'!$C$3='List(to hide)'!$C$3),KPI!IJ18,AND($C$2="Lost Time Incident Frequency",'Table(related to graph)'!$C$3='List(to hide)'!$C$4),KPI!IJ20)</f>
        <v>#N/A</v>
      </c>
      <c r="II12" s="37" t="e" cm="1">
        <f t="array" ref="II12">_xlfn.IFS(AND($C$2="Lost Time Incident Frequency",'Table(related to graph)'!$C$3="Monthly"),KPI!IK16,AND($C$2="Lost Time Incident Frequency",'Table(related to graph)'!$C$3='List(to hide)'!$C$3),KPI!IK18,AND($C$2="Lost Time Incident Frequency",'Table(related to graph)'!$C$3='List(to hide)'!$C$4),KPI!IK20)</f>
        <v>#N/A</v>
      </c>
      <c r="IJ12" s="37" t="e" cm="1">
        <f t="array" ref="IJ12">_xlfn.IFS(AND($C$2="Lost Time Incident Frequency",'Table(related to graph)'!$C$3="Monthly"),KPI!IL16,AND($C$2="Lost Time Incident Frequency",'Table(related to graph)'!$C$3='List(to hide)'!$C$3),KPI!IL18,AND($C$2="Lost Time Incident Frequency",'Table(related to graph)'!$C$3='List(to hide)'!$C$4),KPI!IL20)</f>
        <v>#N/A</v>
      </c>
      <c r="IK12" s="37" t="e" cm="1">
        <f t="array" ref="IK12">_xlfn.IFS(AND($C$2="Lost Time Incident Frequency",'Table(related to graph)'!$C$3="Monthly"),KPI!IM16,AND($C$2="Lost Time Incident Frequency",'Table(related to graph)'!$C$3='List(to hide)'!$C$3),KPI!IM18,AND($C$2="Lost Time Incident Frequency",'Table(related to graph)'!$C$3='List(to hide)'!$C$4),KPI!IM20)</f>
        <v>#N/A</v>
      </c>
      <c r="IL12" s="37" t="e" cm="1">
        <f t="array" ref="IL12">_xlfn.IFS(AND($C$2="Lost Time Incident Frequency",'Table(related to graph)'!$C$3="Monthly"),KPI!IN16,AND($C$2="Lost Time Incident Frequency",'Table(related to graph)'!$C$3='List(to hide)'!$C$3),KPI!IN18,AND($C$2="Lost Time Incident Frequency",'Table(related to graph)'!$C$3='List(to hide)'!$C$4),KPI!IN20)</f>
        <v>#N/A</v>
      </c>
      <c r="IM12" s="37" t="e" cm="1">
        <f t="array" ref="IM12">_xlfn.IFS(AND($C$2="Lost Time Incident Frequency",'Table(related to graph)'!$C$3="Monthly"),KPI!IO16,AND($C$2="Lost Time Incident Frequency",'Table(related to graph)'!$C$3='List(to hide)'!$C$3),KPI!IO18,AND($C$2="Lost Time Incident Frequency",'Table(related to graph)'!$C$3='List(to hide)'!$C$4),KPI!IO20)</f>
        <v>#N/A</v>
      </c>
      <c r="IN12" s="37" t="e" cm="1">
        <f t="array" ref="IN12">_xlfn.IFS(AND($C$2="Lost Time Incident Frequency",'Table(related to graph)'!$C$3="Monthly"),KPI!IP16,AND($C$2="Lost Time Incident Frequency",'Table(related to graph)'!$C$3='List(to hide)'!$C$3),KPI!IP18,AND($C$2="Lost Time Incident Frequency",'Table(related to graph)'!$C$3='List(to hide)'!$C$4),KPI!IP20)</f>
        <v>#N/A</v>
      </c>
      <c r="IO12" s="37" t="e" cm="1">
        <f t="array" ref="IO12">_xlfn.IFS(AND($C$2="Lost Time Incident Frequency",'Table(related to graph)'!$C$3="Monthly"),KPI!IQ16,AND($C$2="Lost Time Incident Frequency",'Table(related to graph)'!$C$3='List(to hide)'!$C$3),KPI!IQ18,AND($C$2="Lost Time Incident Frequency",'Table(related to graph)'!$C$3='List(to hide)'!$C$4),KPI!IQ20)</f>
        <v>#N/A</v>
      </c>
      <c r="IP12" s="37" t="e" cm="1">
        <f t="array" ref="IP12">_xlfn.IFS(AND($C$2="Lost Time Incident Frequency",'Table(related to graph)'!$C$3="Monthly"),KPI!IR16,AND($C$2="Lost Time Incident Frequency",'Table(related to graph)'!$C$3='List(to hide)'!$C$3),KPI!IR18,AND($C$2="Lost Time Incident Frequency",'Table(related to graph)'!$C$3='List(to hide)'!$C$4),KPI!IR20)</f>
        <v>#N/A</v>
      </c>
      <c r="IQ12" s="37" t="e" cm="1">
        <f t="array" ref="IQ12">_xlfn.IFS(AND($C$2="Lost Time Incident Frequency",'Table(related to graph)'!$C$3="Monthly"),KPI!IS16,AND($C$2="Lost Time Incident Frequency",'Table(related to graph)'!$C$3='List(to hide)'!$C$3),KPI!IS18,AND($C$2="Lost Time Incident Frequency",'Table(related to graph)'!$C$3='List(to hide)'!$C$4),KPI!IS20)</f>
        <v>#N/A</v>
      </c>
      <c r="IR12" s="37" t="e" cm="1">
        <f t="array" ref="IR12">_xlfn.IFS(AND($C$2="Lost Time Incident Frequency",'Table(related to graph)'!$C$3="Monthly"),KPI!IT16,AND($C$2="Lost Time Incident Frequency",'Table(related to graph)'!$C$3='List(to hide)'!$C$3),KPI!IT18,AND($C$2="Lost Time Incident Frequency",'Table(related to graph)'!$C$3='List(to hide)'!$C$4),KPI!IT20)</f>
        <v>#N/A</v>
      </c>
      <c r="IS12" s="37" t="e" cm="1">
        <f t="array" ref="IS12">_xlfn.IFS(AND($C$2="Lost Time Incident Frequency",'Table(related to graph)'!$C$3="Monthly"),KPI!IU16,AND($C$2="Lost Time Incident Frequency",'Table(related to graph)'!$C$3='List(to hide)'!$C$3),KPI!IU18,AND($C$2="Lost Time Incident Frequency",'Table(related to graph)'!$C$3='List(to hide)'!$C$4),KPI!IU20)</f>
        <v>#N/A</v>
      </c>
      <c r="IT12" s="37" t="e" cm="1">
        <f t="array" ref="IT12">_xlfn.IFS(AND($C$2="Lost Time Incident Frequency",'Table(related to graph)'!$C$3="Monthly"),KPI!IV16,AND($C$2="Lost Time Incident Frequency",'Table(related to graph)'!$C$3='List(to hide)'!$C$3),KPI!IV18,AND($C$2="Lost Time Incident Frequency",'Table(related to graph)'!$C$3='List(to hide)'!$C$4),KPI!IV20)</f>
        <v>#N/A</v>
      </c>
      <c r="IU12" s="37" t="e" cm="1">
        <f t="array" ref="IU12">_xlfn.IFS(AND($C$2="Lost Time Incident Frequency",'Table(related to graph)'!$C$3="Monthly"),KPI!IW16,AND($C$2="Lost Time Incident Frequency",'Table(related to graph)'!$C$3='List(to hide)'!$C$3),KPI!IW18,AND($C$2="Lost Time Incident Frequency",'Table(related to graph)'!$C$3='List(to hide)'!$C$4),KPI!IW20)</f>
        <v>#N/A</v>
      </c>
      <c r="IV12" s="37" t="e" cm="1">
        <f t="array" ref="IV12">_xlfn.IFS(AND($C$2="Lost Time Incident Frequency",'Table(related to graph)'!$C$3="Monthly"),KPI!IX16,AND($C$2="Lost Time Incident Frequency",'Table(related to graph)'!$C$3='List(to hide)'!$C$3),KPI!IX18,AND($C$2="Lost Time Incident Frequency",'Table(related to graph)'!$C$3='List(to hide)'!$C$4),KPI!IX20)</f>
        <v>#N/A</v>
      </c>
      <c r="IW12" s="37" t="e" cm="1">
        <f t="array" ref="IW12">_xlfn.IFS(AND($C$2="Lost Time Incident Frequency",'Table(related to graph)'!$C$3="Monthly"),KPI!IY16,AND($C$2="Lost Time Incident Frequency",'Table(related to graph)'!$C$3='List(to hide)'!$C$3),KPI!IY18,AND($C$2="Lost Time Incident Frequency",'Table(related to graph)'!$C$3='List(to hide)'!$C$4),KPI!IY20)</f>
        <v>#N/A</v>
      </c>
      <c r="IX12" s="37" t="e" cm="1">
        <f t="array" ref="IX12">_xlfn.IFS(AND($C$2="Lost Time Incident Frequency",'Table(related to graph)'!$C$3="Monthly"),KPI!IZ16,AND($C$2="Lost Time Incident Frequency",'Table(related to graph)'!$C$3='List(to hide)'!$C$3),KPI!IZ18,AND($C$2="Lost Time Incident Frequency",'Table(related to graph)'!$C$3='List(to hide)'!$C$4),KPI!IZ20)</f>
        <v>#N/A</v>
      </c>
      <c r="IY12" s="37" t="e" cm="1">
        <f t="array" ref="IY12">_xlfn.IFS(AND($C$2="Lost Time Incident Frequency",'Table(related to graph)'!$C$3="Monthly"),KPI!JA16,AND($C$2="Lost Time Incident Frequency",'Table(related to graph)'!$C$3='List(to hide)'!$C$3),KPI!JA18,AND($C$2="Lost Time Incident Frequency",'Table(related to graph)'!$C$3='List(to hide)'!$C$4),KPI!JA20)</f>
        <v>#N/A</v>
      </c>
      <c r="IZ12" s="37" t="e" cm="1">
        <f t="array" ref="IZ12">_xlfn.IFS(AND($C$2="Lost Time Incident Frequency",'Table(related to graph)'!$C$3="Monthly"),KPI!JB16,AND($C$2="Lost Time Incident Frequency",'Table(related to graph)'!$C$3='List(to hide)'!$C$3),KPI!JB18,AND($C$2="Lost Time Incident Frequency",'Table(related to graph)'!$C$3='List(to hide)'!$C$4),KPI!JB20)</f>
        <v>#N/A</v>
      </c>
      <c r="JA12" s="37" t="e" cm="1">
        <f t="array" ref="JA12">_xlfn.IFS(AND($C$2="Lost Time Incident Frequency",'Table(related to graph)'!$C$3="Monthly"),KPI!JC16,AND($C$2="Lost Time Incident Frequency",'Table(related to graph)'!$C$3='List(to hide)'!$C$3),KPI!JC18,AND($C$2="Lost Time Incident Frequency",'Table(related to graph)'!$C$3='List(to hide)'!$C$4),KPI!JC20)</f>
        <v>#N/A</v>
      </c>
      <c r="JB12" s="37" t="e" cm="1">
        <f t="array" ref="JB12">_xlfn.IFS(AND($C$2="Lost Time Incident Frequency",'Table(related to graph)'!$C$3="Monthly"),KPI!JD16,AND($C$2="Lost Time Incident Frequency",'Table(related to graph)'!$C$3='List(to hide)'!$C$3),KPI!JD18,AND($C$2="Lost Time Incident Frequency",'Table(related to graph)'!$C$3='List(to hide)'!$C$4),KPI!JD20)</f>
        <v>#N/A</v>
      </c>
      <c r="JC12" s="37" t="e" cm="1">
        <f t="array" ref="JC12">_xlfn.IFS(AND($C$2="Lost Time Incident Frequency",'Table(related to graph)'!$C$3="Monthly"),KPI!JE16,AND($C$2="Lost Time Incident Frequency",'Table(related to graph)'!$C$3='List(to hide)'!$C$3),KPI!JE18,AND($C$2="Lost Time Incident Frequency",'Table(related to graph)'!$C$3='List(to hide)'!$C$4),KPI!JE20)</f>
        <v>#N/A</v>
      </c>
      <c r="JD12" s="37" t="e" cm="1">
        <f t="array" ref="JD12">_xlfn.IFS(AND($C$2="Lost Time Incident Frequency",'Table(related to graph)'!$C$3="Monthly"),KPI!JF16,AND($C$2="Lost Time Incident Frequency",'Table(related to graph)'!$C$3='List(to hide)'!$C$3),KPI!JF18,AND($C$2="Lost Time Incident Frequency",'Table(related to graph)'!$C$3='List(to hide)'!$C$4),KPI!JF20)</f>
        <v>#N/A</v>
      </c>
      <c r="JE12" s="37" t="e" cm="1">
        <f t="array" ref="JE12">_xlfn.IFS(AND($C$2="Lost Time Incident Frequency",'Table(related to graph)'!$C$3="Monthly"),KPI!JG16,AND($C$2="Lost Time Incident Frequency",'Table(related to graph)'!$C$3='List(to hide)'!$C$3),KPI!JG18,AND($C$2="Lost Time Incident Frequency",'Table(related to graph)'!$C$3='List(to hide)'!$C$4),KPI!JG20)</f>
        <v>#N/A</v>
      </c>
      <c r="JF12" s="37" t="e" cm="1">
        <f t="array" ref="JF12">_xlfn.IFS(AND($C$2="Lost Time Incident Frequency",'Table(related to graph)'!$C$3="Monthly"),KPI!JH16,AND($C$2="Lost Time Incident Frequency",'Table(related to graph)'!$C$3='List(to hide)'!$C$3),KPI!JH18,AND($C$2="Lost Time Incident Frequency",'Table(related to graph)'!$C$3='List(to hide)'!$C$4),KPI!JH20)</f>
        <v>#N/A</v>
      </c>
      <c r="JG12" s="37" t="e" cm="1">
        <f t="array" ref="JG12">_xlfn.IFS(AND($C$2="Lost Time Incident Frequency",'Table(related to graph)'!$C$3="Monthly"),KPI!JI16,AND($C$2="Lost Time Incident Frequency",'Table(related to graph)'!$C$3='List(to hide)'!$C$3),KPI!JI18,AND($C$2="Lost Time Incident Frequency",'Table(related to graph)'!$C$3='List(to hide)'!$C$4),KPI!JI20)</f>
        <v>#N/A</v>
      </c>
      <c r="JH12" s="37" t="e" cm="1">
        <f t="array" ref="JH12">_xlfn.IFS(AND($C$2="Lost Time Incident Frequency",'Table(related to graph)'!$C$3="Monthly"),KPI!JJ16,AND($C$2="Lost Time Incident Frequency",'Table(related to graph)'!$C$3='List(to hide)'!$C$3),KPI!JJ18,AND($C$2="Lost Time Incident Frequency",'Table(related to graph)'!$C$3='List(to hide)'!$C$4),KPI!JJ20)</f>
        <v>#N/A</v>
      </c>
      <c r="JI12" s="37" t="e" cm="1">
        <f t="array" ref="JI12">_xlfn.IFS(AND($C$2="Lost Time Incident Frequency",'Table(related to graph)'!$C$3="Monthly"),KPI!JK16,AND($C$2="Lost Time Incident Frequency",'Table(related to graph)'!$C$3='List(to hide)'!$C$3),KPI!JK18,AND($C$2="Lost Time Incident Frequency",'Table(related to graph)'!$C$3='List(to hide)'!$C$4),KPI!JK20)</f>
        <v>#N/A</v>
      </c>
      <c r="JJ12" s="37" t="e" cm="1">
        <f t="array" ref="JJ12">_xlfn.IFS(AND($C$2="Lost Time Incident Frequency",'Table(related to graph)'!$C$3="Monthly"),KPI!JL16,AND($C$2="Lost Time Incident Frequency",'Table(related to graph)'!$C$3='List(to hide)'!$C$3),KPI!JL18,AND($C$2="Lost Time Incident Frequency",'Table(related to graph)'!$C$3='List(to hide)'!$C$4),KPI!JL20)</f>
        <v>#N/A</v>
      </c>
      <c r="JK12" s="37" t="e" cm="1">
        <f t="array" ref="JK12">_xlfn.IFS(AND($C$2="Lost Time Incident Frequency",'Table(related to graph)'!$C$3="Monthly"),KPI!JM16,AND($C$2="Lost Time Incident Frequency",'Table(related to graph)'!$C$3='List(to hide)'!$C$3),KPI!JM18,AND($C$2="Lost Time Incident Frequency",'Table(related to graph)'!$C$3='List(to hide)'!$C$4),KPI!JM20)</f>
        <v>#N/A</v>
      </c>
      <c r="JL12" s="37" t="e" cm="1">
        <f t="array" ref="JL12">_xlfn.IFS(AND($C$2="Lost Time Incident Frequency",'Table(related to graph)'!$C$3="Monthly"),KPI!JN16,AND($C$2="Lost Time Incident Frequency",'Table(related to graph)'!$C$3='List(to hide)'!$C$3),KPI!JN18,AND($C$2="Lost Time Incident Frequency",'Table(related to graph)'!$C$3='List(to hide)'!$C$4),KPI!JN20)</f>
        <v>#N/A</v>
      </c>
      <c r="JM12" s="37" t="e" cm="1">
        <f t="array" ref="JM12">_xlfn.IFS(AND($C$2="Lost Time Incident Frequency",'Table(related to graph)'!$C$3="Monthly"),KPI!JO16,AND($C$2="Lost Time Incident Frequency",'Table(related to graph)'!$C$3='List(to hide)'!$C$3),KPI!JO18,AND($C$2="Lost Time Incident Frequency",'Table(related to graph)'!$C$3='List(to hide)'!$C$4),KPI!JO20)</f>
        <v>#N/A</v>
      </c>
      <c r="JN12" s="37" t="e" cm="1">
        <f t="array" ref="JN12">_xlfn.IFS(AND($C$2="Lost Time Incident Frequency",'Table(related to graph)'!$C$3="Monthly"),KPI!JP16,AND($C$2="Lost Time Incident Frequency",'Table(related to graph)'!$C$3='List(to hide)'!$C$3),KPI!JP18,AND($C$2="Lost Time Incident Frequency",'Table(related to graph)'!$C$3='List(to hide)'!$C$4),KPI!JP20)</f>
        <v>#N/A</v>
      </c>
      <c r="JO12" s="37" t="e" cm="1">
        <f t="array" ref="JO12">_xlfn.IFS(AND($C$2="Lost Time Incident Frequency",'Table(related to graph)'!$C$3="Monthly"),KPI!JQ16,AND($C$2="Lost Time Incident Frequency",'Table(related to graph)'!$C$3='List(to hide)'!$C$3),KPI!JQ18,AND($C$2="Lost Time Incident Frequency",'Table(related to graph)'!$C$3='List(to hide)'!$C$4),KPI!JQ20)</f>
        <v>#N/A</v>
      </c>
      <c r="JP12" s="37" t="e" cm="1">
        <f t="array" ref="JP12">_xlfn.IFS(AND($C$2="Lost Time Incident Frequency",'Table(related to graph)'!$C$3="Monthly"),KPI!JR16,AND($C$2="Lost Time Incident Frequency",'Table(related to graph)'!$C$3='List(to hide)'!$C$3),KPI!JR18,AND($C$2="Lost Time Incident Frequency",'Table(related to graph)'!$C$3='List(to hide)'!$C$4),KPI!JR20)</f>
        <v>#N/A</v>
      </c>
      <c r="JQ12" s="37" t="e" cm="1">
        <f t="array" ref="JQ12">_xlfn.IFS(AND($C$2="Lost Time Incident Frequency",'Table(related to graph)'!$C$3="Monthly"),KPI!JS16,AND($C$2="Lost Time Incident Frequency",'Table(related to graph)'!$C$3='List(to hide)'!$C$3),KPI!JS18,AND($C$2="Lost Time Incident Frequency",'Table(related to graph)'!$C$3='List(to hide)'!$C$4),KPI!JS20)</f>
        <v>#N/A</v>
      </c>
      <c r="JR12" s="37" t="e" cm="1">
        <f t="array" ref="JR12">_xlfn.IFS(AND($C$2="Lost Time Incident Frequency",'Table(related to graph)'!$C$3="Monthly"),KPI!JT16,AND($C$2="Lost Time Incident Frequency",'Table(related to graph)'!$C$3='List(to hide)'!$C$3),KPI!JT18,AND($C$2="Lost Time Incident Frequency",'Table(related to graph)'!$C$3='List(to hide)'!$C$4),KPI!JT20)</f>
        <v>#N/A</v>
      </c>
      <c r="JS12" s="37" t="e" cm="1">
        <f t="array" ref="JS12">_xlfn.IFS(AND($C$2="Lost Time Incident Frequency",'Table(related to graph)'!$C$3="Monthly"),KPI!JU16,AND($C$2="Lost Time Incident Frequency",'Table(related to graph)'!$C$3='List(to hide)'!$C$3),KPI!JU18,AND($C$2="Lost Time Incident Frequency",'Table(related to graph)'!$C$3='List(to hide)'!$C$4),KPI!JU20)</f>
        <v>#N/A</v>
      </c>
      <c r="JT12" s="37" t="e" cm="1">
        <f t="array" ref="JT12">_xlfn.IFS(AND($C$2="Lost Time Incident Frequency",'Table(related to graph)'!$C$3="Monthly"),KPI!JV16,AND($C$2="Lost Time Incident Frequency",'Table(related to graph)'!$C$3='List(to hide)'!$C$3),KPI!JV18,AND($C$2="Lost Time Incident Frequency",'Table(related to graph)'!$C$3='List(to hide)'!$C$4),KPI!JV20)</f>
        <v>#N/A</v>
      </c>
      <c r="JU12" s="37" t="e" cm="1">
        <f t="array" ref="JU12">_xlfn.IFS(AND($C$2="Lost Time Incident Frequency",'Table(related to graph)'!$C$3="Monthly"),KPI!JW16,AND($C$2="Lost Time Incident Frequency",'Table(related to graph)'!$C$3='List(to hide)'!$C$3),KPI!JW18,AND($C$2="Lost Time Incident Frequency",'Table(related to graph)'!$C$3='List(to hide)'!$C$4),KPI!JW20)</f>
        <v>#N/A</v>
      </c>
      <c r="JV12" s="37" t="e" cm="1">
        <f t="array" ref="JV12">_xlfn.IFS(AND($C$2="Lost Time Incident Frequency",'Table(related to graph)'!$C$3="Monthly"),KPI!JX16,AND($C$2="Lost Time Incident Frequency",'Table(related to graph)'!$C$3='List(to hide)'!$C$3),KPI!JX18,AND($C$2="Lost Time Incident Frequency",'Table(related to graph)'!$C$3='List(to hide)'!$C$4),KPI!JX20)</f>
        <v>#N/A</v>
      </c>
      <c r="JW12" s="37" t="e" cm="1">
        <f t="array" ref="JW12">_xlfn.IFS(AND($C$2="Lost Time Incident Frequency",'Table(related to graph)'!$C$3="Monthly"),KPI!JY16,AND($C$2="Lost Time Incident Frequency",'Table(related to graph)'!$C$3='List(to hide)'!$C$3),KPI!JY18,AND($C$2="Lost Time Incident Frequency",'Table(related to graph)'!$C$3='List(to hide)'!$C$4),KPI!JY20)</f>
        <v>#N/A</v>
      </c>
      <c r="JX12" s="37" t="e" cm="1">
        <f t="array" ref="JX12">_xlfn.IFS(AND($C$2="Lost Time Incident Frequency",'Table(related to graph)'!$C$3="Monthly"),KPI!JZ16,AND($C$2="Lost Time Incident Frequency",'Table(related to graph)'!$C$3='List(to hide)'!$C$3),KPI!JZ18,AND($C$2="Lost Time Incident Frequency",'Table(related to graph)'!$C$3='List(to hide)'!$C$4),KPI!JZ20)</f>
        <v>#N/A</v>
      </c>
      <c r="JY12" s="37" t="e" cm="1">
        <f t="array" ref="JY12">_xlfn.IFS(AND($C$2="Lost Time Incident Frequency",'Table(related to graph)'!$C$3="Monthly"),KPI!KA16,AND($C$2="Lost Time Incident Frequency",'Table(related to graph)'!$C$3='List(to hide)'!$C$3),KPI!KA18,AND($C$2="Lost Time Incident Frequency",'Table(related to graph)'!$C$3='List(to hide)'!$C$4),KPI!KA20)</f>
        <v>#N/A</v>
      </c>
      <c r="JZ12" s="37" t="e" cm="1">
        <f t="array" ref="JZ12">_xlfn.IFS(AND($C$2="Lost Time Incident Frequency",'Table(related to graph)'!$C$3="Monthly"),KPI!KB16,AND($C$2="Lost Time Incident Frequency",'Table(related to graph)'!$C$3='List(to hide)'!$C$3),KPI!KB18,AND($C$2="Lost Time Incident Frequency",'Table(related to graph)'!$C$3='List(to hide)'!$C$4),KPI!KB20)</f>
        <v>#N/A</v>
      </c>
      <c r="KA12" s="37" t="e" cm="1">
        <f t="array" ref="KA12">_xlfn.IFS(AND($C$2="Lost Time Incident Frequency",'Table(related to graph)'!$C$3="Monthly"),KPI!KC16,AND($C$2="Lost Time Incident Frequency",'Table(related to graph)'!$C$3='List(to hide)'!$C$3),KPI!KC18,AND($C$2="Lost Time Incident Frequency",'Table(related to graph)'!$C$3='List(to hide)'!$C$4),KPI!KC20)</f>
        <v>#N/A</v>
      </c>
      <c r="KB12" s="37" t="e" cm="1">
        <f t="array" ref="KB12">_xlfn.IFS(AND($C$2="Lost Time Incident Frequency",'Table(related to graph)'!$C$3="Monthly"),KPI!KD16,AND($C$2="Lost Time Incident Frequency",'Table(related to graph)'!$C$3='List(to hide)'!$C$3),KPI!KD18,AND($C$2="Lost Time Incident Frequency",'Table(related to graph)'!$C$3='List(to hide)'!$C$4),KPI!KD20)</f>
        <v>#N/A</v>
      </c>
      <c r="KC12" s="37" t="e" cm="1">
        <f t="array" ref="KC12">_xlfn.IFS(AND($C$2="Lost Time Incident Frequency",'Table(related to graph)'!$C$3="Monthly"),KPI!KE16,AND($C$2="Lost Time Incident Frequency",'Table(related to graph)'!$C$3='List(to hide)'!$C$3),KPI!KE18,AND($C$2="Lost Time Incident Frequency",'Table(related to graph)'!$C$3='List(to hide)'!$C$4),KPI!KE20)</f>
        <v>#N/A</v>
      </c>
      <c r="KD12" s="37" t="e" cm="1">
        <f t="array" ref="KD12">_xlfn.IFS(AND($C$2="Lost Time Incident Frequency",'Table(related to graph)'!$C$3="Monthly"),KPI!KF16,AND($C$2="Lost Time Incident Frequency",'Table(related to graph)'!$C$3='List(to hide)'!$C$3),KPI!KF18,AND($C$2="Lost Time Incident Frequency",'Table(related to graph)'!$C$3='List(to hide)'!$C$4),KPI!KF20)</f>
        <v>#N/A</v>
      </c>
      <c r="KE12" s="37" t="e" cm="1">
        <f t="array" ref="KE12">_xlfn.IFS(AND($C$2="Lost Time Incident Frequency",'Table(related to graph)'!$C$3="Monthly"),KPI!KG16,AND($C$2="Lost Time Incident Frequency",'Table(related to graph)'!$C$3='List(to hide)'!$C$3),KPI!KG18,AND($C$2="Lost Time Incident Frequency",'Table(related to graph)'!$C$3='List(to hide)'!$C$4),KPI!KG20)</f>
        <v>#N/A</v>
      </c>
      <c r="KF12" s="37" t="e" cm="1">
        <f t="array" ref="KF12">_xlfn.IFS(AND($C$2="Lost Time Incident Frequency",'Table(related to graph)'!$C$3="Monthly"),KPI!KH16,AND($C$2="Lost Time Incident Frequency",'Table(related to graph)'!$C$3='List(to hide)'!$C$3),KPI!KH18,AND($C$2="Lost Time Incident Frequency",'Table(related to graph)'!$C$3='List(to hide)'!$C$4),KPI!KH20)</f>
        <v>#N/A</v>
      </c>
      <c r="KG12" s="37" t="e" cm="1">
        <f t="array" ref="KG12">_xlfn.IFS(AND($C$2="Lost Time Incident Frequency",'Table(related to graph)'!$C$3="Monthly"),KPI!KI16,AND($C$2="Lost Time Incident Frequency",'Table(related to graph)'!$C$3='List(to hide)'!$C$3),KPI!KI18,AND($C$2="Lost Time Incident Frequency",'Table(related to graph)'!$C$3='List(to hide)'!$C$4),KPI!KI20)</f>
        <v>#N/A</v>
      </c>
      <c r="KH12" s="37" t="e" cm="1">
        <f t="array" ref="KH12">_xlfn.IFS(AND($C$2="Lost Time Incident Frequency",'Table(related to graph)'!$C$3="Monthly"),KPI!KJ16,AND($C$2="Lost Time Incident Frequency",'Table(related to graph)'!$C$3='List(to hide)'!$C$3),KPI!KJ18,AND($C$2="Lost Time Incident Frequency",'Table(related to graph)'!$C$3='List(to hide)'!$C$4),KPI!KJ20)</f>
        <v>#N/A</v>
      </c>
      <c r="KI12" s="37" t="e" cm="1">
        <f t="array" ref="KI12">_xlfn.IFS(AND($C$2="Lost Time Incident Frequency",'Table(related to graph)'!$C$3="Monthly"),KPI!KK16,AND($C$2="Lost Time Incident Frequency",'Table(related to graph)'!$C$3='List(to hide)'!$C$3),KPI!KK18,AND($C$2="Lost Time Incident Frequency",'Table(related to graph)'!$C$3='List(to hide)'!$C$4),KPI!KK20)</f>
        <v>#N/A</v>
      </c>
      <c r="KJ12" s="37" t="e" cm="1">
        <f t="array" ref="KJ12">_xlfn.IFS(AND($C$2="Lost Time Incident Frequency",'Table(related to graph)'!$C$3="Monthly"),KPI!KL16,AND($C$2="Lost Time Incident Frequency",'Table(related to graph)'!$C$3='List(to hide)'!$C$3),KPI!KL18,AND($C$2="Lost Time Incident Frequency",'Table(related to graph)'!$C$3='List(to hide)'!$C$4),KPI!KL20)</f>
        <v>#N/A</v>
      </c>
      <c r="KK12" s="37" t="e" cm="1">
        <f t="array" ref="KK12">_xlfn.IFS(AND($C$2="Lost Time Incident Frequency",'Table(related to graph)'!$C$3="Monthly"),KPI!KM16,AND($C$2="Lost Time Incident Frequency",'Table(related to graph)'!$C$3='List(to hide)'!$C$3),KPI!KM18,AND($C$2="Lost Time Incident Frequency",'Table(related to graph)'!$C$3='List(to hide)'!$C$4),KPI!KM20)</f>
        <v>#N/A</v>
      </c>
      <c r="KL12" s="37" t="e" cm="1">
        <f t="array" ref="KL12">_xlfn.IFS(AND($C$2="Lost Time Incident Frequency",'Table(related to graph)'!$C$3="Monthly"),KPI!KN16,AND($C$2="Lost Time Incident Frequency",'Table(related to graph)'!$C$3='List(to hide)'!$C$3),KPI!KN18,AND($C$2="Lost Time Incident Frequency",'Table(related to graph)'!$C$3='List(to hide)'!$C$4),KPI!KN20)</f>
        <v>#N/A</v>
      </c>
      <c r="KM12" s="37" t="e" cm="1">
        <f t="array" ref="KM12">_xlfn.IFS(AND($C$2="Lost Time Incident Frequency",'Table(related to graph)'!$C$3="Monthly"),KPI!KO16,AND($C$2="Lost Time Incident Frequency",'Table(related to graph)'!$C$3='List(to hide)'!$C$3),KPI!KO18,AND($C$2="Lost Time Incident Frequency",'Table(related to graph)'!$C$3='List(to hide)'!$C$4),KPI!KO20)</f>
        <v>#N/A</v>
      </c>
      <c r="KN12" s="37" t="e" cm="1">
        <f t="array" ref="KN12">_xlfn.IFS(AND($C$2="Lost Time Incident Frequency",'Table(related to graph)'!$C$3="Monthly"),KPI!KP16,AND($C$2="Lost Time Incident Frequency",'Table(related to graph)'!$C$3='List(to hide)'!$C$3),KPI!KP18,AND($C$2="Lost Time Incident Frequency",'Table(related to graph)'!$C$3='List(to hide)'!$C$4),KPI!KP20)</f>
        <v>#N/A</v>
      </c>
      <c r="KO12" s="37" t="e" cm="1">
        <f t="array" ref="KO12">_xlfn.IFS(AND($C$2="Lost Time Incident Frequency",'Table(related to graph)'!$C$3="Monthly"),KPI!KQ16,AND($C$2="Lost Time Incident Frequency",'Table(related to graph)'!$C$3='List(to hide)'!$C$3),KPI!KQ18,AND($C$2="Lost Time Incident Frequency",'Table(related to graph)'!$C$3='List(to hide)'!$C$4),KPI!KQ20)</f>
        <v>#N/A</v>
      </c>
      <c r="KP12" s="37" t="e" cm="1">
        <f t="array" ref="KP12">_xlfn.IFS(AND($C$2="Lost Time Incident Frequency",'Table(related to graph)'!$C$3="Monthly"),KPI!KR16,AND($C$2="Lost Time Incident Frequency",'Table(related to graph)'!$C$3='List(to hide)'!$C$3),KPI!KR18,AND($C$2="Lost Time Incident Frequency",'Table(related to graph)'!$C$3='List(to hide)'!$C$4),KPI!KR20)</f>
        <v>#N/A</v>
      </c>
      <c r="KQ12" s="37" t="e" cm="1">
        <f t="array" ref="KQ12">_xlfn.IFS(AND($C$2="Lost Time Incident Frequency",'Table(related to graph)'!$C$3="Monthly"),KPI!KS16,AND($C$2="Lost Time Incident Frequency",'Table(related to graph)'!$C$3='List(to hide)'!$C$3),KPI!KS18,AND($C$2="Lost Time Incident Frequency",'Table(related to graph)'!$C$3='List(to hide)'!$C$4),KPI!KS20)</f>
        <v>#N/A</v>
      </c>
      <c r="KR12" s="37" t="e" cm="1">
        <f t="array" ref="KR12">_xlfn.IFS(AND($C$2="Lost Time Incident Frequency",'Table(related to graph)'!$C$3="Monthly"),KPI!KT16,AND($C$2="Lost Time Incident Frequency",'Table(related to graph)'!$C$3='List(to hide)'!$C$3),KPI!KT18,AND($C$2="Lost Time Incident Frequency",'Table(related to graph)'!$C$3='List(to hide)'!$C$4),KPI!KT20)</f>
        <v>#N/A</v>
      </c>
      <c r="KS12" s="37" t="e" cm="1">
        <f t="array" ref="KS12">_xlfn.IFS(AND($C$2="Lost Time Incident Frequency",'Table(related to graph)'!$C$3="Monthly"),KPI!KU16,AND($C$2="Lost Time Incident Frequency",'Table(related to graph)'!$C$3='List(to hide)'!$C$3),KPI!KU18,AND($C$2="Lost Time Incident Frequency",'Table(related to graph)'!$C$3='List(to hide)'!$C$4),KPI!KU20)</f>
        <v>#N/A</v>
      </c>
      <c r="KT12" s="37" t="e" cm="1">
        <f t="array" ref="KT12">_xlfn.IFS(AND($C$2="Lost Time Incident Frequency",'Table(related to graph)'!$C$3="Monthly"),KPI!KV16,AND($C$2="Lost Time Incident Frequency",'Table(related to graph)'!$C$3='List(to hide)'!$C$3),KPI!KV18,AND($C$2="Lost Time Incident Frequency",'Table(related to graph)'!$C$3='List(to hide)'!$C$4),KPI!KV20)</f>
        <v>#N/A</v>
      </c>
      <c r="KU12" s="37" t="e" cm="1">
        <f t="array" ref="KU12">_xlfn.IFS(AND($C$2="Lost Time Incident Frequency",'Table(related to graph)'!$C$3="Monthly"),KPI!KW16,AND($C$2="Lost Time Incident Frequency",'Table(related to graph)'!$C$3='List(to hide)'!$C$3),KPI!KW18,AND($C$2="Lost Time Incident Frequency",'Table(related to graph)'!$C$3='List(to hide)'!$C$4),KPI!KW20)</f>
        <v>#N/A</v>
      </c>
      <c r="KV12" s="37" t="e" cm="1">
        <f t="array" ref="KV12">_xlfn.IFS(AND($C$2="Lost Time Incident Frequency",'Table(related to graph)'!$C$3="Monthly"),KPI!KX16,AND($C$2="Lost Time Incident Frequency",'Table(related to graph)'!$C$3='List(to hide)'!$C$3),KPI!KX18,AND($C$2="Lost Time Incident Frequency",'Table(related to graph)'!$C$3='List(to hide)'!$C$4),KPI!KX20)</f>
        <v>#N/A</v>
      </c>
      <c r="KW12" s="37" t="e" cm="1">
        <f t="array" ref="KW12">_xlfn.IFS(AND($C$2="Lost Time Incident Frequency",'Table(related to graph)'!$C$3="Monthly"),KPI!KY16,AND($C$2="Lost Time Incident Frequency",'Table(related to graph)'!$C$3='List(to hide)'!$C$3),KPI!KY18,AND($C$2="Lost Time Incident Frequency",'Table(related to graph)'!$C$3='List(to hide)'!$C$4),KPI!KY20)</f>
        <v>#N/A</v>
      </c>
      <c r="KX12" s="37" t="e" cm="1">
        <f t="array" ref="KX12">_xlfn.IFS(AND($C$2="Lost Time Incident Frequency",'Table(related to graph)'!$C$3="Monthly"),KPI!KZ16,AND($C$2="Lost Time Incident Frequency",'Table(related to graph)'!$C$3='List(to hide)'!$C$3),KPI!KZ18,AND($C$2="Lost Time Incident Frequency",'Table(related to graph)'!$C$3='List(to hide)'!$C$4),KPI!KZ20)</f>
        <v>#N/A</v>
      </c>
      <c r="KY12" s="37" t="e" cm="1">
        <f t="array" ref="KY12">_xlfn.IFS(AND($C$2="Lost Time Incident Frequency",'Table(related to graph)'!$C$3="Monthly"),KPI!LA16,AND($C$2="Lost Time Incident Frequency",'Table(related to graph)'!$C$3='List(to hide)'!$C$3),KPI!LA18,AND($C$2="Lost Time Incident Frequency",'Table(related to graph)'!$C$3='List(to hide)'!$C$4),KPI!LA20)</f>
        <v>#N/A</v>
      </c>
      <c r="KZ12" s="37" t="e" cm="1">
        <f t="array" ref="KZ12">_xlfn.IFS(AND($C$2="Lost Time Incident Frequency",'Table(related to graph)'!$C$3="Monthly"),KPI!LB16,AND($C$2="Lost Time Incident Frequency",'Table(related to graph)'!$C$3='List(to hide)'!$C$3),KPI!LB18,AND($C$2="Lost Time Incident Frequency",'Table(related to graph)'!$C$3='List(to hide)'!$C$4),KPI!LB20)</f>
        <v>#N/A</v>
      </c>
      <c r="LA12" s="37" t="e" cm="1">
        <f t="array" ref="LA12">_xlfn.IFS(AND($C$2="Lost Time Incident Frequency",'Table(related to graph)'!$C$3="Monthly"),KPI!LC16,AND($C$2="Lost Time Incident Frequency",'Table(related to graph)'!$C$3='List(to hide)'!$C$3),KPI!LC18,AND($C$2="Lost Time Incident Frequency",'Table(related to graph)'!$C$3='List(to hide)'!$C$4),KPI!LC20)</f>
        <v>#N/A</v>
      </c>
      <c r="LB12" s="37" t="e" cm="1">
        <f t="array" ref="LB12">_xlfn.IFS(AND($C$2="Lost Time Incident Frequency",'Table(related to graph)'!$C$3="Monthly"),KPI!LD16,AND($C$2="Lost Time Incident Frequency",'Table(related to graph)'!$C$3='List(to hide)'!$C$3),KPI!LD18,AND($C$2="Lost Time Incident Frequency",'Table(related to graph)'!$C$3='List(to hide)'!$C$4),KPI!LD20)</f>
        <v>#N/A</v>
      </c>
      <c r="LC12" s="37" t="e" cm="1">
        <f t="array" ref="LC12">_xlfn.IFS(AND($C$2="Lost Time Incident Frequency",'Table(related to graph)'!$C$3="Monthly"),KPI!LE16,AND($C$2="Lost Time Incident Frequency",'Table(related to graph)'!$C$3='List(to hide)'!$C$3),KPI!LE18,AND($C$2="Lost Time Incident Frequency",'Table(related to graph)'!$C$3='List(to hide)'!$C$4),KPI!LE20)</f>
        <v>#N/A</v>
      </c>
      <c r="LD12" s="37" t="e" cm="1">
        <f t="array" ref="LD12">_xlfn.IFS(AND($C$2="Lost Time Incident Frequency",'Table(related to graph)'!$C$3="Monthly"),KPI!LF16,AND($C$2="Lost Time Incident Frequency",'Table(related to graph)'!$C$3='List(to hide)'!$C$3),KPI!LF18,AND($C$2="Lost Time Incident Frequency",'Table(related to graph)'!$C$3='List(to hide)'!$C$4),KPI!LF20)</f>
        <v>#N/A</v>
      </c>
      <c r="LE12" s="37" t="e" cm="1">
        <f t="array" ref="LE12">_xlfn.IFS(AND($C$2="Lost Time Incident Frequency",'Table(related to graph)'!$C$3="Monthly"),KPI!LG16,AND($C$2="Lost Time Incident Frequency",'Table(related to graph)'!$C$3='List(to hide)'!$C$3),KPI!LG18,AND($C$2="Lost Time Incident Frequency",'Table(related to graph)'!$C$3='List(to hide)'!$C$4),KPI!LG20)</f>
        <v>#N/A</v>
      </c>
      <c r="LF12" s="37" t="e" cm="1">
        <f t="array" ref="LF12">_xlfn.IFS(AND($C$2="Lost Time Incident Frequency",'Table(related to graph)'!$C$3="Monthly"),KPI!LH16,AND($C$2="Lost Time Incident Frequency",'Table(related to graph)'!$C$3='List(to hide)'!$C$3),KPI!LH18,AND($C$2="Lost Time Incident Frequency",'Table(related to graph)'!$C$3='List(to hide)'!$C$4),KPI!LH20)</f>
        <v>#N/A</v>
      </c>
      <c r="LG12" s="37" t="e" cm="1">
        <f t="array" ref="LG12">_xlfn.IFS(AND($C$2="Lost Time Incident Frequency",'Table(related to graph)'!$C$3="Monthly"),KPI!LI16,AND($C$2="Lost Time Incident Frequency",'Table(related to graph)'!$C$3='List(to hide)'!$C$3),KPI!LI18,AND($C$2="Lost Time Incident Frequency",'Table(related to graph)'!$C$3='List(to hide)'!$C$4),KPI!LI20)</f>
        <v>#N/A</v>
      </c>
    </row>
    <row r="13" spans="1:337">
      <c r="A13" s="26" t="s">
        <v>4</v>
      </c>
      <c r="B13" s="27" t="str">
        <f t="shared" ref="B13:B14" si="3" xml:space="preserve"> " Rate - " &amp; $C$3</f>
        <v xml:space="preserve"> Rate - 12-Month Rolling rate</v>
      </c>
      <c r="C13" s="38" t="str" cm="1">
        <f t="array" ref="C13">_xlfn.IFS(AND($C$2='List(to hide)'!$B$3,'Table(related to graph)'!$C$3="Monthly"),KPI!E22,AND($C$2='List(to hide)'!$B$3,'Table(related to graph)'!$C$3='List(to hide)'!$C$3),KPI!E24,AND($C$2='List(to hide)'!$B$3,'Table(related to graph)'!$C$3='List(to hide)'!$C$4),KPI!E26)</f>
        <v>-</v>
      </c>
      <c r="D13" s="38" t="str" cm="1">
        <f t="array" ref="D13">_xlfn.IFS(AND($C$2='List(to hide)'!$B$3,'Table(related to graph)'!$C$3="Monthly"),KPI!F22,AND($C$2='List(to hide)'!$B$3,'Table(related to graph)'!$C$3='List(to hide)'!$C$3),KPI!F24,AND($C$2='List(to hide)'!$B$3,'Table(related to graph)'!$C$3='List(to hide)'!$C$4),KPI!F26)</f>
        <v>-</v>
      </c>
      <c r="E13" s="38" t="str" cm="1">
        <f t="array" ref="E13">_xlfn.IFS(AND($C$2='List(to hide)'!$B$3,'Table(related to graph)'!$C$3="Monthly"),KPI!G22,AND($C$2='List(to hide)'!$B$3,'Table(related to graph)'!$C$3='List(to hide)'!$C$3),KPI!G24,AND($C$2='List(to hide)'!$B$3,'Table(related to graph)'!$C$3='List(to hide)'!$C$4),KPI!G26)</f>
        <v>-</v>
      </c>
      <c r="F13" s="38" t="str" cm="1">
        <f t="array" ref="F13">_xlfn.IFS(AND($C$2='List(to hide)'!$B$3,'Table(related to graph)'!$C$3="Monthly"),KPI!H22,AND($C$2='List(to hide)'!$B$3,'Table(related to graph)'!$C$3='List(to hide)'!$C$3),KPI!H24,AND($C$2='List(to hide)'!$B$3,'Table(related to graph)'!$C$3='List(to hide)'!$C$4),KPI!H26)</f>
        <v>-</v>
      </c>
      <c r="G13" s="38" t="str" cm="1">
        <f t="array" ref="G13">_xlfn.IFS(AND($C$2='List(to hide)'!$B$3,'Table(related to graph)'!$C$3="Monthly"),KPI!I22,AND($C$2='List(to hide)'!$B$3,'Table(related to graph)'!$C$3='List(to hide)'!$C$3),KPI!I24,AND($C$2='List(to hide)'!$B$3,'Table(related to graph)'!$C$3='List(to hide)'!$C$4),KPI!I26)</f>
        <v>-</v>
      </c>
      <c r="H13" s="38" t="str" cm="1">
        <f t="array" ref="H13">_xlfn.IFS(AND($C$2='List(to hide)'!$B$3,'Table(related to graph)'!$C$3="Monthly"),KPI!J22,AND($C$2='List(to hide)'!$B$3,'Table(related to graph)'!$C$3='List(to hide)'!$C$3),KPI!J24,AND($C$2='List(to hide)'!$B$3,'Table(related to graph)'!$C$3='List(to hide)'!$C$4),KPI!J26)</f>
        <v>-</v>
      </c>
      <c r="I13" s="38" t="str" cm="1">
        <f t="array" ref="I13">_xlfn.IFS(AND($C$2='List(to hide)'!$B$3,'Table(related to graph)'!$C$3="Monthly"),KPI!K22,AND($C$2='List(to hide)'!$B$3,'Table(related to graph)'!$C$3='List(to hide)'!$C$3),KPI!K24,AND($C$2='List(to hide)'!$B$3,'Table(related to graph)'!$C$3='List(to hide)'!$C$4),KPI!K26)</f>
        <v>-</v>
      </c>
      <c r="J13" s="38" t="str" cm="1">
        <f t="array" ref="J13">_xlfn.IFS(AND($C$2='List(to hide)'!$B$3,'Table(related to graph)'!$C$3="Monthly"),KPI!L22,AND($C$2='List(to hide)'!$B$3,'Table(related to graph)'!$C$3='List(to hide)'!$C$3),KPI!L24,AND($C$2='List(to hide)'!$B$3,'Table(related to graph)'!$C$3='List(to hide)'!$C$4),KPI!L26)</f>
        <v>-</v>
      </c>
      <c r="K13" s="38" t="str" cm="1">
        <f t="array" ref="K13">_xlfn.IFS(AND($C$2='List(to hide)'!$B$3,'Table(related to graph)'!$C$3="Monthly"),KPI!M22,AND($C$2='List(to hide)'!$B$3,'Table(related to graph)'!$C$3='List(to hide)'!$C$3),KPI!M24,AND($C$2='List(to hide)'!$B$3,'Table(related to graph)'!$C$3='List(to hide)'!$C$4),KPI!M26)</f>
        <v>-</v>
      </c>
      <c r="L13" s="38" t="str" cm="1">
        <f t="array" ref="L13">_xlfn.IFS(AND($C$2='List(to hide)'!$B$3,'Table(related to graph)'!$C$3="Monthly"),KPI!N22,AND($C$2='List(to hide)'!$B$3,'Table(related to graph)'!$C$3='List(to hide)'!$C$3),KPI!N24,AND($C$2='List(to hide)'!$B$3,'Table(related to graph)'!$C$3='List(to hide)'!$C$4),KPI!N26)</f>
        <v>-</v>
      </c>
      <c r="M13" s="38" t="str" cm="1">
        <f t="array" ref="M13">_xlfn.IFS(AND($C$2='List(to hide)'!$B$3,'Table(related to graph)'!$C$3="Monthly"),KPI!O22,AND($C$2='List(to hide)'!$B$3,'Table(related to graph)'!$C$3='List(to hide)'!$C$3),KPI!O24,AND($C$2='List(to hide)'!$B$3,'Table(related to graph)'!$C$3='List(to hide)'!$C$4),KPI!O26)</f>
        <v>-</v>
      </c>
      <c r="N13" s="38" t="str" cm="1">
        <f t="array" ref="N13">_xlfn.IFS(AND($C$2='List(to hide)'!$B$3,'Table(related to graph)'!$C$3="Monthly"),KPI!P22,AND($C$2='List(to hide)'!$B$3,'Table(related to graph)'!$C$3='List(to hide)'!$C$3),KPI!P24,AND($C$2='List(to hide)'!$B$3,'Table(related to graph)'!$C$3='List(to hide)'!$C$4),KPI!P26)</f>
        <v>-</v>
      </c>
      <c r="O13" s="38" t="str" cm="1">
        <f t="array" ref="O13">_xlfn.IFS(AND($C$2='List(to hide)'!$B$3,'Table(related to graph)'!$C$3="Monthly"),KPI!Q22,AND($C$2='List(to hide)'!$B$3,'Table(related to graph)'!$C$3='List(to hide)'!$C$3),KPI!Q24,AND($C$2='List(to hide)'!$B$3,'Table(related to graph)'!$C$3='List(to hide)'!$C$4),KPI!Q26)</f>
        <v>-</v>
      </c>
      <c r="P13" s="38" t="str" cm="1">
        <f t="array" ref="P13">_xlfn.IFS(AND($C$2='List(to hide)'!$B$3,'Table(related to graph)'!$C$3="Monthly"),KPI!R22,AND($C$2='List(to hide)'!$B$3,'Table(related to graph)'!$C$3='List(to hide)'!$C$3),KPI!R24,AND($C$2='List(to hide)'!$B$3,'Table(related to graph)'!$C$3='List(to hide)'!$C$4),KPI!R26)</f>
        <v>-</v>
      </c>
      <c r="Q13" s="38" t="str" cm="1">
        <f t="array" ref="Q13">_xlfn.IFS(AND($C$2='List(to hide)'!$B$3,'Table(related to graph)'!$C$3="Monthly"),KPI!S22,AND($C$2='List(to hide)'!$B$3,'Table(related to graph)'!$C$3='List(to hide)'!$C$3),KPI!S24,AND($C$2='List(to hide)'!$B$3,'Table(related to graph)'!$C$3='List(to hide)'!$C$4),KPI!S26)</f>
        <v>-</v>
      </c>
      <c r="R13" s="38" t="str" cm="1">
        <f t="array" ref="R13">_xlfn.IFS(AND($C$2='List(to hide)'!$B$3,'Table(related to graph)'!$C$3="Monthly"),KPI!T22,AND($C$2='List(to hide)'!$B$3,'Table(related to graph)'!$C$3='List(to hide)'!$C$3),KPI!T24,AND($C$2='List(to hide)'!$B$3,'Table(related to graph)'!$C$3='List(to hide)'!$C$4),KPI!T26)</f>
        <v>-</v>
      </c>
      <c r="S13" s="38" t="str" cm="1">
        <f t="array" ref="S13">_xlfn.IFS(AND($C$2='List(to hide)'!$B$3,'Table(related to graph)'!$C$3="Monthly"),KPI!U22,AND($C$2='List(to hide)'!$B$3,'Table(related to graph)'!$C$3='List(to hide)'!$C$3),KPI!U24,AND($C$2='List(to hide)'!$B$3,'Table(related to graph)'!$C$3='List(to hide)'!$C$4),KPI!U26)</f>
        <v>-</v>
      </c>
      <c r="T13" s="38" t="str" cm="1">
        <f t="array" ref="T13">_xlfn.IFS(AND($C$2='List(to hide)'!$B$3,'Table(related to graph)'!$C$3="Monthly"),KPI!V22,AND($C$2='List(to hide)'!$B$3,'Table(related to graph)'!$C$3='List(to hide)'!$C$3),KPI!V24,AND($C$2='List(to hide)'!$B$3,'Table(related to graph)'!$C$3='List(to hide)'!$C$4),KPI!V26)</f>
        <v>-</v>
      </c>
      <c r="U13" s="38" t="str" cm="1">
        <f t="array" ref="U13">_xlfn.IFS(AND($C$2='List(to hide)'!$B$3,'Table(related to graph)'!$C$3="Monthly"),KPI!W22,AND($C$2='List(to hide)'!$B$3,'Table(related to graph)'!$C$3='List(to hide)'!$C$3),KPI!W24,AND($C$2='List(to hide)'!$B$3,'Table(related to graph)'!$C$3='List(to hide)'!$C$4),KPI!W26)</f>
        <v>-</v>
      </c>
      <c r="V13" s="38" t="str" cm="1">
        <f t="array" ref="V13">_xlfn.IFS(AND($C$2='List(to hide)'!$B$3,'Table(related to graph)'!$C$3="Monthly"),KPI!X22,AND($C$2='List(to hide)'!$B$3,'Table(related to graph)'!$C$3='List(to hide)'!$C$3),KPI!X24,AND($C$2='List(to hide)'!$B$3,'Table(related to graph)'!$C$3='List(to hide)'!$C$4),KPI!X26)</f>
        <v>-</v>
      </c>
      <c r="W13" s="38" t="str" cm="1">
        <f t="array" ref="W13">_xlfn.IFS(AND($C$2='List(to hide)'!$B$3,'Table(related to graph)'!$C$3="Monthly"),KPI!Y22,AND($C$2='List(to hide)'!$B$3,'Table(related to graph)'!$C$3='List(to hide)'!$C$3),KPI!Y24,AND($C$2='List(to hide)'!$B$3,'Table(related to graph)'!$C$3='List(to hide)'!$C$4),KPI!Y26)</f>
        <v>-</v>
      </c>
      <c r="X13" s="38" t="str" cm="1">
        <f t="array" ref="X13">_xlfn.IFS(AND($C$2='List(to hide)'!$B$3,'Table(related to graph)'!$C$3="Monthly"),KPI!Z22,AND($C$2='List(to hide)'!$B$3,'Table(related to graph)'!$C$3='List(to hide)'!$C$3),KPI!Z24,AND($C$2='List(to hide)'!$B$3,'Table(related to graph)'!$C$3='List(to hide)'!$C$4),KPI!Z26)</f>
        <v>-</v>
      </c>
      <c r="Y13" s="38" t="str" cm="1">
        <f t="array" ref="Y13">_xlfn.IFS(AND($C$2='List(to hide)'!$B$3,'Table(related to graph)'!$C$3="Monthly"),KPI!AA22,AND($C$2='List(to hide)'!$B$3,'Table(related to graph)'!$C$3='List(to hide)'!$C$3),KPI!AA24,AND($C$2='List(to hide)'!$B$3,'Table(related to graph)'!$C$3='List(to hide)'!$C$4),KPI!AA26)</f>
        <v>-</v>
      </c>
      <c r="Z13" s="38" t="str" cm="1">
        <f t="array" ref="Z13">_xlfn.IFS(AND($C$2='List(to hide)'!$B$3,'Table(related to graph)'!$C$3="Monthly"),KPI!AB22,AND($C$2='List(to hide)'!$B$3,'Table(related to graph)'!$C$3='List(to hide)'!$C$3),KPI!AB24,AND($C$2='List(to hide)'!$B$3,'Table(related to graph)'!$C$3='List(to hide)'!$C$4),KPI!AB26)</f>
        <v>-</v>
      </c>
      <c r="AA13" s="38" t="str" cm="1">
        <f t="array" ref="AA13">_xlfn.IFS(AND($C$2='List(to hide)'!$B$3,'Table(related to graph)'!$C$3="Monthly"),KPI!AC22,AND($C$2='List(to hide)'!$B$3,'Table(related to graph)'!$C$3='List(to hide)'!$C$3),KPI!AC24,AND($C$2='List(to hide)'!$B$3,'Table(related to graph)'!$C$3='List(to hide)'!$C$4),KPI!AC26)</f>
        <v>-</v>
      </c>
      <c r="AB13" s="38" t="str" cm="1">
        <f t="array" ref="AB13">_xlfn.IFS(AND($C$2='List(to hide)'!$B$3,'Table(related to graph)'!$C$3="Monthly"),KPI!AD22,AND($C$2='List(to hide)'!$B$3,'Table(related to graph)'!$C$3='List(to hide)'!$C$3),KPI!AD24,AND($C$2='List(to hide)'!$B$3,'Table(related to graph)'!$C$3='List(to hide)'!$C$4),KPI!AD26)</f>
        <v>-</v>
      </c>
      <c r="AC13" s="38" t="str" cm="1">
        <f t="array" ref="AC13">_xlfn.IFS(AND($C$2='List(to hide)'!$B$3,'Table(related to graph)'!$C$3="Monthly"),KPI!AE22,AND($C$2='List(to hide)'!$B$3,'Table(related to graph)'!$C$3='List(to hide)'!$C$3),KPI!AE24,AND($C$2='List(to hide)'!$B$3,'Table(related to graph)'!$C$3='List(to hide)'!$C$4),KPI!AE26)</f>
        <v>-</v>
      </c>
      <c r="AD13" s="38" t="str" cm="1">
        <f t="array" ref="AD13">_xlfn.IFS(AND($C$2='List(to hide)'!$B$3,'Table(related to graph)'!$C$3="Monthly"),KPI!AF22,AND($C$2='List(to hide)'!$B$3,'Table(related to graph)'!$C$3='List(to hide)'!$C$3),KPI!AF24,AND($C$2='List(to hide)'!$B$3,'Table(related to graph)'!$C$3='List(to hide)'!$C$4),KPI!AF26)</f>
        <v>-</v>
      </c>
      <c r="AE13" s="38" t="str" cm="1">
        <f t="array" ref="AE13">_xlfn.IFS(AND($C$2='List(to hide)'!$B$3,'Table(related to graph)'!$C$3="Monthly"),KPI!AG22,AND($C$2='List(to hide)'!$B$3,'Table(related to graph)'!$C$3='List(to hide)'!$C$3),KPI!AG24,AND($C$2='List(to hide)'!$B$3,'Table(related to graph)'!$C$3='List(to hide)'!$C$4),KPI!AG26)</f>
        <v>-</v>
      </c>
      <c r="AF13" s="38" t="str" cm="1">
        <f t="array" ref="AF13">_xlfn.IFS(AND($C$2='List(to hide)'!$B$3,'Table(related to graph)'!$C$3="Monthly"),KPI!AH22,AND($C$2='List(to hide)'!$B$3,'Table(related to graph)'!$C$3='List(to hide)'!$C$3),KPI!AH24,AND($C$2='List(to hide)'!$B$3,'Table(related to graph)'!$C$3='List(to hide)'!$C$4),KPI!AH26)</f>
        <v>-</v>
      </c>
      <c r="AG13" s="38" t="str" cm="1">
        <f t="array" ref="AG13">_xlfn.IFS(AND($C$2='List(to hide)'!$B$3,'Table(related to graph)'!$C$3="Monthly"),KPI!AI22,AND($C$2='List(to hide)'!$B$3,'Table(related to graph)'!$C$3='List(to hide)'!$C$3),KPI!AI24,AND($C$2='List(to hide)'!$B$3,'Table(related to graph)'!$C$3='List(to hide)'!$C$4),KPI!AI26)</f>
        <v>-</v>
      </c>
      <c r="AH13" s="38" t="str" cm="1">
        <f t="array" ref="AH13">_xlfn.IFS(AND($C$2='List(to hide)'!$B$3,'Table(related to graph)'!$C$3="Monthly"),KPI!AJ22,AND($C$2='List(to hide)'!$B$3,'Table(related to graph)'!$C$3='List(to hide)'!$C$3),KPI!AJ24,AND($C$2='List(to hide)'!$B$3,'Table(related to graph)'!$C$3='List(to hide)'!$C$4),KPI!AJ26)</f>
        <v>-</v>
      </c>
      <c r="AI13" s="38" t="str" cm="1">
        <f t="array" ref="AI13">_xlfn.IFS(AND($C$2='List(to hide)'!$B$3,'Table(related to graph)'!$C$3="Monthly"),KPI!AK22,AND($C$2='List(to hide)'!$B$3,'Table(related to graph)'!$C$3='List(to hide)'!$C$3),KPI!AK24,AND($C$2='List(to hide)'!$B$3,'Table(related to graph)'!$C$3='List(to hide)'!$C$4),KPI!AK26)</f>
        <v>-</v>
      </c>
      <c r="AJ13" s="38" t="str" cm="1">
        <f t="array" ref="AJ13">_xlfn.IFS(AND($C$2='List(to hide)'!$B$3,'Table(related to graph)'!$C$3="Monthly"),KPI!AL22,AND($C$2='List(to hide)'!$B$3,'Table(related to graph)'!$C$3='List(to hide)'!$C$3),KPI!AL24,AND($C$2='List(to hide)'!$B$3,'Table(related to graph)'!$C$3='List(to hide)'!$C$4),KPI!AL26)</f>
        <v>-</v>
      </c>
      <c r="AK13" s="38" t="str" cm="1">
        <f t="array" ref="AK13">_xlfn.IFS(AND($C$2='List(to hide)'!$B$3,'Table(related to graph)'!$C$3="Monthly"),KPI!AM22,AND($C$2='List(to hide)'!$B$3,'Table(related to graph)'!$C$3='List(to hide)'!$C$3),KPI!AM24,AND($C$2='List(to hide)'!$B$3,'Table(related to graph)'!$C$3='List(to hide)'!$C$4),KPI!AM26)</f>
        <v>-</v>
      </c>
      <c r="AL13" s="38" t="str" cm="1">
        <f t="array" ref="AL13">_xlfn.IFS(AND($C$2='List(to hide)'!$B$3,'Table(related to graph)'!$C$3="Monthly"),KPI!AN22,AND($C$2='List(to hide)'!$B$3,'Table(related to graph)'!$C$3='List(to hide)'!$C$3),KPI!AN24,AND($C$2='List(to hide)'!$B$3,'Table(related to graph)'!$C$3='List(to hide)'!$C$4),KPI!AN26)</f>
        <v>-</v>
      </c>
      <c r="AM13" s="38" t="str" cm="1">
        <f t="array" ref="AM13">_xlfn.IFS(AND($C$2='List(to hide)'!$B$3,'Table(related to graph)'!$C$3="Monthly"),KPI!AO22,AND($C$2='List(to hide)'!$B$3,'Table(related to graph)'!$C$3='List(to hide)'!$C$3),KPI!AO24,AND($C$2='List(to hide)'!$B$3,'Table(related to graph)'!$C$3='List(to hide)'!$C$4),KPI!AO26)</f>
        <v>-</v>
      </c>
      <c r="AN13" s="38" t="str" cm="1">
        <f t="array" ref="AN13">_xlfn.IFS(AND($C$2='List(to hide)'!$B$3,'Table(related to graph)'!$C$3="Monthly"),KPI!AP22,AND($C$2='List(to hide)'!$B$3,'Table(related to graph)'!$C$3='List(to hide)'!$C$3),KPI!AP24,AND($C$2='List(to hide)'!$B$3,'Table(related to graph)'!$C$3='List(to hide)'!$C$4),KPI!AP26)</f>
        <v>-</v>
      </c>
      <c r="AO13" s="38" t="str" cm="1">
        <f t="array" ref="AO13">_xlfn.IFS(AND($C$2='List(to hide)'!$B$3,'Table(related to graph)'!$C$3="Monthly"),KPI!AQ22,AND($C$2='List(to hide)'!$B$3,'Table(related to graph)'!$C$3='List(to hide)'!$C$3),KPI!AQ24,AND($C$2='List(to hide)'!$B$3,'Table(related to graph)'!$C$3='List(to hide)'!$C$4),KPI!AQ26)</f>
        <v>-</v>
      </c>
      <c r="AP13" s="38" t="str" cm="1">
        <f t="array" ref="AP13">_xlfn.IFS(AND($C$2='List(to hide)'!$B$3,'Table(related to graph)'!$C$3="Monthly"),KPI!AR22,AND($C$2='List(to hide)'!$B$3,'Table(related to graph)'!$C$3='List(to hide)'!$C$3),KPI!AR24,AND($C$2='List(to hide)'!$B$3,'Table(related to graph)'!$C$3='List(to hide)'!$C$4),KPI!AR26)</f>
        <v>-</v>
      </c>
      <c r="AQ13" s="38" t="str" cm="1">
        <f t="array" ref="AQ13">_xlfn.IFS(AND($C$2='List(to hide)'!$B$3,'Table(related to graph)'!$C$3="Monthly"),KPI!AS22,AND($C$2='List(to hide)'!$B$3,'Table(related to graph)'!$C$3='List(to hide)'!$C$3),KPI!AS24,AND($C$2='List(to hide)'!$B$3,'Table(related to graph)'!$C$3='List(to hide)'!$C$4),KPI!AS26)</f>
        <v>-</v>
      </c>
      <c r="AR13" s="38" t="str" cm="1">
        <f t="array" ref="AR13">_xlfn.IFS(AND($C$2='List(to hide)'!$B$3,'Table(related to graph)'!$C$3="Monthly"),KPI!AT22,AND($C$2='List(to hide)'!$B$3,'Table(related to graph)'!$C$3='List(to hide)'!$C$3),KPI!AT24,AND($C$2='List(to hide)'!$B$3,'Table(related to graph)'!$C$3='List(to hide)'!$C$4),KPI!AT26)</f>
        <v>-</v>
      </c>
      <c r="AS13" s="38" t="str" cm="1">
        <f t="array" ref="AS13">_xlfn.IFS(AND($C$2='List(to hide)'!$B$3,'Table(related to graph)'!$C$3="Monthly"),KPI!AU22,AND($C$2='List(to hide)'!$B$3,'Table(related to graph)'!$C$3='List(to hide)'!$C$3),KPI!AU24,AND($C$2='List(to hide)'!$B$3,'Table(related to graph)'!$C$3='List(to hide)'!$C$4),KPI!AU26)</f>
        <v>-</v>
      </c>
      <c r="AT13" s="38" t="str" cm="1">
        <f t="array" ref="AT13">_xlfn.IFS(AND($C$2='List(to hide)'!$B$3,'Table(related to graph)'!$C$3="Monthly"),KPI!AV22,AND($C$2='List(to hide)'!$B$3,'Table(related to graph)'!$C$3='List(to hide)'!$C$3),KPI!AV24,AND($C$2='List(to hide)'!$B$3,'Table(related to graph)'!$C$3='List(to hide)'!$C$4),KPI!AV26)</f>
        <v>-</v>
      </c>
      <c r="AU13" s="38" t="str" cm="1">
        <f t="array" ref="AU13">_xlfn.IFS(AND($C$2='List(to hide)'!$B$3,'Table(related to graph)'!$C$3="Monthly"),KPI!AW22,AND($C$2='List(to hide)'!$B$3,'Table(related to graph)'!$C$3='List(to hide)'!$C$3),KPI!AW24,AND($C$2='List(to hide)'!$B$3,'Table(related to graph)'!$C$3='List(to hide)'!$C$4),KPI!AW26)</f>
        <v>-</v>
      </c>
      <c r="AV13" s="38" t="str" cm="1">
        <f t="array" ref="AV13">_xlfn.IFS(AND($C$2='List(to hide)'!$B$3,'Table(related to graph)'!$C$3="Monthly"),KPI!AX22,AND($C$2='List(to hide)'!$B$3,'Table(related to graph)'!$C$3='List(to hide)'!$C$3),KPI!AX24,AND($C$2='List(to hide)'!$B$3,'Table(related to graph)'!$C$3='List(to hide)'!$C$4),KPI!AX26)</f>
        <v>-</v>
      </c>
      <c r="AW13" s="38" t="str" cm="1">
        <f t="array" ref="AW13">_xlfn.IFS(AND($C$2='List(to hide)'!$B$3,'Table(related to graph)'!$C$3="Monthly"),KPI!AY22,AND($C$2='List(to hide)'!$B$3,'Table(related to graph)'!$C$3='List(to hide)'!$C$3),KPI!AY24,AND($C$2='List(to hide)'!$B$3,'Table(related to graph)'!$C$3='List(to hide)'!$C$4),KPI!AY26)</f>
        <v>-</v>
      </c>
      <c r="AX13" s="38" t="str" cm="1">
        <f t="array" ref="AX13">_xlfn.IFS(AND($C$2='List(to hide)'!$B$3,'Table(related to graph)'!$C$3="Monthly"),KPI!AZ22,AND($C$2='List(to hide)'!$B$3,'Table(related to graph)'!$C$3='List(to hide)'!$C$3),KPI!AZ24,AND($C$2='List(to hide)'!$B$3,'Table(related to graph)'!$C$3='List(to hide)'!$C$4),KPI!AZ26)</f>
        <v>-</v>
      </c>
      <c r="AY13" s="38" t="str" cm="1">
        <f t="array" ref="AY13">_xlfn.IFS(AND($C$2='List(to hide)'!$B$3,'Table(related to graph)'!$C$3="Monthly"),KPI!BA22,AND($C$2='List(to hide)'!$B$3,'Table(related to graph)'!$C$3='List(to hide)'!$C$3),KPI!BA24,AND($C$2='List(to hide)'!$B$3,'Table(related to graph)'!$C$3='List(to hide)'!$C$4),KPI!BA26)</f>
        <v>-</v>
      </c>
      <c r="AZ13" s="38" t="str" cm="1">
        <f t="array" ref="AZ13">_xlfn.IFS(AND($C$2='List(to hide)'!$B$3,'Table(related to graph)'!$C$3="Monthly"),KPI!BB22,AND($C$2='List(to hide)'!$B$3,'Table(related to graph)'!$C$3='List(to hide)'!$C$3),KPI!BB24,AND($C$2='List(to hide)'!$B$3,'Table(related to graph)'!$C$3='List(to hide)'!$C$4),KPI!BB26)</f>
        <v>-</v>
      </c>
      <c r="BA13" s="38" t="str" cm="1">
        <f t="array" ref="BA13">_xlfn.IFS(AND($C$2='List(to hide)'!$B$3,'Table(related to graph)'!$C$3="Monthly"),KPI!BC22,AND($C$2='List(to hide)'!$B$3,'Table(related to graph)'!$C$3='List(to hide)'!$C$3),KPI!BC24,AND($C$2='List(to hide)'!$B$3,'Table(related to graph)'!$C$3='List(to hide)'!$C$4),KPI!BC26)</f>
        <v>-</v>
      </c>
      <c r="BB13" s="38" t="str" cm="1">
        <f t="array" ref="BB13">_xlfn.IFS(AND($C$2='List(to hide)'!$B$3,'Table(related to graph)'!$C$3="Monthly"),KPI!BD22,AND($C$2='List(to hide)'!$B$3,'Table(related to graph)'!$C$3='List(to hide)'!$C$3),KPI!BD24,AND($C$2='List(to hide)'!$B$3,'Table(related to graph)'!$C$3='List(to hide)'!$C$4),KPI!BD26)</f>
        <v>-</v>
      </c>
      <c r="BC13" s="38" t="str" cm="1">
        <f t="array" ref="BC13">_xlfn.IFS(AND($C$2='List(to hide)'!$B$3,'Table(related to graph)'!$C$3="Monthly"),KPI!BE22,AND($C$2='List(to hide)'!$B$3,'Table(related to graph)'!$C$3='List(to hide)'!$C$3),KPI!BE24,AND($C$2='List(to hide)'!$B$3,'Table(related to graph)'!$C$3='List(to hide)'!$C$4),KPI!BE26)</f>
        <v>-</v>
      </c>
      <c r="BD13" s="38" t="str" cm="1">
        <f t="array" ref="BD13">_xlfn.IFS(AND($C$2='List(to hide)'!$B$3,'Table(related to graph)'!$C$3="Monthly"),KPI!BF22,AND($C$2='List(to hide)'!$B$3,'Table(related to graph)'!$C$3='List(to hide)'!$C$3),KPI!BF24,AND($C$2='List(to hide)'!$B$3,'Table(related to graph)'!$C$3='List(to hide)'!$C$4),KPI!BF26)</f>
        <v>-</v>
      </c>
      <c r="BE13" s="38" t="str" cm="1">
        <f t="array" ref="BE13">_xlfn.IFS(AND($C$2='List(to hide)'!$B$3,'Table(related to graph)'!$C$3="Monthly"),KPI!BG22,AND($C$2='List(to hide)'!$B$3,'Table(related to graph)'!$C$3='List(to hide)'!$C$3),KPI!BG24,AND($C$2='List(to hide)'!$B$3,'Table(related to graph)'!$C$3='List(to hide)'!$C$4),KPI!BG26)</f>
        <v>-</v>
      </c>
      <c r="BF13" s="38" t="str" cm="1">
        <f t="array" ref="BF13">_xlfn.IFS(AND($C$2='List(to hide)'!$B$3,'Table(related to graph)'!$C$3="Monthly"),KPI!BH22,AND($C$2='List(to hide)'!$B$3,'Table(related to graph)'!$C$3='List(to hide)'!$C$3),KPI!BH24,AND($C$2='List(to hide)'!$B$3,'Table(related to graph)'!$C$3='List(to hide)'!$C$4),KPI!BH26)</f>
        <v>-</v>
      </c>
      <c r="BG13" s="38" t="str" cm="1">
        <f t="array" ref="BG13">_xlfn.IFS(AND($C$2='List(to hide)'!$B$3,'Table(related to graph)'!$C$3="Monthly"),KPI!BI22,AND($C$2='List(to hide)'!$B$3,'Table(related to graph)'!$C$3='List(to hide)'!$C$3),KPI!BI24,AND($C$2='List(to hide)'!$B$3,'Table(related to graph)'!$C$3='List(to hide)'!$C$4),KPI!BI26)</f>
        <v>-</v>
      </c>
      <c r="BH13" s="38" t="str" cm="1">
        <f t="array" ref="BH13">_xlfn.IFS(AND($C$2='List(to hide)'!$B$3,'Table(related to graph)'!$C$3="Monthly"),KPI!BJ22,AND($C$2='List(to hide)'!$B$3,'Table(related to graph)'!$C$3='List(to hide)'!$C$3),KPI!BJ24,AND($C$2='List(to hide)'!$B$3,'Table(related to graph)'!$C$3='List(to hide)'!$C$4),KPI!BJ26)</f>
        <v>-</v>
      </c>
      <c r="BI13" s="38" t="str" cm="1">
        <f t="array" ref="BI13">_xlfn.IFS(AND($C$2='List(to hide)'!$B$3,'Table(related to graph)'!$C$3="Monthly"),KPI!BK22,AND($C$2='List(to hide)'!$B$3,'Table(related to graph)'!$C$3='List(to hide)'!$C$3),KPI!BK24,AND($C$2='List(to hide)'!$B$3,'Table(related to graph)'!$C$3='List(to hide)'!$C$4),KPI!BK26)</f>
        <v>-</v>
      </c>
      <c r="BJ13" s="38" t="str" cm="1">
        <f t="array" ref="BJ13">_xlfn.IFS(AND($C$2='List(to hide)'!$B$3,'Table(related to graph)'!$C$3="Monthly"),KPI!BL22,AND($C$2='List(to hide)'!$B$3,'Table(related to graph)'!$C$3='List(to hide)'!$C$3),KPI!BL24,AND($C$2='List(to hide)'!$B$3,'Table(related to graph)'!$C$3='List(to hide)'!$C$4),KPI!BL26)</f>
        <v>-</v>
      </c>
      <c r="BK13" s="38" t="str" cm="1">
        <f t="array" ref="BK13">_xlfn.IFS(AND($C$2='List(to hide)'!$B$3,'Table(related to graph)'!$C$3="Monthly"),KPI!BM22,AND($C$2='List(to hide)'!$B$3,'Table(related to graph)'!$C$3='List(to hide)'!$C$3),KPI!BM24,AND($C$2='List(to hide)'!$B$3,'Table(related to graph)'!$C$3='List(to hide)'!$C$4),KPI!BM26)</f>
        <v>-</v>
      </c>
      <c r="BL13" s="38" t="str" cm="1">
        <f t="array" ref="BL13">_xlfn.IFS(AND($C$2='List(to hide)'!$B$3,'Table(related to graph)'!$C$3="Monthly"),KPI!BN22,AND($C$2='List(to hide)'!$B$3,'Table(related to graph)'!$C$3='List(to hide)'!$C$3),KPI!BN24,AND($C$2='List(to hide)'!$B$3,'Table(related to graph)'!$C$3='List(to hide)'!$C$4),KPI!BN26)</f>
        <v>-</v>
      </c>
      <c r="BM13" s="38" t="str" cm="1">
        <f t="array" ref="BM13">_xlfn.IFS(AND($C$2='List(to hide)'!$B$3,'Table(related to graph)'!$C$3="Monthly"),KPI!BO22,AND($C$2='List(to hide)'!$B$3,'Table(related to graph)'!$C$3='List(to hide)'!$C$3),KPI!BO24,AND($C$2='List(to hide)'!$B$3,'Table(related to graph)'!$C$3='List(to hide)'!$C$4),KPI!BO26)</f>
        <v>-</v>
      </c>
      <c r="BN13" s="38" t="str" cm="1">
        <f t="array" ref="BN13">_xlfn.IFS(AND($C$2='List(to hide)'!$B$3,'Table(related to graph)'!$C$3="Monthly"),KPI!BP22,AND($C$2='List(to hide)'!$B$3,'Table(related to graph)'!$C$3='List(to hide)'!$C$3),KPI!BP24,AND($C$2='List(to hide)'!$B$3,'Table(related to graph)'!$C$3='List(to hide)'!$C$4),KPI!BP26)</f>
        <v>-</v>
      </c>
      <c r="BO13" s="38" t="str" cm="1">
        <f t="array" ref="BO13">_xlfn.IFS(AND($C$2='List(to hide)'!$B$3,'Table(related to graph)'!$C$3="Monthly"),KPI!BQ22,AND($C$2='List(to hide)'!$B$3,'Table(related to graph)'!$C$3='List(to hide)'!$C$3),KPI!BQ24,AND($C$2='List(to hide)'!$B$3,'Table(related to graph)'!$C$3='List(to hide)'!$C$4),KPI!BQ26)</f>
        <v>-</v>
      </c>
      <c r="BP13" s="38" t="str" cm="1">
        <f t="array" ref="BP13">_xlfn.IFS(AND($C$2='List(to hide)'!$B$3,'Table(related to graph)'!$C$3="Monthly"),KPI!BR22,AND($C$2='List(to hide)'!$B$3,'Table(related to graph)'!$C$3='List(to hide)'!$C$3),KPI!BR24,AND($C$2='List(to hide)'!$B$3,'Table(related to graph)'!$C$3='List(to hide)'!$C$4),KPI!BR26)</f>
        <v>-</v>
      </c>
      <c r="BQ13" s="38" t="str" cm="1">
        <f t="array" ref="BQ13">_xlfn.IFS(AND($C$2='List(to hide)'!$B$3,'Table(related to graph)'!$C$3="Monthly"),KPI!BS22,AND($C$2='List(to hide)'!$B$3,'Table(related to graph)'!$C$3='List(to hide)'!$C$3),KPI!BS24,AND($C$2='List(to hide)'!$B$3,'Table(related to graph)'!$C$3='List(to hide)'!$C$4),KPI!BS26)</f>
        <v>-</v>
      </c>
      <c r="BR13" s="38" t="str" cm="1">
        <f t="array" ref="BR13">_xlfn.IFS(AND($C$2='List(to hide)'!$B$3,'Table(related to graph)'!$C$3="Monthly"),KPI!BT22,AND($C$2='List(to hide)'!$B$3,'Table(related to graph)'!$C$3='List(to hide)'!$C$3),KPI!BT24,AND($C$2='List(to hide)'!$B$3,'Table(related to graph)'!$C$3='List(to hide)'!$C$4),KPI!BT26)</f>
        <v>-</v>
      </c>
      <c r="BS13" s="38" t="str" cm="1">
        <f t="array" ref="BS13">_xlfn.IFS(AND($C$2='List(to hide)'!$B$3,'Table(related to graph)'!$C$3="Monthly"),KPI!BU22,AND($C$2='List(to hide)'!$B$3,'Table(related to graph)'!$C$3='List(to hide)'!$C$3),KPI!BU24,AND($C$2='List(to hide)'!$B$3,'Table(related to graph)'!$C$3='List(to hide)'!$C$4),KPI!BU26)</f>
        <v>-</v>
      </c>
      <c r="BT13" s="38" t="str" cm="1">
        <f t="array" ref="BT13">_xlfn.IFS(AND($C$2='List(to hide)'!$B$3,'Table(related to graph)'!$C$3="Monthly"),KPI!BV22,AND($C$2='List(to hide)'!$B$3,'Table(related to graph)'!$C$3='List(to hide)'!$C$3),KPI!BV24,AND($C$2='List(to hide)'!$B$3,'Table(related to graph)'!$C$3='List(to hide)'!$C$4),KPI!BV26)</f>
        <v>-</v>
      </c>
      <c r="BU13" s="38" t="str" cm="1">
        <f t="array" ref="BU13">_xlfn.IFS(AND($C$2='List(to hide)'!$B$3,'Table(related to graph)'!$C$3="Monthly"),KPI!BW22,AND($C$2='List(to hide)'!$B$3,'Table(related to graph)'!$C$3='List(to hide)'!$C$3),KPI!BW24,AND($C$2='List(to hide)'!$B$3,'Table(related to graph)'!$C$3='List(to hide)'!$C$4),KPI!BW26)</f>
        <v>-</v>
      </c>
      <c r="BV13" s="38" t="str" cm="1">
        <f t="array" ref="BV13">_xlfn.IFS(AND($C$2='List(to hide)'!$B$3,'Table(related to graph)'!$C$3="Monthly"),KPI!BX22,AND($C$2='List(to hide)'!$B$3,'Table(related to graph)'!$C$3='List(to hide)'!$C$3),KPI!BX24,AND($C$2='List(to hide)'!$B$3,'Table(related to graph)'!$C$3='List(to hide)'!$C$4),KPI!BX26)</f>
        <v>-</v>
      </c>
      <c r="BW13" s="38" t="str" cm="1">
        <f t="array" ref="BW13">_xlfn.IFS(AND($C$2='List(to hide)'!$B$3,'Table(related to graph)'!$C$3="Monthly"),KPI!BY22,AND($C$2='List(to hide)'!$B$3,'Table(related to graph)'!$C$3='List(to hide)'!$C$3),KPI!BY24,AND($C$2='List(to hide)'!$B$3,'Table(related to graph)'!$C$3='List(to hide)'!$C$4),KPI!BY26)</f>
        <v>-</v>
      </c>
      <c r="BX13" s="38" t="str" cm="1">
        <f t="array" ref="BX13">_xlfn.IFS(AND($C$2='List(to hide)'!$B$3,'Table(related to graph)'!$C$3="Monthly"),KPI!BZ22,AND($C$2='List(to hide)'!$B$3,'Table(related to graph)'!$C$3='List(to hide)'!$C$3),KPI!BZ24,AND($C$2='List(to hide)'!$B$3,'Table(related to graph)'!$C$3='List(to hide)'!$C$4),KPI!BZ26)</f>
        <v>-</v>
      </c>
      <c r="BY13" s="38" t="str" cm="1">
        <f t="array" ref="BY13">_xlfn.IFS(AND($C$2='List(to hide)'!$B$3,'Table(related to graph)'!$C$3="Monthly"),KPI!CA22,AND($C$2='List(to hide)'!$B$3,'Table(related to graph)'!$C$3='List(to hide)'!$C$3),KPI!CA24,AND($C$2='List(to hide)'!$B$3,'Table(related to graph)'!$C$3='List(to hide)'!$C$4),KPI!CA26)</f>
        <v>-</v>
      </c>
      <c r="BZ13" s="38" t="str" cm="1">
        <f t="array" ref="BZ13">_xlfn.IFS(AND($C$2='List(to hide)'!$B$3,'Table(related to graph)'!$C$3="Monthly"),KPI!CB22,AND($C$2='List(to hide)'!$B$3,'Table(related to graph)'!$C$3='List(to hide)'!$C$3),KPI!CB24,AND($C$2='List(to hide)'!$B$3,'Table(related to graph)'!$C$3='List(to hide)'!$C$4),KPI!CB26)</f>
        <v>-</v>
      </c>
      <c r="CA13" s="38" t="str" cm="1">
        <f t="array" ref="CA13">_xlfn.IFS(AND($C$2='List(to hide)'!$B$3,'Table(related to graph)'!$C$3="Monthly"),KPI!CC22,AND($C$2='List(to hide)'!$B$3,'Table(related to graph)'!$C$3='List(to hide)'!$C$3),KPI!CC24,AND($C$2='List(to hide)'!$B$3,'Table(related to graph)'!$C$3='List(to hide)'!$C$4),KPI!CC26)</f>
        <v>-</v>
      </c>
      <c r="CB13" s="38" t="str" cm="1">
        <f t="array" ref="CB13">_xlfn.IFS(AND($C$2='List(to hide)'!$B$3,'Table(related to graph)'!$C$3="Monthly"),KPI!CD22,AND($C$2='List(to hide)'!$B$3,'Table(related to graph)'!$C$3='List(to hide)'!$C$3),KPI!CD24,AND($C$2='List(to hide)'!$B$3,'Table(related to graph)'!$C$3='List(to hide)'!$C$4),KPI!CD26)</f>
        <v>-</v>
      </c>
      <c r="CC13" s="38" t="str" cm="1">
        <f t="array" ref="CC13">_xlfn.IFS(AND($C$2='List(to hide)'!$B$3,'Table(related to graph)'!$C$3="Monthly"),KPI!CE22,AND($C$2='List(to hide)'!$B$3,'Table(related to graph)'!$C$3='List(to hide)'!$C$3),KPI!CE24,AND($C$2='List(to hide)'!$B$3,'Table(related to graph)'!$C$3='List(to hide)'!$C$4),KPI!CE26)</f>
        <v>-</v>
      </c>
      <c r="CD13" s="38" t="str" cm="1">
        <f t="array" ref="CD13">_xlfn.IFS(AND($C$2='List(to hide)'!$B$3,'Table(related to graph)'!$C$3="Monthly"),KPI!CF22,AND($C$2='List(to hide)'!$B$3,'Table(related to graph)'!$C$3='List(to hide)'!$C$3),KPI!CF24,AND($C$2='List(to hide)'!$B$3,'Table(related to graph)'!$C$3='List(to hide)'!$C$4),KPI!CF26)</f>
        <v>-</v>
      </c>
      <c r="CE13" s="38" t="str" cm="1">
        <f t="array" ref="CE13">_xlfn.IFS(AND($C$2='List(to hide)'!$B$3,'Table(related to graph)'!$C$3="Monthly"),KPI!CG22,AND($C$2='List(to hide)'!$B$3,'Table(related to graph)'!$C$3='List(to hide)'!$C$3),KPI!CG24,AND($C$2='List(to hide)'!$B$3,'Table(related to graph)'!$C$3='List(to hide)'!$C$4),KPI!CG26)</f>
        <v>-</v>
      </c>
      <c r="CF13" s="38" t="str" cm="1">
        <f t="array" ref="CF13">_xlfn.IFS(AND($C$2='List(to hide)'!$B$3,'Table(related to graph)'!$C$3="Monthly"),KPI!CH22,AND($C$2='List(to hide)'!$B$3,'Table(related to graph)'!$C$3='List(to hide)'!$C$3),KPI!CH24,AND($C$2='List(to hide)'!$B$3,'Table(related to graph)'!$C$3='List(to hide)'!$C$4),KPI!CH26)</f>
        <v>-</v>
      </c>
      <c r="CG13" s="38" t="str" cm="1">
        <f t="array" ref="CG13">_xlfn.IFS(AND($C$2='List(to hide)'!$B$3,'Table(related to graph)'!$C$3="Monthly"),KPI!CI22,AND($C$2='List(to hide)'!$B$3,'Table(related to graph)'!$C$3='List(to hide)'!$C$3),KPI!CI24,AND($C$2='List(to hide)'!$B$3,'Table(related to graph)'!$C$3='List(to hide)'!$C$4),KPI!CI26)</f>
        <v>-</v>
      </c>
      <c r="CH13" s="38" t="str" cm="1">
        <f t="array" ref="CH13">_xlfn.IFS(AND($C$2='List(to hide)'!$B$3,'Table(related to graph)'!$C$3="Monthly"),KPI!CJ22,AND($C$2='List(to hide)'!$B$3,'Table(related to graph)'!$C$3='List(to hide)'!$C$3),KPI!CJ24,AND($C$2='List(to hide)'!$B$3,'Table(related to graph)'!$C$3='List(to hide)'!$C$4),KPI!CJ26)</f>
        <v>-</v>
      </c>
      <c r="CI13" s="38" t="str" cm="1">
        <f t="array" ref="CI13">_xlfn.IFS(AND($C$2='List(to hide)'!$B$3,'Table(related to graph)'!$C$3="Monthly"),KPI!CK22,AND($C$2='List(to hide)'!$B$3,'Table(related to graph)'!$C$3='List(to hide)'!$C$3),KPI!CK24,AND($C$2='List(to hide)'!$B$3,'Table(related to graph)'!$C$3='List(to hide)'!$C$4),KPI!CK26)</f>
        <v>-</v>
      </c>
      <c r="CJ13" s="38" t="str" cm="1">
        <f t="array" ref="CJ13">_xlfn.IFS(AND($C$2='List(to hide)'!$B$3,'Table(related to graph)'!$C$3="Monthly"),KPI!CL22,AND($C$2='List(to hide)'!$B$3,'Table(related to graph)'!$C$3='List(to hide)'!$C$3),KPI!CL24,AND($C$2='List(to hide)'!$B$3,'Table(related to graph)'!$C$3='List(to hide)'!$C$4),KPI!CL26)</f>
        <v>-</v>
      </c>
      <c r="CK13" s="38" t="str" cm="1">
        <f t="array" ref="CK13">_xlfn.IFS(AND($C$2='List(to hide)'!$B$3,'Table(related to graph)'!$C$3="Monthly"),KPI!CM22,AND($C$2='List(to hide)'!$B$3,'Table(related to graph)'!$C$3='List(to hide)'!$C$3),KPI!CM24,AND($C$2='List(to hide)'!$B$3,'Table(related to graph)'!$C$3='List(to hide)'!$C$4),KPI!CM26)</f>
        <v>-</v>
      </c>
      <c r="CL13" s="38" t="str" cm="1">
        <f t="array" ref="CL13">_xlfn.IFS(AND($C$2='List(to hide)'!$B$3,'Table(related to graph)'!$C$3="Monthly"),KPI!CN22,AND($C$2='List(to hide)'!$B$3,'Table(related to graph)'!$C$3='List(to hide)'!$C$3),KPI!CN24,AND($C$2='List(to hide)'!$B$3,'Table(related to graph)'!$C$3='List(to hide)'!$C$4),KPI!CN26)</f>
        <v>-</v>
      </c>
      <c r="CM13" s="38" t="str" cm="1">
        <f t="array" ref="CM13">_xlfn.IFS(AND($C$2='List(to hide)'!$B$3,'Table(related to graph)'!$C$3="Monthly"),KPI!CO22,AND($C$2='List(to hide)'!$B$3,'Table(related to graph)'!$C$3='List(to hide)'!$C$3),KPI!CO24,AND($C$2='List(to hide)'!$B$3,'Table(related to graph)'!$C$3='List(to hide)'!$C$4),KPI!CO26)</f>
        <v>-</v>
      </c>
      <c r="CN13" s="38" t="str" cm="1">
        <f t="array" ref="CN13">_xlfn.IFS(AND($C$2='List(to hide)'!$B$3,'Table(related to graph)'!$C$3="Monthly"),KPI!CP22,AND($C$2='List(to hide)'!$B$3,'Table(related to graph)'!$C$3='List(to hide)'!$C$3),KPI!CP24,AND($C$2='List(to hide)'!$B$3,'Table(related to graph)'!$C$3='List(to hide)'!$C$4),KPI!CP26)</f>
        <v>-</v>
      </c>
      <c r="CO13" s="38" t="str" cm="1">
        <f t="array" ref="CO13">_xlfn.IFS(AND($C$2='List(to hide)'!$B$3,'Table(related to graph)'!$C$3="Monthly"),KPI!CQ22,AND($C$2='List(to hide)'!$B$3,'Table(related to graph)'!$C$3='List(to hide)'!$C$3),KPI!CQ24,AND($C$2='List(to hide)'!$B$3,'Table(related to graph)'!$C$3='List(to hide)'!$C$4),KPI!CQ26)</f>
        <v>-</v>
      </c>
      <c r="CP13" s="38" t="str" cm="1">
        <f t="array" ref="CP13">_xlfn.IFS(AND($C$2='List(to hide)'!$B$3,'Table(related to graph)'!$C$3="Monthly"),KPI!CR22,AND($C$2='List(to hide)'!$B$3,'Table(related to graph)'!$C$3='List(to hide)'!$C$3),KPI!CR24,AND($C$2='List(to hide)'!$B$3,'Table(related to graph)'!$C$3='List(to hide)'!$C$4),KPI!CR26)</f>
        <v>-</v>
      </c>
      <c r="CQ13" s="38" t="str" cm="1">
        <f t="array" ref="CQ13">_xlfn.IFS(AND($C$2='List(to hide)'!$B$3,'Table(related to graph)'!$C$3="Monthly"),KPI!CS22,AND($C$2='List(to hide)'!$B$3,'Table(related to graph)'!$C$3='List(to hide)'!$C$3),KPI!CS24,AND($C$2='List(to hide)'!$B$3,'Table(related to graph)'!$C$3='List(to hide)'!$C$4),KPI!CS26)</f>
        <v>-</v>
      </c>
      <c r="CR13" s="38" t="str" cm="1">
        <f t="array" ref="CR13">_xlfn.IFS(AND($C$2='List(to hide)'!$B$3,'Table(related to graph)'!$C$3="Monthly"),KPI!CT22,AND($C$2='List(to hide)'!$B$3,'Table(related to graph)'!$C$3='List(to hide)'!$C$3),KPI!CT24,AND($C$2='List(to hide)'!$B$3,'Table(related to graph)'!$C$3='List(to hide)'!$C$4),KPI!CT26)</f>
        <v>-</v>
      </c>
      <c r="CS13" s="38" t="str" cm="1">
        <f t="array" ref="CS13">_xlfn.IFS(AND($C$2='List(to hide)'!$B$3,'Table(related to graph)'!$C$3="Monthly"),KPI!CU22,AND($C$2='List(to hide)'!$B$3,'Table(related to graph)'!$C$3='List(to hide)'!$C$3),KPI!CU24,AND($C$2='List(to hide)'!$B$3,'Table(related to graph)'!$C$3='List(to hide)'!$C$4),KPI!CU26)</f>
        <v>-</v>
      </c>
      <c r="CT13" s="38" t="str" cm="1">
        <f t="array" ref="CT13">_xlfn.IFS(AND($C$2='List(to hide)'!$B$3,'Table(related to graph)'!$C$3="Monthly"),KPI!CV22,AND($C$2='List(to hide)'!$B$3,'Table(related to graph)'!$C$3='List(to hide)'!$C$3),KPI!CV24,AND($C$2='List(to hide)'!$B$3,'Table(related to graph)'!$C$3='List(to hide)'!$C$4),KPI!CV26)</f>
        <v>-</v>
      </c>
      <c r="CU13" s="38" t="str" cm="1">
        <f t="array" ref="CU13">_xlfn.IFS(AND($C$2='List(to hide)'!$B$3,'Table(related to graph)'!$C$3="Monthly"),KPI!CW22,AND($C$2='List(to hide)'!$B$3,'Table(related to graph)'!$C$3='List(to hide)'!$C$3),KPI!CW24,AND($C$2='List(to hide)'!$B$3,'Table(related to graph)'!$C$3='List(to hide)'!$C$4),KPI!CW26)</f>
        <v>-</v>
      </c>
      <c r="CV13" s="38" t="str" cm="1">
        <f t="array" ref="CV13">_xlfn.IFS(AND($C$2='List(to hide)'!$B$3,'Table(related to graph)'!$C$3="Monthly"),KPI!CX22,AND($C$2='List(to hide)'!$B$3,'Table(related to graph)'!$C$3='List(to hide)'!$C$3),KPI!CX24,AND($C$2='List(to hide)'!$B$3,'Table(related to graph)'!$C$3='List(to hide)'!$C$4),KPI!CX26)</f>
        <v>-</v>
      </c>
      <c r="CW13" s="38" t="str" cm="1">
        <f t="array" ref="CW13">_xlfn.IFS(AND($C$2='List(to hide)'!$B$3,'Table(related to graph)'!$C$3="Monthly"),KPI!CY22,AND($C$2='List(to hide)'!$B$3,'Table(related to graph)'!$C$3='List(to hide)'!$C$3),KPI!CY24,AND($C$2='List(to hide)'!$B$3,'Table(related to graph)'!$C$3='List(to hide)'!$C$4),KPI!CY26)</f>
        <v>-</v>
      </c>
      <c r="CX13" s="38" t="str" cm="1">
        <f t="array" ref="CX13">_xlfn.IFS(AND($C$2='List(to hide)'!$B$3,'Table(related to graph)'!$C$3="Monthly"),KPI!CZ22,AND($C$2='List(to hide)'!$B$3,'Table(related to graph)'!$C$3='List(to hide)'!$C$3),KPI!CZ24,AND($C$2='List(to hide)'!$B$3,'Table(related to graph)'!$C$3='List(to hide)'!$C$4),KPI!CZ26)</f>
        <v>-</v>
      </c>
      <c r="CY13" s="38" t="str" cm="1">
        <f t="array" ref="CY13">_xlfn.IFS(AND($C$2='List(to hide)'!$B$3,'Table(related to graph)'!$C$3="Monthly"),KPI!DA22,AND($C$2='List(to hide)'!$B$3,'Table(related to graph)'!$C$3='List(to hide)'!$C$3),KPI!DA24,AND($C$2='List(to hide)'!$B$3,'Table(related to graph)'!$C$3='List(to hide)'!$C$4),KPI!DA26)</f>
        <v>-</v>
      </c>
      <c r="CZ13" s="38" t="str" cm="1">
        <f t="array" ref="CZ13">_xlfn.IFS(AND($C$2='List(to hide)'!$B$3,'Table(related to graph)'!$C$3="Monthly"),KPI!DB22,AND($C$2='List(to hide)'!$B$3,'Table(related to graph)'!$C$3='List(to hide)'!$C$3),KPI!DB24,AND($C$2='List(to hide)'!$B$3,'Table(related to graph)'!$C$3='List(to hide)'!$C$4),KPI!DB26)</f>
        <v>-</v>
      </c>
      <c r="DA13" s="38" t="str" cm="1">
        <f t="array" ref="DA13">_xlfn.IFS(AND($C$2='List(to hide)'!$B$3,'Table(related to graph)'!$C$3="Monthly"),KPI!DC22,AND($C$2='List(to hide)'!$B$3,'Table(related to graph)'!$C$3='List(to hide)'!$C$3),KPI!DC24,AND($C$2='List(to hide)'!$B$3,'Table(related to graph)'!$C$3='List(to hide)'!$C$4),KPI!DC26)</f>
        <v>-</v>
      </c>
      <c r="DB13" s="38" t="str" cm="1">
        <f t="array" ref="DB13">_xlfn.IFS(AND($C$2='List(to hide)'!$B$3,'Table(related to graph)'!$C$3="Monthly"),KPI!DD22,AND($C$2='List(to hide)'!$B$3,'Table(related to graph)'!$C$3='List(to hide)'!$C$3),KPI!DD24,AND($C$2='List(to hide)'!$B$3,'Table(related to graph)'!$C$3='List(to hide)'!$C$4),KPI!DD26)</f>
        <v>-</v>
      </c>
      <c r="DC13" s="38" t="str" cm="1">
        <f t="array" ref="DC13">_xlfn.IFS(AND($C$2='List(to hide)'!$B$3,'Table(related to graph)'!$C$3="Monthly"),KPI!DE22,AND($C$2='List(to hide)'!$B$3,'Table(related to graph)'!$C$3='List(to hide)'!$C$3),KPI!DE24,AND($C$2='List(to hide)'!$B$3,'Table(related to graph)'!$C$3='List(to hide)'!$C$4),KPI!DE26)</f>
        <v>-</v>
      </c>
      <c r="DD13" s="38" t="str" cm="1">
        <f t="array" ref="DD13">_xlfn.IFS(AND($C$2='List(to hide)'!$B$3,'Table(related to graph)'!$C$3="Monthly"),KPI!DF22,AND($C$2='List(to hide)'!$B$3,'Table(related to graph)'!$C$3='List(to hide)'!$C$3),KPI!DF24,AND($C$2='List(to hide)'!$B$3,'Table(related to graph)'!$C$3='List(to hide)'!$C$4),KPI!DF26)</f>
        <v>-</v>
      </c>
      <c r="DE13" s="38" t="str" cm="1">
        <f t="array" ref="DE13">_xlfn.IFS(AND($C$2='List(to hide)'!$B$3,'Table(related to graph)'!$C$3="Monthly"),KPI!DG22,AND($C$2='List(to hide)'!$B$3,'Table(related to graph)'!$C$3='List(to hide)'!$C$3),KPI!DG24,AND($C$2='List(to hide)'!$B$3,'Table(related to graph)'!$C$3='List(to hide)'!$C$4),KPI!DG26)</f>
        <v>-</v>
      </c>
      <c r="DF13" s="38" t="str" cm="1">
        <f t="array" ref="DF13">_xlfn.IFS(AND($C$2='List(to hide)'!$B$3,'Table(related to graph)'!$C$3="Monthly"),KPI!DH22,AND($C$2='List(to hide)'!$B$3,'Table(related to graph)'!$C$3='List(to hide)'!$C$3),KPI!DH24,AND($C$2='List(to hide)'!$B$3,'Table(related to graph)'!$C$3='List(to hide)'!$C$4),KPI!DH26)</f>
        <v>-</v>
      </c>
      <c r="DG13" s="38" t="str" cm="1">
        <f t="array" ref="DG13">_xlfn.IFS(AND($C$2='List(to hide)'!$B$3,'Table(related to graph)'!$C$3="Monthly"),KPI!DI22,AND($C$2='List(to hide)'!$B$3,'Table(related to graph)'!$C$3='List(to hide)'!$C$3),KPI!DI24,AND($C$2='List(to hide)'!$B$3,'Table(related to graph)'!$C$3='List(to hide)'!$C$4),KPI!DI26)</f>
        <v>-</v>
      </c>
      <c r="DH13" s="38" t="str" cm="1">
        <f t="array" ref="DH13">_xlfn.IFS(AND($C$2='List(to hide)'!$B$3,'Table(related to graph)'!$C$3="Monthly"),KPI!DJ22,AND($C$2='List(to hide)'!$B$3,'Table(related to graph)'!$C$3='List(to hide)'!$C$3),KPI!DJ24,AND($C$2='List(to hide)'!$B$3,'Table(related to graph)'!$C$3='List(to hide)'!$C$4),KPI!DJ26)</f>
        <v>-</v>
      </c>
      <c r="DI13" s="38" t="str" cm="1">
        <f t="array" ref="DI13">_xlfn.IFS(AND($C$2='List(to hide)'!$B$3,'Table(related to graph)'!$C$3="Monthly"),KPI!DK22,AND($C$2='List(to hide)'!$B$3,'Table(related to graph)'!$C$3='List(to hide)'!$C$3),KPI!DK24,AND($C$2='List(to hide)'!$B$3,'Table(related to graph)'!$C$3='List(to hide)'!$C$4),KPI!DK26)</f>
        <v>-</v>
      </c>
      <c r="DJ13" s="38" t="str" cm="1">
        <f t="array" ref="DJ13">_xlfn.IFS(AND($C$2='List(to hide)'!$B$3,'Table(related to graph)'!$C$3="Monthly"),KPI!DL22,AND($C$2='List(to hide)'!$B$3,'Table(related to graph)'!$C$3='List(to hide)'!$C$3),KPI!DL24,AND($C$2='List(to hide)'!$B$3,'Table(related to graph)'!$C$3='List(to hide)'!$C$4),KPI!DL26)</f>
        <v>-</v>
      </c>
      <c r="DK13" s="38" t="str" cm="1">
        <f t="array" ref="DK13">_xlfn.IFS(AND($C$2='List(to hide)'!$B$3,'Table(related to graph)'!$C$3="Monthly"),KPI!DM22,AND($C$2='List(to hide)'!$B$3,'Table(related to graph)'!$C$3='List(to hide)'!$C$3),KPI!DM24,AND($C$2='List(to hide)'!$B$3,'Table(related to graph)'!$C$3='List(to hide)'!$C$4),KPI!DM26)</f>
        <v>-</v>
      </c>
      <c r="DL13" s="38" t="str" cm="1">
        <f t="array" ref="DL13">_xlfn.IFS(AND($C$2='List(to hide)'!$B$3,'Table(related to graph)'!$C$3="Monthly"),KPI!DN22,AND($C$2='List(to hide)'!$B$3,'Table(related to graph)'!$C$3='List(to hide)'!$C$3),KPI!DN24,AND($C$2='List(to hide)'!$B$3,'Table(related to graph)'!$C$3='List(to hide)'!$C$4),KPI!DN26)</f>
        <v>-</v>
      </c>
      <c r="DM13" s="38" t="str" cm="1">
        <f t="array" ref="DM13">_xlfn.IFS(AND($C$2='List(to hide)'!$B$3,'Table(related to graph)'!$C$3="Monthly"),KPI!DO22,AND($C$2='List(to hide)'!$B$3,'Table(related to graph)'!$C$3='List(to hide)'!$C$3),KPI!DO24,AND($C$2='List(to hide)'!$B$3,'Table(related to graph)'!$C$3='List(to hide)'!$C$4),KPI!DO26)</f>
        <v>-</v>
      </c>
      <c r="DN13" s="38" t="str" cm="1">
        <f t="array" ref="DN13">_xlfn.IFS(AND($C$2='List(to hide)'!$B$3,'Table(related to graph)'!$C$3="Monthly"),KPI!DP22,AND($C$2='List(to hide)'!$B$3,'Table(related to graph)'!$C$3='List(to hide)'!$C$3),KPI!DP24,AND($C$2='List(to hide)'!$B$3,'Table(related to graph)'!$C$3='List(to hide)'!$C$4),KPI!DP26)</f>
        <v>-</v>
      </c>
      <c r="DO13" s="38" t="str" cm="1">
        <f t="array" ref="DO13">_xlfn.IFS(AND($C$2='List(to hide)'!$B$3,'Table(related to graph)'!$C$3="Monthly"),KPI!DQ22,AND($C$2='List(to hide)'!$B$3,'Table(related to graph)'!$C$3='List(to hide)'!$C$3),KPI!DQ24,AND($C$2='List(to hide)'!$B$3,'Table(related to graph)'!$C$3='List(to hide)'!$C$4),KPI!DQ26)</f>
        <v>-</v>
      </c>
      <c r="DP13" s="38" t="str" cm="1">
        <f t="array" ref="DP13">_xlfn.IFS(AND($C$2='List(to hide)'!$B$3,'Table(related to graph)'!$C$3="Monthly"),KPI!DR22,AND($C$2='List(to hide)'!$B$3,'Table(related to graph)'!$C$3='List(to hide)'!$C$3),KPI!DR24,AND($C$2='List(to hide)'!$B$3,'Table(related to graph)'!$C$3='List(to hide)'!$C$4),KPI!DR26)</f>
        <v>-</v>
      </c>
      <c r="DQ13" s="38" t="str" cm="1">
        <f t="array" ref="DQ13">_xlfn.IFS(AND($C$2='List(to hide)'!$B$3,'Table(related to graph)'!$C$3="Monthly"),KPI!DS22,AND($C$2='List(to hide)'!$B$3,'Table(related to graph)'!$C$3='List(to hide)'!$C$3),KPI!DS24,AND($C$2='List(to hide)'!$B$3,'Table(related to graph)'!$C$3='List(to hide)'!$C$4),KPI!DS26)</f>
        <v>-</v>
      </c>
      <c r="DR13" s="38" t="str" cm="1">
        <f t="array" ref="DR13">_xlfn.IFS(AND($C$2='List(to hide)'!$B$3,'Table(related to graph)'!$C$3="Monthly"),KPI!DT22,AND($C$2='List(to hide)'!$B$3,'Table(related to graph)'!$C$3='List(to hide)'!$C$3),KPI!DT24,AND($C$2='List(to hide)'!$B$3,'Table(related to graph)'!$C$3='List(to hide)'!$C$4),KPI!DT26)</f>
        <v>-</v>
      </c>
      <c r="DS13" s="38" t="str" cm="1">
        <f t="array" ref="DS13">_xlfn.IFS(AND($C$2='List(to hide)'!$B$3,'Table(related to graph)'!$C$3="Monthly"),KPI!DU22,AND($C$2='List(to hide)'!$B$3,'Table(related to graph)'!$C$3='List(to hide)'!$C$3),KPI!DU24,AND($C$2='List(to hide)'!$B$3,'Table(related to graph)'!$C$3='List(to hide)'!$C$4),KPI!DU26)</f>
        <v>-</v>
      </c>
      <c r="DT13" s="38" t="str" cm="1">
        <f t="array" ref="DT13">_xlfn.IFS(AND($C$2='List(to hide)'!$B$3,'Table(related to graph)'!$C$3="Monthly"),KPI!DV22,AND($C$2='List(to hide)'!$B$3,'Table(related to graph)'!$C$3='List(to hide)'!$C$3),KPI!DV24,AND($C$2='List(to hide)'!$B$3,'Table(related to graph)'!$C$3='List(to hide)'!$C$4),KPI!DV26)</f>
        <v>-</v>
      </c>
      <c r="DU13" s="38" t="str" cm="1">
        <f t="array" ref="DU13">_xlfn.IFS(AND($C$2='List(to hide)'!$B$3,'Table(related to graph)'!$C$3="Monthly"),KPI!DW22,AND($C$2='List(to hide)'!$B$3,'Table(related to graph)'!$C$3='List(to hide)'!$C$3),KPI!DW24,AND($C$2='List(to hide)'!$B$3,'Table(related to graph)'!$C$3='List(to hide)'!$C$4),KPI!DW26)</f>
        <v>-</v>
      </c>
      <c r="DV13" s="38" t="str" cm="1">
        <f t="array" ref="DV13">_xlfn.IFS(AND($C$2='List(to hide)'!$B$3,'Table(related to graph)'!$C$3="Monthly"),KPI!DX22,AND($C$2='List(to hide)'!$B$3,'Table(related to graph)'!$C$3='List(to hide)'!$C$3),KPI!DX24,AND($C$2='List(to hide)'!$B$3,'Table(related to graph)'!$C$3='List(to hide)'!$C$4),KPI!DX26)</f>
        <v>-</v>
      </c>
      <c r="DW13" s="38" t="str" cm="1">
        <f t="array" ref="DW13">_xlfn.IFS(AND($C$2='List(to hide)'!$B$3,'Table(related to graph)'!$C$3="Monthly"),KPI!DY22,AND($C$2='List(to hide)'!$B$3,'Table(related to graph)'!$C$3='List(to hide)'!$C$3),KPI!DY24,AND($C$2='List(to hide)'!$B$3,'Table(related to graph)'!$C$3='List(to hide)'!$C$4),KPI!DY26)</f>
        <v>-</v>
      </c>
      <c r="DX13" s="38" t="str" cm="1">
        <f t="array" ref="DX13">_xlfn.IFS(AND($C$2='List(to hide)'!$B$3,'Table(related to graph)'!$C$3="Monthly"),KPI!DZ22,AND($C$2='List(to hide)'!$B$3,'Table(related to graph)'!$C$3='List(to hide)'!$C$3),KPI!DZ24,AND($C$2='List(to hide)'!$B$3,'Table(related to graph)'!$C$3='List(to hide)'!$C$4),KPI!DZ26)</f>
        <v>-</v>
      </c>
      <c r="DY13" s="38" t="str" cm="1">
        <f t="array" ref="DY13">_xlfn.IFS(AND($C$2='List(to hide)'!$B$3,'Table(related to graph)'!$C$3="Monthly"),KPI!EA22,AND($C$2='List(to hide)'!$B$3,'Table(related to graph)'!$C$3='List(to hide)'!$C$3),KPI!EA24,AND($C$2='List(to hide)'!$B$3,'Table(related to graph)'!$C$3='List(to hide)'!$C$4),KPI!EA26)</f>
        <v>-</v>
      </c>
      <c r="DZ13" s="38" t="str" cm="1">
        <f t="array" ref="DZ13">_xlfn.IFS(AND($C$2='List(to hide)'!$B$3,'Table(related to graph)'!$C$3="Monthly"),KPI!EB22,AND($C$2='List(to hide)'!$B$3,'Table(related to graph)'!$C$3='List(to hide)'!$C$3),KPI!EB24,AND($C$2='List(to hide)'!$B$3,'Table(related to graph)'!$C$3='List(to hide)'!$C$4),KPI!EB26)</f>
        <v>-</v>
      </c>
      <c r="EA13" s="38" t="str" cm="1">
        <f t="array" ref="EA13">_xlfn.IFS(AND($C$2='List(to hide)'!$B$3,'Table(related to graph)'!$C$3="Monthly"),KPI!EC22,AND($C$2='List(to hide)'!$B$3,'Table(related to graph)'!$C$3='List(to hide)'!$C$3),KPI!EC24,AND($C$2='List(to hide)'!$B$3,'Table(related to graph)'!$C$3='List(to hide)'!$C$4),KPI!EC26)</f>
        <v>-</v>
      </c>
      <c r="EB13" s="38" t="str" cm="1">
        <f t="array" ref="EB13">_xlfn.IFS(AND($C$2='List(to hide)'!$B$3,'Table(related to graph)'!$C$3="Monthly"),KPI!ED22,AND($C$2='List(to hide)'!$B$3,'Table(related to graph)'!$C$3='List(to hide)'!$C$3),KPI!ED24,AND($C$2='List(to hide)'!$B$3,'Table(related to graph)'!$C$3='List(to hide)'!$C$4),KPI!ED26)</f>
        <v>-</v>
      </c>
      <c r="EC13" s="38" t="str" cm="1">
        <f t="array" ref="EC13">_xlfn.IFS(AND($C$2='List(to hide)'!$B$3,'Table(related to graph)'!$C$3="Monthly"),KPI!EE22,AND($C$2='List(to hide)'!$B$3,'Table(related to graph)'!$C$3='List(to hide)'!$C$3),KPI!EE24,AND($C$2='List(to hide)'!$B$3,'Table(related to graph)'!$C$3='List(to hide)'!$C$4),KPI!EE26)</f>
        <v>-</v>
      </c>
      <c r="ED13" s="38" t="str" cm="1">
        <f t="array" ref="ED13">_xlfn.IFS(AND($C$2='List(to hide)'!$B$3,'Table(related to graph)'!$C$3="Monthly"),KPI!EF22,AND($C$2='List(to hide)'!$B$3,'Table(related to graph)'!$C$3='List(to hide)'!$C$3),KPI!EF24,AND($C$2='List(to hide)'!$B$3,'Table(related to graph)'!$C$3='List(to hide)'!$C$4),KPI!EF26)</f>
        <v>-</v>
      </c>
      <c r="EE13" s="38" t="str" cm="1">
        <f t="array" ref="EE13">_xlfn.IFS(AND($C$2='List(to hide)'!$B$3,'Table(related to graph)'!$C$3="Monthly"),KPI!EG22,AND($C$2='List(to hide)'!$B$3,'Table(related to graph)'!$C$3='List(to hide)'!$C$3),KPI!EG24,AND($C$2='List(to hide)'!$B$3,'Table(related to graph)'!$C$3='List(to hide)'!$C$4),KPI!EG26)</f>
        <v>-</v>
      </c>
      <c r="EF13" s="38" t="str" cm="1">
        <f t="array" ref="EF13">_xlfn.IFS(AND($C$2='List(to hide)'!$B$3,'Table(related to graph)'!$C$3="Monthly"),KPI!EH22,AND($C$2='List(to hide)'!$B$3,'Table(related to graph)'!$C$3='List(to hide)'!$C$3),KPI!EH24,AND($C$2='List(to hide)'!$B$3,'Table(related to graph)'!$C$3='List(to hide)'!$C$4),KPI!EH26)</f>
        <v>-</v>
      </c>
      <c r="EG13" s="38" t="str" cm="1">
        <f t="array" ref="EG13">_xlfn.IFS(AND($C$2='List(to hide)'!$B$3,'Table(related to graph)'!$C$3="Monthly"),KPI!EI22,AND($C$2='List(to hide)'!$B$3,'Table(related to graph)'!$C$3='List(to hide)'!$C$3),KPI!EI24,AND($C$2='List(to hide)'!$B$3,'Table(related to graph)'!$C$3='List(to hide)'!$C$4),KPI!EI26)</f>
        <v>-</v>
      </c>
      <c r="EH13" s="38" t="str" cm="1">
        <f t="array" ref="EH13">_xlfn.IFS(AND($C$2='List(to hide)'!$B$3,'Table(related to graph)'!$C$3="Monthly"),KPI!EJ22,AND($C$2='List(to hide)'!$B$3,'Table(related to graph)'!$C$3='List(to hide)'!$C$3),KPI!EJ24,AND($C$2='List(to hide)'!$B$3,'Table(related to graph)'!$C$3='List(to hide)'!$C$4),KPI!EJ26)</f>
        <v>-</v>
      </c>
      <c r="EI13" s="38" t="str" cm="1">
        <f t="array" ref="EI13">_xlfn.IFS(AND($C$2='List(to hide)'!$B$3,'Table(related to graph)'!$C$3="Monthly"),KPI!EK22,AND($C$2='List(to hide)'!$B$3,'Table(related to graph)'!$C$3='List(to hide)'!$C$3),KPI!EK24,AND($C$2='List(to hide)'!$B$3,'Table(related to graph)'!$C$3='List(to hide)'!$C$4),KPI!EK26)</f>
        <v>-</v>
      </c>
      <c r="EJ13" s="38" t="str" cm="1">
        <f t="array" ref="EJ13">_xlfn.IFS(AND($C$2='List(to hide)'!$B$3,'Table(related to graph)'!$C$3="Monthly"),KPI!EL22,AND($C$2='List(to hide)'!$B$3,'Table(related to graph)'!$C$3='List(to hide)'!$C$3),KPI!EL24,AND($C$2='List(to hide)'!$B$3,'Table(related to graph)'!$C$3='List(to hide)'!$C$4),KPI!EL26)</f>
        <v>-</v>
      </c>
      <c r="EK13" s="38" t="str" cm="1">
        <f t="array" ref="EK13">_xlfn.IFS(AND($C$2='List(to hide)'!$B$3,'Table(related to graph)'!$C$3="Monthly"),KPI!EM22,AND($C$2='List(to hide)'!$B$3,'Table(related to graph)'!$C$3='List(to hide)'!$C$3),KPI!EM24,AND($C$2='List(to hide)'!$B$3,'Table(related to graph)'!$C$3='List(to hide)'!$C$4),KPI!EM26)</f>
        <v>-</v>
      </c>
      <c r="EL13" s="38" t="str" cm="1">
        <f t="array" ref="EL13">_xlfn.IFS(AND($C$2='List(to hide)'!$B$3,'Table(related to graph)'!$C$3="Monthly"),KPI!EN22,AND($C$2='List(to hide)'!$B$3,'Table(related to graph)'!$C$3='List(to hide)'!$C$3),KPI!EN24,AND($C$2='List(to hide)'!$B$3,'Table(related to graph)'!$C$3='List(to hide)'!$C$4),KPI!EN26)</f>
        <v>-</v>
      </c>
      <c r="EM13" s="38" t="str" cm="1">
        <f t="array" ref="EM13">_xlfn.IFS(AND($C$2='List(to hide)'!$B$3,'Table(related to graph)'!$C$3="Monthly"),KPI!EO22,AND($C$2='List(to hide)'!$B$3,'Table(related to graph)'!$C$3='List(to hide)'!$C$3),KPI!EO24,AND($C$2='List(to hide)'!$B$3,'Table(related to graph)'!$C$3='List(to hide)'!$C$4),KPI!EO26)</f>
        <v>-</v>
      </c>
      <c r="EN13" s="38" t="str" cm="1">
        <f t="array" ref="EN13">_xlfn.IFS(AND($C$2='List(to hide)'!$B$3,'Table(related to graph)'!$C$3="Monthly"),KPI!EP22,AND($C$2='List(to hide)'!$B$3,'Table(related to graph)'!$C$3='List(to hide)'!$C$3),KPI!EP24,AND($C$2='List(to hide)'!$B$3,'Table(related to graph)'!$C$3='List(to hide)'!$C$4),KPI!EP26)</f>
        <v>-</v>
      </c>
      <c r="EO13" s="38" t="str" cm="1">
        <f t="array" ref="EO13">_xlfn.IFS(AND($C$2='List(to hide)'!$B$3,'Table(related to graph)'!$C$3="Monthly"),KPI!EQ22,AND($C$2='List(to hide)'!$B$3,'Table(related to graph)'!$C$3='List(to hide)'!$C$3),KPI!EQ24,AND($C$2='List(to hide)'!$B$3,'Table(related to graph)'!$C$3='List(to hide)'!$C$4),KPI!EQ26)</f>
        <v>-</v>
      </c>
      <c r="EP13" s="38" t="str" cm="1">
        <f t="array" ref="EP13">_xlfn.IFS(AND($C$2='List(to hide)'!$B$3,'Table(related to graph)'!$C$3="Monthly"),KPI!ER22,AND($C$2='List(to hide)'!$B$3,'Table(related to graph)'!$C$3='List(to hide)'!$C$3),KPI!ER24,AND($C$2='List(to hide)'!$B$3,'Table(related to graph)'!$C$3='List(to hide)'!$C$4),KPI!ER26)</f>
        <v>-</v>
      </c>
      <c r="EQ13" s="38" t="str" cm="1">
        <f t="array" ref="EQ13">_xlfn.IFS(AND($C$2='List(to hide)'!$B$3,'Table(related to graph)'!$C$3="Monthly"),KPI!ES22,AND($C$2='List(to hide)'!$B$3,'Table(related to graph)'!$C$3='List(to hide)'!$C$3),KPI!ES24,AND($C$2='List(to hide)'!$B$3,'Table(related to graph)'!$C$3='List(to hide)'!$C$4),KPI!ES26)</f>
        <v>-</v>
      </c>
      <c r="ER13" s="38" t="str" cm="1">
        <f t="array" ref="ER13">_xlfn.IFS(AND($C$2='List(to hide)'!$B$3,'Table(related to graph)'!$C$3="Monthly"),KPI!ET22,AND($C$2='List(to hide)'!$B$3,'Table(related to graph)'!$C$3='List(to hide)'!$C$3),KPI!ET24,AND($C$2='List(to hide)'!$B$3,'Table(related to graph)'!$C$3='List(to hide)'!$C$4),KPI!ET26)</f>
        <v>-</v>
      </c>
      <c r="ES13" s="38" t="str" cm="1">
        <f t="array" ref="ES13">_xlfn.IFS(AND($C$2='List(to hide)'!$B$3,'Table(related to graph)'!$C$3="Monthly"),KPI!EU22,AND($C$2='List(to hide)'!$B$3,'Table(related to graph)'!$C$3='List(to hide)'!$C$3),KPI!EU24,AND($C$2='List(to hide)'!$B$3,'Table(related to graph)'!$C$3='List(to hide)'!$C$4),KPI!EU26)</f>
        <v>-</v>
      </c>
      <c r="ET13" s="38" t="str" cm="1">
        <f t="array" ref="ET13">_xlfn.IFS(AND($C$2='List(to hide)'!$B$3,'Table(related to graph)'!$C$3="Monthly"),KPI!EV22,AND($C$2='List(to hide)'!$B$3,'Table(related to graph)'!$C$3='List(to hide)'!$C$3),KPI!EV24,AND($C$2='List(to hide)'!$B$3,'Table(related to graph)'!$C$3='List(to hide)'!$C$4),KPI!EV26)</f>
        <v>-</v>
      </c>
      <c r="EU13" s="38" t="str" cm="1">
        <f t="array" ref="EU13">_xlfn.IFS(AND($C$2='List(to hide)'!$B$3,'Table(related to graph)'!$C$3="Monthly"),KPI!EW22,AND($C$2='List(to hide)'!$B$3,'Table(related to graph)'!$C$3='List(to hide)'!$C$3),KPI!EW24,AND($C$2='List(to hide)'!$B$3,'Table(related to graph)'!$C$3='List(to hide)'!$C$4),KPI!EW26)</f>
        <v>-</v>
      </c>
      <c r="EV13" s="38" t="str" cm="1">
        <f t="array" ref="EV13">_xlfn.IFS(AND($C$2='List(to hide)'!$B$3,'Table(related to graph)'!$C$3="Monthly"),KPI!EX22,AND($C$2='List(to hide)'!$B$3,'Table(related to graph)'!$C$3='List(to hide)'!$C$3),KPI!EX24,AND($C$2='List(to hide)'!$B$3,'Table(related to graph)'!$C$3='List(to hide)'!$C$4),KPI!EX26)</f>
        <v>-</v>
      </c>
      <c r="EW13" s="38" t="str" cm="1">
        <f t="array" ref="EW13">_xlfn.IFS(AND($C$2='List(to hide)'!$B$3,'Table(related to graph)'!$C$3="Monthly"),KPI!EY22,AND($C$2='List(to hide)'!$B$3,'Table(related to graph)'!$C$3='List(to hide)'!$C$3),KPI!EY24,AND($C$2='List(to hide)'!$B$3,'Table(related to graph)'!$C$3='List(to hide)'!$C$4),KPI!EY26)</f>
        <v>-</v>
      </c>
      <c r="EX13" s="38" t="str" cm="1">
        <f t="array" ref="EX13">_xlfn.IFS(AND($C$2='List(to hide)'!$B$3,'Table(related to graph)'!$C$3="Monthly"),KPI!EZ22,AND($C$2='List(to hide)'!$B$3,'Table(related to graph)'!$C$3='List(to hide)'!$C$3),KPI!EZ24,AND($C$2='List(to hide)'!$B$3,'Table(related to graph)'!$C$3='List(to hide)'!$C$4),KPI!EZ26)</f>
        <v>-</v>
      </c>
      <c r="EY13" s="38" t="str" cm="1">
        <f t="array" ref="EY13">_xlfn.IFS(AND($C$2='List(to hide)'!$B$3,'Table(related to graph)'!$C$3="Monthly"),KPI!FA22,AND($C$2='List(to hide)'!$B$3,'Table(related to graph)'!$C$3='List(to hide)'!$C$3),KPI!FA24,AND($C$2='List(to hide)'!$B$3,'Table(related to graph)'!$C$3='List(to hide)'!$C$4),KPI!FA26)</f>
        <v>-</v>
      </c>
      <c r="EZ13" s="38" t="str" cm="1">
        <f t="array" ref="EZ13">_xlfn.IFS(AND($C$2='List(to hide)'!$B$3,'Table(related to graph)'!$C$3="Monthly"),KPI!FB22,AND($C$2='List(to hide)'!$B$3,'Table(related to graph)'!$C$3='List(to hide)'!$C$3),KPI!FB24,AND($C$2='List(to hide)'!$B$3,'Table(related to graph)'!$C$3='List(to hide)'!$C$4),KPI!FB26)</f>
        <v>-</v>
      </c>
      <c r="FA13" s="38" t="str" cm="1">
        <f t="array" ref="FA13">_xlfn.IFS(AND($C$2='List(to hide)'!$B$3,'Table(related to graph)'!$C$3="Monthly"),KPI!FC22,AND($C$2='List(to hide)'!$B$3,'Table(related to graph)'!$C$3='List(to hide)'!$C$3),KPI!FC24,AND($C$2='List(to hide)'!$B$3,'Table(related to graph)'!$C$3='List(to hide)'!$C$4),KPI!FC26)</f>
        <v>-</v>
      </c>
      <c r="FB13" s="38" t="str" cm="1">
        <f t="array" ref="FB13">_xlfn.IFS(AND($C$2='List(to hide)'!$B$3,'Table(related to graph)'!$C$3="Monthly"),KPI!FD22,AND($C$2='List(to hide)'!$B$3,'Table(related to graph)'!$C$3='List(to hide)'!$C$3),KPI!FD24,AND($C$2='List(to hide)'!$B$3,'Table(related to graph)'!$C$3='List(to hide)'!$C$4),KPI!FD26)</f>
        <v>-</v>
      </c>
      <c r="FC13" s="38" t="str" cm="1">
        <f t="array" ref="FC13">_xlfn.IFS(AND($C$2='List(to hide)'!$B$3,'Table(related to graph)'!$C$3="Monthly"),KPI!FE22,AND($C$2='List(to hide)'!$B$3,'Table(related to graph)'!$C$3='List(to hide)'!$C$3),KPI!FE24,AND($C$2='List(to hide)'!$B$3,'Table(related to graph)'!$C$3='List(to hide)'!$C$4),KPI!FE26)</f>
        <v>-</v>
      </c>
      <c r="FD13" s="38" t="str" cm="1">
        <f t="array" ref="FD13">_xlfn.IFS(AND($C$2='List(to hide)'!$B$3,'Table(related to graph)'!$C$3="Monthly"),KPI!FF22,AND($C$2='List(to hide)'!$B$3,'Table(related to graph)'!$C$3='List(to hide)'!$C$3),KPI!FF24,AND($C$2='List(to hide)'!$B$3,'Table(related to graph)'!$C$3='List(to hide)'!$C$4),KPI!FF26)</f>
        <v>-</v>
      </c>
      <c r="FE13" s="38" t="str" cm="1">
        <f t="array" ref="FE13">_xlfn.IFS(AND($C$2='List(to hide)'!$B$3,'Table(related to graph)'!$C$3="Monthly"),KPI!FG22,AND($C$2='List(to hide)'!$B$3,'Table(related to graph)'!$C$3='List(to hide)'!$C$3),KPI!FG24,AND($C$2='List(to hide)'!$B$3,'Table(related to graph)'!$C$3='List(to hide)'!$C$4),KPI!FG26)</f>
        <v>-</v>
      </c>
      <c r="FF13" s="38" t="str" cm="1">
        <f t="array" ref="FF13">_xlfn.IFS(AND($C$2='List(to hide)'!$B$3,'Table(related to graph)'!$C$3="Monthly"),KPI!FH22,AND($C$2='List(to hide)'!$B$3,'Table(related to graph)'!$C$3='List(to hide)'!$C$3),KPI!FH24,AND($C$2='List(to hide)'!$B$3,'Table(related to graph)'!$C$3='List(to hide)'!$C$4),KPI!FH26)</f>
        <v>-</v>
      </c>
      <c r="FG13" s="38" t="str" cm="1">
        <f t="array" ref="FG13">_xlfn.IFS(AND($C$2='List(to hide)'!$B$3,'Table(related to graph)'!$C$3="Monthly"),KPI!FI22,AND($C$2='List(to hide)'!$B$3,'Table(related to graph)'!$C$3='List(to hide)'!$C$3),KPI!FI24,AND($C$2='List(to hide)'!$B$3,'Table(related to graph)'!$C$3='List(to hide)'!$C$4),KPI!FI26)</f>
        <v>-</v>
      </c>
      <c r="FH13" s="38" t="str" cm="1">
        <f t="array" ref="FH13">_xlfn.IFS(AND($C$2='List(to hide)'!$B$3,'Table(related to graph)'!$C$3="Monthly"),KPI!FJ22,AND($C$2='List(to hide)'!$B$3,'Table(related to graph)'!$C$3='List(to hide)'!$C$3),KPI!FJ24,AND($C$2='List(to hide)'!$B$3,'Table(related to graph)'!$C$3='List(to hide)'!$C$4),KPI!FJ26)</f>
        <v>-</v>
      </c>
      <c r="FI13" s="38" t="str" cm="1">
        <f t="array" ref="FI13">_xlfn.IFS(AND($C$2='List(to hide)'!$B$3,'Table(related to graph)'!$C$3="Monthly"),KPI!FK22,AND($C$2='List(to hide)'!$B$3,'Table(related to graph)'!$C$3='List(to hide)'!$C$3),KPI!FK24,AND($C$2='List(to hide)'!$B$3,'Table(related to graph)'!$C$3='List(to hide)'!$C$4),KPI!FK26)</f>
        <v>-</v>
      </c>
      <c r="FJ13" s="38" t="str" cm="1">
        <f t="array" ref="FJ13">_xlfn.IFS(AND($C$2='List(to hide)'!$B$3,'Table(related to graph)'!$C$3="Monthly"),KPI!FL22,AND($C$2='List(to hide)'!$B$3,'Table(related to graph)'!$C$3='List(to hide)'!$C$3),KPI!FL24,AND($C$2='List(to hide)'!$B$3,'Table(related to graph)'!$C$3='List(to hide)'!$C$4),KPI!FL26)</f>
        <v>-</v>
      </c>
      <c r="FK13" s="38" t="str" cm="1">
        <f t="array" ref="FK13">_xlfn.IFS(AND($C$2='List(to hide)'!$B$3,'Table(related to graph)'!$C$3="Monthly"),KPI!FM22,AND($C$2='List(to hide)'!$B$3,'Table(related to graph)'!$C$3='List(to hide)'!$C$3),KPI!FM24,AND($C$2='List(to hide)'!$B$3,'Table(related to graph)'!$C$3='List(to hide)'!$C$4),KPI!FM26)</f>
        <v>-</v>
      </c>
      <c r="FL13" s="38" t="str" cm="1">
        <f t="array" ref="FL13">_xlfn.IFS(AND($C$2='List(to hide)'!$B$3,'Table(related to graph)'!$C$3="Monthly"),KPI!FN22,AND($C$2='List(to hide)'!$B$3,'Table(related to graph)'!$C$3='List(to hide)'!$C$3),KPI!FN24,AND($C$2='List(to hide)'!$B$3,'Table(related to graph)'!$C$3='List(to hide)'!$C$4),KPI!FN26)</f>
        <v>-</v>
      </c>
      <c r="FM13" s="38" t="str" cm="1">
        <f t="array" ref="FM13">_xlfn.IFS(AND($C$2='List(to hide)'!$B$3,'Table(related to graph)'!$C$3="Monthly"),KPI!FO22,AND($C$2='List(to hide)'!$B$3,'Table(related to graph)'!$C$3='List(to hide)'!$C$3),KPI!FO24,AND($C$2='List(to hide)'!$B$3,'Table(related to graph)'!$C$3='List(to hide)'!$C$4),KPI!FO26)</f>
        <v>-</v>
      </c>
      <c r="FN13" s="38" t="str" cm="1">
        <f t="array" ref="FN13">_xlfn.IFS(AND($C$2='List(to hide)'!$B$3,'Table(related to graph)'!$C$3="Monthly"),KPI!FP22,AND($C$2='List(to hide)'!$B$3,'Table(related to graph)'!$C$3='List(to hide)'!$C$3),KPI!FP24,AND($C$2='List(to hide)'!$B$3,'Table(related to graph)'!$C$3='List(to hide)'!$C$4),KPI!FP26)</f>
        <v>-</v>
      </c>
      <c r="FO13" s="38" t="str" cm="1">
        <f t="array" ref="FO13">_xlfn.IFS(AND($C$2='List(to hide)'!$B$3,'Table(related to graph)'!$C$3="Monthly"),KPI!FQ22,AND($C$2='List(to hide)'!$B$3,'Table(related to graph)'!$C$3='List(to hide)'!$C$3),KPI!FQ24,AND($C$2='List(to hide)'!$B$3,'Table(related to graph)'!$C$3='List(to hide)'!$C$4),KPI!FQ26)</f>
        <v>-</v>
      </c>
      <c r="FP13" s="38" t="str" cm="1">
        <f t="array" ref="FP13">_xlfn.IFS(AND($C$2='List(to hide)'!$B$3,'Table(related to graph)'!$C$3="Monthly"),KPI!FR22,AND($C$2='List(to hide)'!$B$3,'Table(related to graph)'!$C$3='List(to hide)'!$C$3),KPI!FR24,AND($C$2='List(to hide)'!$B$3,'Table(related to graph)'!$C$3='List(to hide)'!$C$4),KPI!FR26)</f>
        <v>-</v>
      </c>
      <c r="FQ13" s="38" t="str" cm="1">
        <f t="array" ref="FQ13">_xlfn.IFS(AND($C$2='List(to hide)'!$B$3,'Table(related to graph)'!$C$3="Monthly"),KPI!FS22,AND($C$2='List(to hide)'!$B$3,'Table(related to graph)'!$C$3='List(to hide)'!$C$3),KPI!FS24,AND($C$2='List(to hide)'!$B$3,'Table(related to graph)'!$C$3='List(to hide)'!$C$4),KPI!FS26)</f>
        <v>-</v>
      </c>
      <c r="FR13" s="38" t="str" cm="1">
        <f t="array" ref="FR13">_xlfn.IFS(AND($C$2='List(to hide)'!$B$3,'Table(related to graph)'!$C$3="Monthly"),KPI!FT22,AND($C$2='List(to hide)'!$B$3,'Table(related to graph)'!$C$3='List(to hide)'!$C$3),KPI!FT24,AND($C$2='List(to hide)'!$B$3,'Table(related to graph)'!$C$3='List(to hide)'!$C$4),KPI!FT26)</f>
        <v>-</v>
      </c>
      <c r="FS13" s="38" t="str" cm="1">
        <f t="array" ref="FS13">_xlfn.IFS(AND($C$2='List(to hide)'!$B$3,'Table(related to graph)'!$C$3="Monthly"),KPI!FU22,AND($C$2='List(to hide)'!$B$3,'Table(related to graph)'!$C$3='List(to hide)'!$C$3),KPI!FU24,AND($C$2='List(to hide)'!$B$3,'Table(related to graph)'!$C$3='List(to hide)'!$C$4),KPI!FU26)</f>
        <v>-</v>
      </c>
      <c r="FT13" s="38" t="str" cm="1">
        <f t="array" ref="FT13">_xlfn.IFS(AND($C$2='List(to hide)'!$B$3,'Table(related to graph)'!$C$3="Monthly"),KPI!FV22,AND($C$2='List(to hide)'!$B$3,'Table(related to graph)'!$C$3='List(to hide)'!$C$3),KPI!FV24,AND($C$2='List(to hide)'!$B$3,'Table(related to graph)'!$C$3='List(to hide)'!$C$4),KPI!FV26)</f>
        <v>-</v>
      </c>
      <c r="FU13" s="38" t="str" cm="1">
        <f t="array" ref="FU13">_xlfn.IFS(AND($C$2='List(to hide)'!$B$3,'Table(related to graph)'!$C$3="Monthly"),KPI!FW22,AND($C$2='List(to hide)'!$B$3,'Table(related to graph)'!$C$3='List(to hide)'!$C$3),KPI!FW24,AND($C$2='List(to hide)'!$B$3,'Table(related to graph)'!$C$3='List(to hide)'!$C$4),KPI!FW26)</f>
        <v>-</v>
      </c>
      <c r="FV13" s="38" t="str" cm="1">
        <f t="array" ref="FV13">_xlfn.IFS(AND($C$2='List(to hide)'!$B$3,'Table(related to graph)'!$C$3="Monthly"),KPI!FX22,AND($C$2='List(to hide)'!$B$3,'Table(related to graph)'!$C$3='List(to hide)'!$C$3),KPI!FX24,AND($C$2='List(to hide)'!$B$3,'Table(related to graph)'!$C$3='List(to hide)'!$C$4),KPI!FX26)</f>
        <v>-</v>
      </c>
      <c r="FW13" s="38" t="str" cm="1">
        <f t="array" ref="FW13">_xlfn.IFS(AND($C$2='List(to hide)'!$B$3,'Table(related to graph)'!$C$3="Monthly"),KPI!FY22,AND($C$2='List(to hide)'!$B$3,'Table(related to graph)'!$C$3='List(to hide)'!$C$3),KPI!FY24,AND($C$2='List(to hide)'!$B$3,'Table(related to graph)'!$C$3='List(to hide)'!$C$4),KPI!FY26)</f>
        <v>-</v>
      </c>
      <c r="FX13" s="38" t="str" cm="1">
        <f t="array" ref="FX13">_xlfn.IFS(AND($C$2='List(to hide)'!$B$3,'Table(related to graph)'!$C$3="Monthly"),KPI!FZ22,AND($C$2='List(to hide)'!$B$3,'Table(related to graph)'!$C$3='List(to hide)'!$C$3),KPI!FZ24,AND($C$2='List(to hide)'!$B$3,'Table(related to graph)'!$C$3='List(to hide)'!$C$4),KPI!FZ26)</f>
        <v>-</v>
      </c>
      <c r="FY13" s="38" t="str" cm="1">
        <f t="array" ref="FY13">_xlfn.IFS(AND($C$2='List(to hide)'!$B$3,'Table(related to graph)'!$C$3="Monthly"),KPI!GA22,AND($C$2='List(to hide)'!$B$3,'Table(related to graph)'!$C$3='List(to hide)'!$C$3),KPI!GA24,AND($C$2='List(to hide)'!$B$3,'Table(related to graph)'!$C$3='List(to hide)'!$C$4),KPI!GA26)</f>
        <v>-</v>
      </c>
      <c r="FZ13" s="38" t="str" cm="1">
        <f t="array" ref="FZ13">_xlfn.IFS(AND($C$2='List(to hide)'!$B$3,'Table(related to graph)'!$C$3="Monthly"),KPI!GB22,AND($C$2='List(to hide)'!$B$3,'Table(related to graph)'!$C$3='List(to hide)'!$C$3),KPI!GB24,AND($C$2='List(to hide)'!$B$3,'Table(related to graph)'!$C$3='List(to hide)'!$C$4),KPI!GB26)</f>
        <v>-</v>
      </c>
      <c r="GA13" s="38" t="str" cm="1">
        <f t="array" ref="GA13">_xlfn.IFS(AND($C$2='List(to hide)'!$B$3,'Table(related to graph)'!$C$3="Monthly"),KPI!GC22,AND($C$2='List(to hide)'!$B$3,'Table(related to graph)'!$C$3='List(to hide)'!$C$3),KPI!GC24,AND($C$2='List(to hide)'!$B$3,'Table(related to graph)'!$C$3='List(to hide)'!$C$4),KPI!GC26)</f>
        <v>-</v>
      </c>
      <c r="GB13" s="38" t="str" cm="1">
        <f t="array" ref="GB13">_xlfn.IFS(AND($C$2='List(to hide)'!$B$3,'Table(related to graph)'!$C$3="Monthly"),KPI!GD22,AND($C$2='List(to hide)'!$B$3,'Table(related to graph)'!$C$3='List(to hide)'!$C$3),KPI!GD24,AND($C$2='List(to hide)'!$B$3,'Table(related to graph)'!$C$3='List(to hide)'!$C$4),KPI!GD26)</f>
        <v>-</v>
      </c>
      <c r="GC13" s="38" t="str" cm="1">
        <f t="array" ref="GC13">_xlfn.IFS(AND($C$2='List(to hide)'!$B$3,'Table(related to graph)'!$C$3="Monthly"),KPI!GE22,AND($C$2='List(to hide)'!$B$3,'Table(related to graph)'!$C$3='List(to hide)'!$C$3),KPI!GE24,AND($C$2='List(to hide)'!$B$3,'Table(related to graph)'!$C$3='List(to hide)'!$C$4),KPI!GE26)</f>
        <v>-</v>
      </c>
      <c r="GD13" s="38" t="str" cm="1">
        <f t="array" ref="GD13">_xlfn.IFS(AND($C$2='List(to hide)'!$B$3,'Table(related to graph)'!$C$3="Monthly"),KPI!GF22,AND($C$2='List(to hide)'!$B$3,'Table(related to graph)'!$C$3='List(to hide)'!$C$3),KPI!GF24,AND($C$2='List(to hide)'!$B$3,'Table(related to graph)'!$C$3='List(to hide)'!$C$4),KPI!GF26)</f>
        <v>-</v>
      </c>
      <c r="GE13" s="38" t="str" cm="1">
        <f t="array" ref="GE13">_xlfn.IFS(AND($C$2='List(to hide)'!$B$3,'Table(related to graph)'!$C$3="Monthly"),KPI!GG22,AND($C$2='List(to hide)'!$B$3,'Table(related to graph)'!$C$3='List(to hide)'!$C$3),KPI!GG24,AND($C$2='List(to hide)'!$B$3,'Table(related to graph)'!$C$3='List(to hide)'!$C$4),KPI!GG26)</f>
        <v>-</v>
      </c>
      <c r="GF13" s="38" t="str" cm="1">
        <f t="array" ref="GF13">_xlfn.IFS(AND($C$2='List(to hide)'!$B$3,'Table(related to graph)'!$C$3="Monthly"),KPI!GH22,AND($C$2='List(to hide)'!$B$3,'Table(related to graph)'!$C$3='List(to hide)'!$C$3),KPI!GH24,AND($C$2='List(to hide)'!$B$3,'Table(related to graph)'!$C$3='List(to hide)'!$C$4),KPI!GH26)</f>
        <v>-</v>
      </c>
      <c r="GG13" s="38" t="str" cm="1">
        <f t="array" ref="GG13">_xlfn.IFS(AND($C$2='List(to hide)'!$B$3,'Table(related to graph)'!$C$3="Monthly"),KPI!GI22,AND($C$2='List(to hide)'!$B$3,'Table(related to graph)'!$C$3='List(to hide)'!$C$3),KPI!GI24,AND($C$2='List(to hide)'!$B$3,'Table(related to graph)'!$C$3='List(to hide)'!$C$4),KPI!GI26)</f>
        <v>-</v>
      </c>
      <c r="GH13" s="38" t="str" cm="1">
        <f t="array" ref="GH13">_xlfn.IFS(AND($C$2='List(to hide)'!$B$3,'Table(related to graph)'!$C$3="Monthly"),KPI!GJ22,AND($C$2='List(to hide)'!$B$3,'Table(related to graph)'!$C$3='List(to hide)'!$C$3),KPI!GJ24,AND($C$2='List(to hide)'!$B$3,'Table(related to graph)'!$C$3='List(to hide)'!$C$4),KPI!GJ26)</f>
        <v>-</v>
      </c>
      <c r="GI13" s="38" t="str" cm="1">
        <f t="array" ref="GI13">_xlfn.IFS(AND($C$2='List(to hide)'!$B$3,'Table(related to graph)'!$C$3="Monthly"),KPI!GK22,AND($C$2='List(to hide)'!$B$3,'Table(related to graph)'!$C$3='List(to hide)'!$C$3),KPI!GK24,AND($C$2='List(to hide)'!$B$3,'Table(related to graph)'!$C$3='List(to hide)'!$C$4),KPI!GK26)</f>
        <v>-</v>
      </c>
      <c r="GJ13" s="38" t="str" cm="1">
        <f t="array" ref="GJ13">_xlfn.IFS(AND($C$2='List(to hide)'!$B$3,'Table(related to graph)'!$C$3="Monthly"),KPI!GL22,AND($C$2='List(to hide)'!$B$3,'Table(related to graph)'!$C$3='List(to hide)'!$C$3),KPI!GL24,AND($C$2='List(to hide)'!$B$3,'Table(related to graph)'!$C$3='List(to hide)'!$C$4),KPI!GL26)</f>
        <v>-</v>
      </c>
      <c r="GK13" s="38" t="str" cm="1">
        <f t="array" ref="GK13">_xlfn.IFS(AND($C$2='List(to hide)'!$B$3,'Table(related to graph)'!$C$3="Monthly"),KPI!GM22,AND($C$2='List(to hide)'!$B$3,'Table(related to graph)'!$C$3='List(to hide)'!$C$3),KPI!GM24,AND($C$2='List(to hide)'!$B$3,'Table(related to graph)'!$C$3='List(to hide)'!$C$4),KPI!GM26)</f>
        <v>-</v>
      </c>
      <c r="GL13" s="38" t="str" cm="1">
        <f t="array" ref="GL13">_xlfn.IFS(AND($C$2='List(to hide)'!$B$3,'Table(related to graph)'!$C$3="Monthly"),KPI!GN22,AND($C$2='List(to hide)'!$B$3,'Table(related to graph)'!$C$3='List(to hide)'!$C$3),KPI!GN24,AND($C$2='List(to hide)'!$B$3,'Table(related to graph)'!$C$3='List(to hide)'!$C$4),KPI!GN26)</f>
        <v>-</v>
      </c>
      <c r="GM13" s="38" t="str" cm="1">
        <f t="array" ref="GM13">_xlfn.IFS(AND($C$2='List(to hide)'!$B$3,'Table(related to graph)'!$C$3="Monthly"),KPI!GO22,AND($C$2='List(to hide)'!$B$3,'Table(related to graph)'!$C$3='List(to hide)'!$C$3),KPI!GO24,AND($C$2='List(to hide)'!$B$3,'Table(related to graph)'!$C$3='List(to hide)'!$C$4),KPI!GO26)</f>
        <v>-</v>
      </c>
      <c r="GN13" s="38" t="str" cm="1">
        <f t="array" ref="GN13">_xlfn.IFS(AND($C$2='List(to hide)'!$B$3,'Table(related to graph)'!$C$3="Monthly"),KPI!GP22,AND($C$2='List(to hide)'!$B$3,'Table(related to graph)'!$C$3='List(to hide)'!$C$3),KPI!GP24,AND($C$2='List(to hide)'!$B$3,'Table(related to graph)'!$C$3='List(to hide)'!$C$4),KPI!GP26)</f>
        <v>-</v>
      </c>
      <c r="GO13" s="38" t="str" cm="1">
        <f t="array" ref="GO13">_xlfn.IFS(AND($C$2='List(to hide)'!$B$3,'Table(related to graph)'!$C$3="Monthly"),KPI!GQ22,AND($C$2='List(to hide)'!$B$3,'Table(related to graph)'!$C$3='List(to hide)'!$C$3),KPI!GQ24,AND($C$2='List(to hide)'!$B$3,'Table(related to graph)'!$C$3='List(to hide)'!$C$4),KPI!GQ26)</f>
        <v>-</v>
      </c>
      <c r="GP13" s="38" t="str" cm="1">
        <f t="array" ref="GP13">_xlfn.IFS(AND($C$2='List(to hide)'!$B$3,'Table(related to graph)'!$C$3="Monthly"),KPI!GR22,AND($C$2='List(to hide)'!$B$3,'Table(related to graph)'!$C$3='List(to hide)'!$C$3),KPI!GR24,AND($C$2='List(to hide)'!$B$3,'Table(related to graph)'!$C$3='List(to hide)'!$C$4),KPI!GR26)</f>
        <v>-</v>
      </c>
      <c r="GQ13" s="38" t="str" cm="1">
        <f t="array" ref="GQ13">_xlfn.IFS(AND($C$2='List(to hide)'!$B$3,'Table(related to graph)'!$C$3="Monthly"),KPI!GS22,AND($C$2='List(to hide)'!$B$3,'Table(related to graph)'!$C$3='List(to hide)'!$C$3),KPI!GS24,AND($C$2='List(to hide)'!$B$3,'Table(related to graph)'!$C$3='List(to hide)'!$C$4),KPI!GS26)</f>
        <v>-</v>
      </c>
      <c r="GR13" s="38" t="str" cm="1">
        <f t="array" ref="GR13">_xlfn.IFS(AND($C$2='List(to hide)'!$B$3,'Table(related to graph)'!$C$3="Monthly"),KPI!GT22,AND($C$2='List(to hide)'!$B$3,'Table(related to graph)'!$C$3='List(to hide)'!$C$3),KPI!GT24,AND($C$2='List(to hide)'!$B$3,'Table(related to graph)'!$C$3='List(to hide)'!$C$4),KPI!GT26)</f>
        <v>-</v>
      </c>
      <c r="GS13" s="38" t="str" cm="1">
        <f t="array" ref="GS13">_xlfn.IFS(AND($C$2='List(to hide)'!$B$3,'Table(related to graph)'!$C$3="Monthly"),KPI!GU22,AND($C$2='List(to hide)'!$B$3,'Table(related to graph)'!$C$3='List(to hide)'!$C$3),KPI!GU24,AND($C$2='List(to hide)'!$B$3,'Table(related to graph)'!$C$3='List(to hide)'!$C$4),KPI!GU26)</f>
        <v>-</v>
      </c>
      <c r="GT13" s="38" t="str" cm="1">
        <f t="array" ref="GT13">_xlfn.IFS(AND($C$2='List(to hide)'!$B$3,'Table(related to graph)'!$C$3="Monthly"),KPI!GV22,AND($C$2='List(to hide)'!$B$3,'Table(related to graph)'!$C$3='List(to hide)'!$C$3),KPI!GV24,AND($C$2='List(to hide)'!$B$3,'Table(related to graph)'!$C$3='List(to hide)'!$C$4),KPI!GV26)</f>
        <v>-</v>
      </c>
      <c r="GU13" s="38" t="str" cm="1">
        <f t="array" ref="GU13">_xlfn.IFS(AND($C$2='List(to hide)'!$B$3,'Table(related to graph)'!$C$3="Monthly"),KPI!GW22,AND($C$2='List(to hide)'!$B$3,'Table(related to graph)'!$C$3='List(to hide)'!$C$3),KPI!GW24,AND($C$2='List(to hide)'!$B$3,'Table(related to graph)'!$C$3='List(to hide)'!$C$4),KPI!GW26)</f>
        <v>-</v>
      </c>
      <c r="GV13" s="38" t="str" cm="1">
        <f t="array" ref="GV13">_xlfn.IFS(AND($C$2='List(to hide)'!$B$3,'Table(related to graph)'!$C$3="Monthly"),KPI!GX22,AND($C$2='List(to hide)'!$B$3,'Table(related to graph)'!$C$3='List(to hide)'!$C$3),KPI!GX24,AND($C$2='List(to hide)'!$B$3,'Table(related to graph)'!$C$3='List(to hide)'!$C$4),KPI!GX26)</f>
        <v>-</v>
      </c>
      <c r="GW13" s="38" t="str" cm="1">
        <f t="array" ref="GW13">_xlfn.IFS(AND($C$2='List(to hide)'!$B$3,'Table(related to graph)'!$C$3="Monthly"),KPI!GY22,AND($C$2='List(to hide)'!$B$3,'Table(related to graph)'!$C$3='List(to hide)'!$C$3),KPI!GY24,AND($C$2='List(to hide)'!$B$3,'Table(related to graph)'!$C$3='List(to hide)'!$C$4),KPI!GY26)</f>
        <v>-</v>
      </c>
      <c r="GX13" s="38" t="str" cm="1">
        <f t="array" ref="GX13">_xlfn.IFS(AND($C$2='List(to hide)'!$B$3,'Table(related to graph)'!$C$3="Monthly"),KPI!GZ22,AND($C$2='List(to hide)'!$B$3,'Table(related to graph)'!$C$3='List(to hide)'!$C$3),KPI!GZ24,AND($C$2='List(to hide)'!$B$3,'Table(related to graph)'!$C$3='List(to hide)'!$C$4),KPI!GZ26)</f>
        <v>-</v>
      </c>
      <c r="GY13" s="38" t="str" cm="1">
        <f t="array" ref="GY13">_xlfn.IFS(AND($C$2='List(to hide)'!$B$3,'Table(related to graph)'!$C$3="Monthly"),KPI!HA22,AND($C$2='List(to hide)'!$B$3,'Table(related to graph)'!$C$3='List(to hide)'!$C$3),KPI!HA24,AND($C$2='List(to hide)'!$B$3,'Table(related to graph)'!$C$3='List(to hide)'!$C$4),KPI!HA26)</f>
        <v>-</v>
      </c>
      <c r="GZ13" s="38" t="str" cm="1">
        <f t="array" ref="GZ13">_xlfn.IFS(AND($C$2='List(to hide)'!$B$3,'Table(related to graph)'!$C$3="Monthly"),KPI!HB22,AND($C$2='List(to hide)'!$B$3,'Table(related to graph)'!$C$3='List(to hide)'!$C$3),KPI!HB24,AND($C$2='List(to hide)'!$B$3,'Table(related to graph)'!$C$3='List(to hide)'!$C$4),KPI!HB26)</f>
        <v>-</v>
      </c>
      <c r="HA13" s="38" t="str" cm="1">
        <f t="array" ref="HA13">_xlfn.IFS(AND($C$2='List(to hide)'!$B$3,'Table(related to graph)'!$C$3="Monthly"),KPI!HC22,AND($C$2='List(to hide)'!$B$3,'Table(related to graph)'!$C$3='List(to hide)'!$C$3),KPI!HC24,AND($C$2='List(to hide)'!$B$3,'Table(related to graph)'!$C$3='List(to hide)'!$C$4),KPI!HC26)</f>
        <v>-</v>
      </c>
      <c r="HB13" s="38" t="str" cm="1">
        <f t="array" ref="HB13">_xlfn.IFS(AND($C$2='List(to hide)'!$B$3,'Table(related to graph)'!$C$3="Monthly"),KPI!HD22,AND($C$2='List(to hide)'!$B$3,'Table(related to graph)'!$C$3='List(to hide)'!$C$3),KPI!HD24,AND($C$2='List(to hide)'!$B$3,'Table(related to graph)'!$C$3='List(to hide)'!$C$4),KPI!HD26)</f>
        <v>-</v>
      </c>
      <c r="HC13" s="38" t="str" cm="1">
        <f t="array" ref="HC13">_xlfn.IFS(AND($C$2='List(to hide)'!$B$3,'Table(related to graph)'!$C$3="Monthly"),KPI!HE22,AND($C$2='List(to hide)'!$B$3,'Table(related to graph)'!$C$3='List(to hide)'!$C$3),KPI!HE24,AND($C$2='List(to hide)'!$B$3,'Table(related to graph)'!$C$3='List(to hide)'!$C$4),KPI!HE26)</f>
        <v>-</v>
      </c>
      <c r="HD13" s="38" t="str" cm="1">
        <f t="array" ref="HD13">_xlfn.IFS(AND($C$2='List(to hide)'!$B$3,'Table(related to graph)'!$C$3="Monthly"),KPI!HF22,AND($C$2='List(to hide)'!$B$3,'Table(related to graph)'!$C$3='List(to hide)'!$C$3),KPI!HF24,AND($C$2='List(to hide)'!$B$3,'Table(related to graph)'!$C$3='List(to hide)'!$C$4),KPI!HF26)</f>
        <v>-</v>
      </c>
      <c r="HE13" s="38" t="str" cm="1">
        <f t="array" ref="HE13">_xlfn.IFS(AND($C$2='List(to hide)'!$B$3,'Table(related to graph)'!$C$3="Monthly"),KPI!HG22,AND($C$2='List(to hide)'!$B$3,'Table(related to graph)'!$C$3='List(to hide)'!$C$3),KPI!HG24,AND($C$2='List(to hide)'!$B$3,'Table(related to graph)'!$C$3='List(to hide)'!$C$4),KPI!HG26)</f>
        <v>-</v>
      </c>
      <c r="HF13" s="38" t="str" cm="1">
        <f t="array" ref="HF13">_xlfn.IFS(AND($C$2='List(to hide)'!$B$3,'Table(related to graph)'!$C$3="Monthly"),KPI!HH22,AND($C$2='List(to hide)'!$B$3,'Table(related to graph)'!$C$3='List(to hide)'!$C$3),KPI!HH24,AND($C$2='List(to hide)'!$B$3,'Table(related to graph)'!$C$3='List(to hide)'!$C$4),KPI!HH26)</f>
        <v>-</v>
      </c>
      <c r="HG13" s="38" t="str" cm="1">
        <f t="array" ref="HG13">_xlfn.IFS(AND($C$2='List(to hide)'!$B$3,'Table(related to graph)'!$C$3="Monthly"),KPI!HI22,AND($C$2='List(to hide)'!$B$3,'Table(related to graph)'!$C$3='List(to hide)'!$C$3),KPI!HI24,AND($C$2='List(to hide)'!$B$3,'Table(related to graph)'!$C$3='List(to hide)'!$C$4),KPI!HI26)</f>
        <v>-</v>
      </c>
      <c r="HH13" s="38" t="str" cm="1">
        <f t="array" ref="HH13">_xlfn.IFS(AND($C$2='List(to hide)'!$B$3,'Table(related to graph)'!$C$3="Monthly"),KPI!HJ22,AND($C$2='List(to hide)'!$B$3,'Table(related to graph)'!$C$3='List(to hide)'!$C$3),KPI!HJ24,AND($C$2='List(to hide)'!$B$3,'Table(related to graph)'!$C$3='List(to hide)'!$C$4),KPI!HJ26)</f>
        <v>-</v>
      </c>
      <c r="HI13" s="38" t="str" cm="1">
        <f t="array" ref="HI13">_xlfn.IFS(AND($C$2='List(to hide)'!$B$3,'Table(related to graph)'!$C$3="Monthly"),KPI!HK22,AND($C$2='List(to hide)'!$B$3,'Table(related to graph)'!$C$3='List(to hide)'!$C$3),KPI!HK24,AND($C$2='List(to hide)'!$B$3,'Table(related to graph)'!$C$3='List(to hide)'!$C$4),KPI!HK26)</f>
        <v>-</v>
      </c>
      <c r="HJ13" s="38" t="str" cm="1">
        <f t="array" ref="HJ13">_xlfn.IFS(AND($C$2='List(to hide)'!$B$3,'Table(related to graph)'!$C$3="Monthly"),KPI!HL22,AND($C$2='List(to hide)'!$B$3,'Table(related to graph)'!$C$3='List(to hide)'!$C$3),KPI!HL24,AND($C$2='List(to hide)'!$B$3,'Table(related to graph)'!$C$3='List(to hide)'!$C$4),KPI!HL26)</f>
        <v>-</v>
      </c>
      <c r="HK13" s="38" t="str" cm="1">
        <f t="array" ref="HK13">_xlfn.IFS(AND($C$2='List(to hide)'!$B$3,'Table(related to graph)'!$C$3="Monthly"),KPI!HM22,AND($C$2='List(to hide)'!$B$3,'Table(related to graph)'!$C$3='List(to hide)'!$C$3),KPI!HM24,AND($C$2='List(to hide)'!$B$3,'Table(related to graph)'!$C$3='List(to hide)'!$C$4),KPI!HM26)</f>
        <v>-</v>
      </c>
      <c r="HL13" s="38" t="str" cm="1">
        <f t="array" ref="HL13">_xlfn.IFS(AND($C$2='List(to hide)'!$B$3,'Table(related to graph)'!$C$3="Monthly"),KPI!HN22,AND($C$2='List(to hide)'!$B$3,'Table(related to graph)'!$C$3='List(to hide)'!$C$3),KPI!HN24,AND($C$2='List(to hide)'!$B$3,'Table(related to graph)'!$C$3='List(to hide)'!$C$4),KPI!HN26)</f>
        <v>-</v>
      </c>
      <c r="HM13" s="38" t="str" cm="1">
        <f t="array" ref="HM13">_xlfn.IFS(AND($C$2='List(to hide)'!$B$3,'Table(related to graph)'!$C$3="Monthly"),KPI!HO22,AND($C$2='List(to hide)'!$B$3,'Table(related to graph)'!$C$3='List(to hide)'!$C$3),KPI!HO24,AND($C$2='List(to hide)'!$B$3,'Table(related to graph)'!$C$3='List(to hide)'!$C$4),KPI!HO26)</f>
        <v>-</v>
      </c>
      <c r="HN13" s="38" t="str" cm="1">
        <f t="array" ref="HN13">_xlfn.IFS(AND($C$2='List(to hide)'!$B$3,'Table(related to graph)'!$C$3="Monthly"),KPI!HP22,AND($C$2='List(to hide)'!$B$3,'Table(related to graph)'!$C$3='List(to hide)'!$C$3),KPI!HP24,AND($C$2='List(to hide)'!$B$3,'Table(related to graph)'!$C$3='List(to hide)'!$C$4),KPI!HP26)</f>
        <v>-</v>
      </c>
      <c r="HO13" s="38" t="str" cm="1">
        <f t="array" ref="HO13">_xlfn.IFS(AND($C$2='List(to hide)'!$B$3,'Table(related to graph)'!$C$3="Monthly"),KPI!HQ22,AND($C$2='List(to hide)'!$B$3,'Table(related to graph)'!$C$3='List(to hide)'!$C$3),KPI!HQ24,AND($C$2='List(to hide)'!$B$3,'Table(related to graph)'!$C$3='List(to hide)'!$C$4),KPI!HQ26)</f>
        <v>-</v>
      </c>
      <c r="HP13" s="38" t="str" cm="1">
        <f t="array" ref="HP13">_xlfn.IFS(AND($C$2='List(to hide)'!$B$3,'Table(related to graph)'!$C$3="Monthly"),KPI!HR22,AND($C$2='List(to hide)'!$B$3,'Table(related to graph)'!$C$3='List(to hide)'!$C$3),KPI!HR24,AND($C$2='List(to hide)'!$B$3,'Table(related to graph)'!$C$3='List(to hide)'!$C$4),KPI!HR26)</f>
        <v>-</v>
      </c>
      <c r="HQ13" s="38" t="str" cm="1">
        <f t="array" ref="HQ13">_xlfn.IFS(AND($C$2='List(to hide)'!$B$3,'Table(related to graph)'!$C$3="Monthly"),KPI!HS22,AND($C$2='List(to hide)'!$B$3,'Table(related to graph)'!$C$3='List(to hide)'!$C$3),KPI!HS24,AND($C$2='List(to hide)'!$B$3,'Table(related to graph)'!$C$3='List(to hide)'!$C$4),KPI!HS26)</f>
        <v>-</v>
      </c>
      <c r="HR13" s="38" t="str" cm="1">
        <f t="array" ref="HR13">_xlfn.IFS(AND($C$2='List(to hide)'!$B$3,'Table(related to graph)'!$C$3="Monthly"),KPI!HT22,AND($C$2='List(to hide)'!$B$3,'Table(related to graph)'!$C$3='List(to hide)'!$C$3),KPI!HT24,AND($C$2='List(to hide)'!$B$3,'Table(related to graph)'!$C$3='List(to hide)'!$C$4),KPI!HT26)</f>
        <v>-</v>
      </c>
      <c r="HS13" s="38" t="str" cm="1">
        <f t="array" ref="HS13">_xlfn.IFS(AND($C$2='List(to hide)'!$B$3,'Table(related to graph)'!$C$3="Monthly"),KPI!HU22,AND($C$2='List(to hide)'!$B$3,'Table(related to graph)'!$C$3='List(to hide)'!$C$3),KPI!HU24,AND($C$2='List(to hide)'!$B$3,'Table(related to graph)'!$C$3='List(to hide)'!$C$4),KPI!HU26)</f>
        <v>-</v>
      </c>
      <c r="HT13" s="38" t="str" cm="1">
        <f t="array" ref="HT13">_xlfn.IFS(AND($C$2='List(to hide)'!$B$3,'Table(related to graph)'!$C$3="Monthly"),KPI!HV22,AND($C$2='List(to hide)'!$B$3,'Table(related to graph)'!$C$3='List(to hide)'!$C$3),KPI!HV24,AND($C$2='List(to hide)'!$B$3,'Table(related to graph)'!$C$3='List(to hide)'!$C$4),KPI!HV26)</f>
        <v>-</v>
      </c>
      <c r="HU13" s="38" t="str" cm="1">
        <f t="array" ref="HU13">_xlfn.IFS(AND($C$2='List(to hide)'!$B$3,'Table(related to graph)'!$C$3="Monthly"),KPI!HW22,AND($C$2='List(to hide)'!$B$3,'Table(related to graph)'!$C$3='List(to hide)'!$C$3),KPI!HW24,AND($C$2='List(to hide)'!$B$3,'Table(related to graph)'!$C$3='List(to hide)'!$C$4),KPI!HW26)</f>
        <v>-</v>
      </c>
      <c r="HV13" s="38" t="str" cm="1">
        <f t="array" ref="HV13">_xlfn.IFS(AND($C$2='List(to hide)'!$B$3,'Table(related to graph)'!$C$3="Monthly"),KPI!HX22,AND($C$2='List(to hide)'!$B$3,'Table(related to graph)'!$C$3='List(to hide)'!$C$3),KPI!HX24,AND($C$2='List(to hide)'!$B$3,'Table(related to graph)'!$C$3='List(to hide)'!$C$4),KPI!HX26)</f>
        <v>-</v>
      </c>
      <c r="HW13" s="38" t="str" cm="1">
        <f t="array" ref="HW13">_xlfn.IFS(AND($C$2='List(to hide)'!$B$3,'Table(related to graph)'!$C$3="Monthly"),KPI!HY22,AND($C$2='List(to hide)'!$B$3,'Table(related to graph)'!$C$3='List(to hide)'!$C$3),KPI!HY24,AND($C$2='List(to hide)'!$B$3,'Table(related to graph)'!$C$3='List(to hide)'!$C$4),KPI!HY26)</f>
        <v>-</v>
      </c>
      <c r="HX13" s="38" t="str" cm="1">
        <f t="array" ref="HX13">_xlfn.IFS(AND($C$2='List(to hide)'!$B$3,'Table(related to graph)'!$C$3="Monthly"),KPI!HZ22,AND($C$2='List(to hide)'!$B$3,'Table(related to graph)'!$C$3='List(to hide)'!$C$3),KPI!HZ24,AND($C$2='List(to hide)'!$B$3,'Table(related to graph)'!$C$3='List(to hide)'!$C$4),KPI!HZ26)</f>
        <v>-</v>
      </c>
      <c r="HY13" s="38" t="str" cm="1">
        <f t="array" ref="HY13">_xlfn.IFS(AND($C$2='List(to hide)'!$B$3,'Table(related to graph)'!$C$3="Monthly"),KPI!IA22,AND($C$2='List(to hide)'!$B$3,'Table(related to graph)'!$C$3='List(to hide)'!$C$3),KPI!IA24,AND($C$2='List(to hide)'!$B$3,'Table(related to graph)'!$C$3='List(to hide)'!$C$4),KPI!IA26)</f>
        <v>-</v>
      </c>
      <c r="HZ13" s="38" t="str" cm="1">
        <f t="array" ref="HZ13">_xlfn.IFS(AND($C$2='List(to hide)'!$B$3,'Table(related to graph)'!$C$3="Monthly"),KPI!IB22,AND($C$2='List(to hide)'!$B$3,'Table(related to graph)'!$C$3='List(to hide)'!$C$3),KPI!IB24,AND($C$2='List(to hide)'!$B$3,'Table(related to graph)'!$C$3='List(to hide)'!$C$4),KPI!IB26)</f>
        <v>-</v>
      </c>
      <c r="IA13" s="38" t="str" cm="1">
        <f t="array" ref="IA13">_xlfn.IFS(AND($C$2='List(to hide)'!$B$3,'Table(related to graph)'!$C$3="Monthly"),KPI!IC22,AND($C$2='List(to hide)'!$B$3,'Table(related to graph)'!$C$3='List(to hide)'!$C$3),KPI!IC24,AND($C$2='List(to hide)'!$B$3,'Table(related to graph)'!$C$3='List(to hide)'!$C$4),KPI!IC26)</f>
        <v>-</v>
      </c>
      <c r="IB13" s="38" t="str" cm="1">
        <f t="array" ref="IB13">_xlfn.IFS(AND($C$2='List(to hide)'!$B$3,'Table(related to graph)'!$C$3="Monthly"),KPI!ID22,AND($C$2='List(to hide)'!$B$3,'Table(related to graph)'!$C$3='List(to hide)'!$C$3),KPI!ID24,AND($C$2='List(to hide)'!$B$3,'Table(related to graph)'!$C$3='List(to hide)'!$C$4),KPI!ID26)</f>
        <v>-</v>
      </c>
      <c r="IC13" s="38" t="str" cm="1">
        <f t="array" ref="IC13">_xlfn.IFS(AND($C$2='List(to hide)'!$B$3,'Table(related to graph)'!$C$3="Monthly"),KPI!IE22,AND($C$2='List(to hide)'!$B$3,'Table(related to graph)'!$C$3='List(to hide)'!$C$3),KPI!IE24,AND($C$2='List(to hide)'!$B$3,'Table(related to graph)'!$C$3='List(to hide)'!$C$4),KPI!IE26)</f>
        <v>-</v>
      </c>
      <c r="ID13" s="38" t="str" cm="1">
        <f t="array" ref="ID13">_xlfn.IFS(AND($C$2='List(to hide)'!$B$3,'Table(related to graph)'!$C$3="Monthly"),KPI!IF22,AND($C$2='List(to hide)'!$B$3,'Table(related to graph)'!$C$3='List(to hide)'!$C$3),KPI!IF24,AND($C$2='List(to hide)'!$B$3,'Table(related to graph)'!$C$3='List(to hide)'!$C$4),KPI!IF26)</f>
        <v>-</v>
      </c>
      <c r="IE13" s="38" t="str" cm="1">
        <f t="array" ref="IE13">_xlfn.IFS(AND($C$2='List(to hide)'!$B$3,'Table(related to graph)'!$C$3="Monthly"),KPI!IG22,AND($C$2='List(to hide)'!$B$3,'Table(related to graph)'!$C$3='List(to hide)'!$C$3),KPI!IG24,AND($C$2='List(to hide)'!$B$3,'Table(related to graph)'!$C$3='List(to hide)'!$C$4),KPI!IG26)</f>
        <v>-</v>
      </c>
      <c r="IF13" s="38" t="str" cm="1">
        <f t="array" ref="IF13">_xlfn.IFS(AND($C$2='List(to hide)'!$B$3,'Table(related to graph)'!$C$3="Monthly"),KPI!IH22,AND($C$2='List(to hide)'!$B$3,'Table(related to graph)'!$C$3='List(to hide)'!$C$3),KPI!IH24,AND($C$2='List(to hide)'!$B$3,'Table(related to graph)'!$C$3='List(to hide)'!$C$4),KPI!IH26)</f>
        <v>-</v>
      </c>
      <c r="IG13" s="38" t="str" cm="1">
        <f t="array" ref="IG13">_xlfn.IFS(AND($C$2='List(to hide)'!$B$3,'Table(related to graph)'!$C$3="Monthly"),KPI!II22,AND($C$2='List(to hide)'!$B$3,'Table(related to graph)'!$C$3='List(to hide)'!$C$3),KPI!II24,AND($C$2='List(to hide)'!$B$3,'Table(related to graph)'!$C$3='List(to hide)'!$C$4),KPI!II26)</f>
        <v>-</v>
      </c>
      <c r="IH13" s="38" t="str" cm="1">
        <f t="array" ref="IH13">_xlfn.IFS(AND($C$2='List(to hide)'!$B$3,'Table(related to graph)'!$C$3="Monthly"),KPI!IJ22,AND($C$2='List(to hide)'!$B$3,'Table(related to graph)'!$C$3='List(to hide)'!$C$3),KPI!IJ24,AND($C$2='List(to hide)'!$B$3,'Table(related to graph)'!$C$3='List(to hide)'!$C$4),KPI!IJ26)</f>
        <v>-</v>
      </c>
      <c r="II13" s="38" t="str" cm="1">
        <f t="array" ref="II13">_xlfn.IFS(AND($C$2='List(to hide)'!$B$3,'Table(related to graph)'!$C$3="Monthly"),KPI!IK22,AND($C$2='List(to hide)'!$B$3,'Table(related to graph)'!$C$3='List(to hide)'!$C$3),KPI!IK24,AND($C$2='List(to hide)'!$B$3,'Table(related to graph)'!$C$3='List(to hide)'!$C$4),KPI!IK26)</f>
        <v>-</v>
      </c>
      <c r="IJ13" s="38" t="str" cm="1">
        <f t="array" ref="IJ13">_xlfn.IFS(AND($C$2='List(to hide)'!$B$3,'Table(related to graph)'!$C$3="Monthly"),KPI!IL22,AND($C$2='List(to hide)'!$B$3,'Table(related to graph)'!$C$3='List(to hide)'!$C$3),KPI!IL24,AND($C$2='List(to hide)'!$B$3,'Table(related to graph)'!$C$3='List(to hide)'!$C$4),KPI!IL26)</f>
        <v>-</v>
      </c>
      <c r="IK13" s="38" t="str" cm="1">
        <f t="array" ref="IK13">_xlfn.IFS(AND($C$2='List(to hide)'!$B$3,'Table(related to graph)'!$C$3="Monthly"),KPI!IM22,AND($C$2='List(to hide)'!$B$3,'Table(related to graph)'!$C$3='List(to hide)'!$C$3),KPI!IM24,AND($C$2='List(to hide)'!$B$3,'Table(related to graph)'!$C$3='List(to hide)'!$C$4),KPI!IM26)</f>
        <v>-</v>
      </c>
      <c r="IL13" s="38" t="str" cm="1">
        <f t="array" ref="IL13">_xlfn.IFS(AND($C$2='List(to hide)'!$B$3,'Table(related to graph)'!$C$3="Monthly"),KPI!IN22,AND($C$2='List(to hide)'!$B$3,'Table(related to graph)'!$C$3='List(to hide)'!$C$3),KPI!IN24,AND($C$2='List(to hide)'!$B$3,'Table(related to graph)'!$C$3='List(to hide)'!$C$4),KPI!IN26)</f>
        <v>-</v>
      </c>
      <c r="IM13" s="38" t="str" cm="1">
        <f t="array" ref="IM13">_xlfn.IFS(AND($C$2='List(to hide)'!$B$3,'Table(related to graph)'!$C$3="Monthly"),KPI!IO22,AND($C$2='List(to hide)'!$B$3,'Table(related to graph)'!$C$3='List(to hide)'!$C$3),KPI!IO24,AND($C$2='List(to hide)'!$B$3,'Table(related to graph)'!$C$3='List(to hide)'!$C$4),KPI!IO26)</f>
        <v>-</v>
      </c>
      <c r="IN13" s="38" t="str" cm="1">
        <f t="array" ref="IN13">_xlfn.IFS(AND($C$2='List(to hide)'!$B$3,'Table(related to graph)'!$C$3="Monthly"),KPI!IP22,AND($C$2='List(to hide)'!$B$3,'Table(related to graph)'!$C$3='List(to hide)'!$C$3),KPI!IP24,AND($C$2='List(to hide)'!$B$3,'Table(related to graph)'!$C$3='List(to hide)'!$C$4),KPI!IP26)</f>
        <v>-</v>
      </c>
      <c r="IO13" s="38" t="str" cm="1">
        <f t="array" ref="IO13">_xlfn.IFS(AND($C$2='List(to hide)'!$B$3,'Table(related to graph)'!$C$3="Monthly"),KPI!IQ22,AND($C$2='List(to hide)'!$B$3,'Table(related to graph)'!$C$3='List(to hide)'!$C$3),KPI!IQ24,AND($C$2='List(to hide)'!$B$3,'Table(related to graph)'!$C$3='List(to hide)'!$C$4),KPI!IQ26)</f>
        <v>-</v>
      </c>
      <c r="IP13" s="38" t="str" cm="1">
        <f t="array" ref="IP13">_xlfn.IFS(AND($C$2='List(to hide)'!$B$3,'Table(related to graph)'!$C$3="Monthly"),KPI!IR22,AND($C$2='List(to hide)'!$B$3,'Table(related to graph)'!$C$3='List(to hide)'!$C$3),KPI!IR24,AND($C$2='List(to hide)'!$B$3,'Table(related to graph)'!$C$3='List(to hide)'!$C$4),KPI!IR26)</f>
        <v>-</v>
      </c>
      <c r="IQ13" s="38" t="str" cm="1">
        <f t="array" ref="IQ13">_xlfn.IFS(AND($C$2='List(to hide)'!$B$3,'Table(related to graph)'!$C$3="Monthly"),KPI!IS22,AND($C$2='List(to hide)'!$B$3,'Table(related to graph)'!$C$3='List(to hide)'!$C$3),KPI!IS24,AND($C$2='List(to hide)'!$B$3,'Table(related to graph)'!$C$3='List(to hide)'!$C$4),KPI!IS26)</f>
        <v>-</v>
      </c>
      <c r="IR13" s="38" t="str" cm="1">
        <f t="array" ref="IR13">_xlfn.IFS(AND($C$2='List(to hide)'!$B$3,'Table(related to graph)'!$C$3="Monthly"),KPI!IT22,AND($C$2='List(to hide)'!$B$3,'Table(related to graph)'!$C$3='List(to hide)'!$C$3),KPI!IT24,AND($C$2='List(to hide)'!$B$3,'Table(related to graph)'!$C$3='List(to hide)'!$C$4),KPI!IT26)</f>
        <v>-</v>
      </c>
      <c r="IS13" s="38" t="str" cm="1">
        <f t="array" ref="IS13">_xlfn.IFS(AND($C$2='List(to hide)'!$B$3,'Table(related to graph)'!$C$3="Monthly"),KPI!IU22,AND($C$2='List(to hide)'!$B$3,'Table(related to graph)'!$C$3='List(to hide)'!$C$3),KPI!IU24,AND($C$2='List(to hide)'!$B$3,'Table(related to graph)'!$C$3='List(to hide)'!$C$4),KPI!IU26)</f>
        <v>-</v>
      </c>
      <c r="IT13" s="38" t="str" cm="1">
        <f t="array" ref="IT13">_xlfn.IFS(AND($C$2='List(to hide)'!$B$3,'Table(related to graph)'!$C$3="Monthly"),KPI!IV22,AND($C$2='List(to hide)'!$B$3,'Table(related to graph)'!$C$3='List(to hide)'!$C$3),KPI!IV24,AND($C$2='List(to hide)'!$B$3,'Table(related to graph)'!$C$3='List(to hide)'!$C$4),KPI!IV26)</f>
        <v>-</v>
      </c>
      <c r="IU13" s="38" t="str" cm="1">
        <f t="array" ref="IU13">_xlfn.IFS(AND($C$2='List(to hide)'!$B$3,'Table(related to graph)'!$C$3="Monthly"),KPI!IW22,AND($C$2='List(to hide)'!$B$3,'Table(related to graph)'!$C$3='List(to hide)'!$C$3),KPI!IW24,AND($C$2='List(to hide)'!$B$3,'Table(related to graph)'!$C$3='List(to hide)'!$C$4),KPI!IW26)</f>
        <v>-</v>
      </c>
      <c r="IV13" s="38" t="str" cm="1">
        <f t="array" ref="IV13">_xlfn.IFS(AND($C$2='List(to hide)'!$B$3,'Table(related to graph)'!$C$3="Monthly"),KPI!IX22,AND($C$2='List(to hide)'!$B$3,'Table(related to graph)'!$C$3='List(to hide)'!$C$3),KPI!IX24,AND($C$2='List(to hide)'!$B$3,'Table(related to graph)'!$C$3='List(to hide)'!$C$4),KPI!IX26)</f>
        <v>-</v>
      </c>
      <c r="IW13" s="38" t="str" cm="1">
        <f t="array" ref="IW13">_xlfn.IFS(AND($C$2='List(to hide)'!$B$3,'Table(related to graph)'!$C$3="Monthly"),KPI!IY22,AND($C$2='List(to hide)'!$B$3,'Table(related to graph)'!$C$3='List(to hide)'!$C$3),KPI!IY24,AND($C$2='List(to hide)'!$B$3,'Table(related to graph)'!$C$3='List(to hide)'!$C$4),KPI!IY26)</f>
        <v>-</v>
      </c>
      <c r="IX13" s="38" t="str" cm="1">
        <f t="array" ref="IX13">_xlfn.IFS(AND($C$2='List(to hide)'!$B$3,'Table(related to graph)'!$C$3="Monthly"),KPI!IZ22,AND($C$2='List(to hide)'!$B$3,'Table(related to graph)'!$C$3='List(to hide)'!$C$3),KPI!IZ24,AND($C$2='List(to hide)'!$B$3,'Table(related to graph)'!$C$3='List(to hide)'!$C$4),KPI!IZ26)</f>
        <v>-</v>
      </c>
      <c r="IY13" s="38" t="str" cm="1">
        <f t="array" ref="IY13">_xlfn.IFS(AND($C$2='List(to hide)'!$B$3,'Table(related to graph)'!$C$3="Monthly"),KPI!JA22,AND($C$2='List(to hide)'!$B$3,'Table(related to graph)'!$C$3='List(to hide)'!$C$3),KPI!JA24,AND($C$2='List(to hide)'!$B$3,'Table(related to graph)'!$C$3='List(to hide)'!$C$4),KPI!JA26)</f>
        <v>-</v>
      </c>
      <c r="IZ13" s="38" t="str" cm="1">
        <f t="array" ref="IZ13">_xlfn.IFS(AND($C$2='List(to hide)'!$B$3,'Table(related to graph)'!$C$3="Monthly"),KPI!JB22,AND($C$2='List(to hide)'!$B$3,'Table(related to graph)'!$C$3='List(to hide)'!$C$3),KPI!JB24,AND($C$2='List(to hide)'!$B$3,'Table(related to graph)'!$C$3='List(to hide)'!$C$4),KPI!JB26)</f>
        <v>-</v>
      </c>
      <c r="JA13" s="38" t="str" cm="1">
        <f t="array" ref="JA13">_xlfn.IFS(AND($C$2='List(to hide)'!$B$3,'Table(related to graph)'!$C$3="Monthly"),KPI!JC22,AND($C$2='List(to hide)'!$B$3,'Table(related to graph)'!$C$3='List(to hide)'!$C$3),KPI!JC24,AND($C$2='List(to hide)'!$B$3,'Table(related to graph)'!$C$3='List(to hide)'!$C$4),KPI!JC26)</f>
        <v>-</v>
      </c>
      <c r="JB13" s="38" t="str" cm="1">
        <f t="array" ref="JB13">_xlfn.IFS(AND($C$2='List(to hide)'!$B$3,'Table(related to graph)'!$C$3="Monthly"),KPI!JD22,AND($C$2='List(to hide)'!$B$3,'Table(related to graph)'!$C$3='List(to hide)'!$C$3),KPI!JD24,AND($C$2='List(to hide)'!$B$3,'Table(related to graph)'!$C$3='List(to hide)'!$C$4),KPI!JD26)</f>
        <v>-</v>
      </c>
      <c r="JC13" s="38" t="str" cm="1">
        <f t="array" ref="JC13">_xlfn.IFS(AND($C$2='List(to hide)'!$B$3,'Table(related to graph)'!$C$3="Monthly"),KPI!JE22,AND($C$2='List(to hide)'!$B$3,'Table(related to graph)'!$C$3='List(to hide)'!$C$3),KPI!JE24,AND($C$2='List(to hide)'!$B$3,'Table(related to graph)'!$C$3='List(to hide)'!$C$4),KPI!JE26)</f>
        <v>-</v>
      </c>
      <c r="JD13" s="38" t="str" cm="1">
        <f t="array" ref="JD13">_xlfn.IFS(AND($C$2='List(to hide)'!$B$3,'Table(related to graph)'!$C$3="Monthly"),KPI!JF22,AND($C$2='List(to hide)'!$B$3,'Table(related to graph)'!$C$3='List(to hide)'!$C$3),KPI!JF24,AND($C$2='List(to hide)'!$B$3,'Table(related to graph)'!$C$3='List(to hide)'!$C$4),KPI!JF26)</f>
        <v>-</v>
      </c>
      <c r="JE13" s="38" t="str" cm="1">
        <f t="array" ref="JE13">_xlfn.IFS(AND($C$2='List(to hide)'!$B$3,'Table(related to graph)'!$C$3="Monthly"),KPI!JG22,AND($C$2='List(to hide)'!$B$3,'Table(related to graph)'!$C$3='List(to hide)'!$C$3),KPI!JG24,AND($C$2='List(to hide)'!$B$3,'Table(related to graph)'!$C$3='List(to hide)'!$C$4),KPI!JG26)</f>
        <v>-</v>
      </c>
      <c r="JF13" s="38" t="str" cm="1">
        <f t="array" ref="JF13">_xlfn.IFS(AND($C$2='List(to hide)'!$B$3,'Table(related to graph)'!$C$3="Monthly"),KPI!JH22,AND($C$2='List(to hide)'!$B$3,'Table(related to graph)'!$C$3='List(to hide)'!$C$3),KPI!JH24,AND($C$2='List(to hide)'!$B$3,'Table(related to graph)'!$C$3='List(to hide)'!$C$4),KPI!JH26)</f>
        <v>-</v>
      </c>
      <c r="JG13" s="38" t="str" cm="1">
        <f t="array" ref="JG13">_xlfn.IFS(AND($C$2='List(to hide)'!$B$3,'Table(related to graph)'!$C$3="Monthly"),KPI!JI22,AND($C$2='List(to hide)'!$B$3,'Table(related to graph)'!$C$3='List(to hide)'!$C$3),KPI!JI24,AND($C$2='List(to hide)'!$B$3,'Table(related to graph)'!$C$3='List(to hide)'!$C$4),KPI!JI26)</f>
        <v>-</v>
      </c>
      <c r="JH13" s="38" t="str" cm="1">
        <f t="array" ref="JH13">_xlfn.IFS(AND($C$2='List(to hide)'!$B$3,'Table(related to graph)'!$C$3="Monthly"),KPI!JJ22,AND($C$2='List(to hide)'!$B$3,'Table(related to graph)'!$C$3='List(to hide)'!$C$3),KPI!JJ24,AND($C$2='List(to hide)'!$B$3,'Table(related to graph)'!$C$3='List(to hide)'!$C$4),KPI!JJ26)</f>
        <v>-</v>
      </c>
      <c r="JI13" s="38" t="str" cm="1">
        <f t="array" ref="JI13">_xlfn.IFS(AND($C$2='List(to hide)'!$B$3,'Table(related to graph)'!$C$3="Monthly"),KPI!JK22,AND($C$2='List(to hide)'!$B$3,'Table(related to graph)'!$C$3='List(to hide)'!$C$3),KPI!JK24,AND($C$2='List(to hide)'!$B$3,'Table(related to graph)'!$C$3='List(to hide)'!$C$4),KPI!JK26)</f>
        <v>-</v>
      </c>
      <c r="JJ13" s="38" t="str" cm="1">
        <f t="array" ref="JJ13">_xlfn.IFS(AND($C$2='List(to hide)'!$B$3,'Table(related to graph)'!$C$3="Monthly"),KPI!JL22,AND($C$2='List(to hide)'!$B$3,'Table(related to graph)'!$C$3='List(to hide)'!$C$3),KPI!JL24,AND($C$2='List(to hide)'!$B$3,'Table(related to graph)'!$C$3='List(to hide)'!$C$4),KPI!JL26)</f>
        <v>-</v>
      </c>
      <c r="JK13" s="38" t="str" cm="1">
        <f t="array" ref="JK13">_xlfn.IFS(AND($C$2='List(to hide)'!$B$3,'Table(related to graph)'!$C$3="Monthly"),KPI!JM22,AND($C$2='List(to hide)'!$B$3,'Table(related to graph)'!$C$3='List(to hide)'!$C$3),KPI!JM24,AND($C$2='List(to hide)'!$B$3,'Table(related to graph)'!$C$3='List(to hide)'!$C$4),KPI!JM26)</f>
        <v>-</v>
      </c>
      <c r="JL13" s="38" t="str" cm="1">
        <f t="array" ref="JL13">_xlfn.IFS(AND($C$2='List(to hide)'!$B$3,'Table(related to graph)'!$C$3="Monthly"),KPI!JN22,AND($C$2='List(to hide)'!$B$3,'Table(related to graph)'!$C$3='List(to hide)'!$C$3),KPI!JN24,AND($C$2='List(to hide)'!$B$3,'Table(related to graph)'!$C$3='List(to hide)'!$C$4),KPI!JN26)</f>
        <v>-</v>
      </c>
      <c r="JM13" s="38" t="str" cm="1">
        <f t="array" ref="JM13">_xlfn.IFS(AND($C$2='List(to hide)'!$B$3,'Table(related to graph)'!$C$3="Monthly"),KPI!JO22,AND($C$2='List(to hide)'!$B$3,'Table(related to graph)'!$C$3='List(to hide)'!$C$3),KPI!JO24,AND($C$2='List(to hide)'!$B$3,'Table(related to graph)'!$C$3='List(to hide)'!$C$4),KPI!JO26)</f>
        <v>-</v>
      </c>
      <c r="JN13" s="38" t="str" cm="1">
        <f t="array" ref="JN13">_xlfn.IFS(AND($C$2='List(to hide)'!$B$3,'Table(related to graph)'!$C$3="Monthly"),KPI!JP22,AND($C$2='List(to hide)'!$B$3,'Table(related to graph)'!$C$3='List(to hide)'!$C$3),KPI!JP24,AND($C$2='List(to hide)'!$B$3,'Table(related to graph)'!$C$3='List(to hide)'!$C$4),KPI!JP26)</f>
        <v>-</v>
      </c>
      <c r="JO13" s="38" t="str" cm="1">
        <f t="array" ref="JO13">_xlfn.IFS(AND($C$2='List(to hide)'!$B$3,'Table(related to graph)'!$C$3="Monthly"),KPI!JQ22,AND($C$2='List(to hide)'!$B$3,'Table(related to graph)'!$C$3='List(to hide)'!$C$3),KPI!JQ24,AND($C$2='List(to hide)'!$B$3,'Table(related to graph)'!$C$3='List(to hide)'!$C$4),KPI!JQ26)</f>
        <v>-</v>
      </c>
      <c r="JP13" s="38" t="str" cm="1">
        <f t="array" ref="JP13">_xlfn.IFS(AND($C$2='List(to hide)'!$B$3,'Table(related to graph)'!$C$3="Monthly"),KPI!JR22,AND($C$2='List(to hide)'!$B$3,'Table(related to graph)'!$C$3='List(to hide)'!$C$3),KPI!JR24,AND($C$2='List(to hide)'!$B$3,'Table(related to graph)'!$C$3='List(to hide)'!$C$4),KPI!JR26)</f>
        <v>-</v>
      </c>
      <c r="JQ13" s="38" t="str" cm="1">
        <f t="array" ref="JQ13">_xlfn.IFS(AND($C$2='List(to hide)'!$B$3,'Table(related to graph)'!$C$3="Monthly"),KPI!JS22,AND($C$2='List(to hide)'!$B$3,'Table(related to graph)'!$C$3='List(to hide)'!$C$3),KPI!JS24,AND($C$2='List(to hide)'!$B$3,'Table(related to graph)'!$C$3='List(to hide)'!$C$4),KPI!JS26)</f>
        <v>-</v>
      </c>
      <c r="JR13" s="38" t="str" cm="1">
        <f t="array" ref="JR13">_xlfn.IFS(AND($C$2='List(to hide)'!$B$3,'Table(related to graph)'!$C$3="Monthly"),KPI!JT22,AND($C$2='List(to hide)'!$B$3,'Table(related to graph)'!$C$3='List(to hide)'!$C$3),KPI!JT24,AND($C$2='List(to hide)'!$B$3,'Table(related to graph)'!$C$3='List(to hide)'!$C$4),KPI!JT26)</f>
        <v>-</v>
      </c>
      <c r="JS13" s="38" t="str" cm="1">
        <f t="array" ref="JS13">_xlfn.IFS(AND($C$2='List(to hide)'!$B$3,'Table(related to graph)'!$C$3="Monthly"),KPI!JU22,AND($C$2='List(to hide)'!$B$3,'Table(related to graph)'!$C$3='List(to hide)'!$C$3),KPI!JU24,AND($C$2='List(to hide)'!$B$3,'Table(related to graph)'!$C$3='List(to hide)'!$C$4),KPI!JU26)</f>
        <v>-</v>
      </c>
      <c r="JT13" s="38" t="str" cm="1">
        <f t="array" ref="JT13">_xlfn.IFS(AND($C$2='List(to hide)'!$B$3,'Table(related to graph)'!$C$3="Monthly"),KPI!JV22,AND($C$2='List(to hide)'!$B$3,'Table(related to graph)'!$C$3='List(to hide)'!$C$3),KPI!JV24,AND($C$2='List(to hide)'!$B$3,'Table(related to graph)'!$C$3='List(to hide)'!$C$4),KPI!JV26)</f>
        <v>-</v>
      </c>
      <c r="JU13" s="38" t="str" cm="1">
        <f t="array" ref="JU13">_xlfn.IFS(AND($C$2='List(to hide)'!$B$3,'Table(related to graph)'!$C$3="Monthly"),KPI!JW22,AND($C$2='List(to hide)'!$B$3,'Table(related to graph)'!$C$3='List(to hide)'!$C$3),KPI!JW24,AND($C$2='List(to hide)'!$B$3,'Table(related to graph)'!$C$3='List(to hide)'!$C$4),KPI!JW26)</f>
        <v>-</v>
      </c>
      <c r="JV13" s="38" t="str" cm="1">
        <f t="array" ref="JV13">_xlfn.IFS(AND($C$2='List(to hide)'!$B$3,'Table(related to graph)'!$C$3="Monthly"),KPI!JX22,AND($C$2='List(to hide)'!$B$3,'Table(related to graph)'!$C$3='List(to hide)'!$C$3),KPI!JX24,AND($C$2='List(to hide)'!$B$3,'Table(related to graph)'!$C$3='List(to hide)'!$C$4),KPI!JX26)</f>
        <v>-</v>
      </c>
      <c r="JW13" s="38" t="str" cm="1">
        <f t="array" ref="JW13">_xlfn.IFS(AND($C$2='List(to hide)'!$B$3,'Table(related to graph)'!$C$3="Monthly"),KPI!JY22,AND($C$2='List(to hide)'!$B$3,'Table(related to graph)'!$C$3='List(to hide)'!$C$3),KPI!JY24,AND($C$2='List(to hide)'!$B$3,'Table(related to graph)'!$C$3='List(to hide)'!$C$4),KPI!JY26)</f>
        <v>-</v>
      </c>
      <c r="JX13" s="38" t="str" cm="1">
        <f t="array" ref="JX13">_xlfn.IFS(AND($C$2='List(to hide)'!$B$3,'Table(related to graph)'!$C$3="Monthly"),KPI!JZ22,AND($C$2='List(to hide)'!$B$3,'Table(related to graph)'!$C$3='List(to hide)'!$C$3),KPI!JZ24,AND($C$2='List(to hide)'!$B$3,'Table(related to graph)'!$C$3='List(to hide)'!$C$4),KPI!JZ26)</f>
        <v>-</v>
      </c>
      <c r="JY13" s="38" t="str" cm="1">
        <f t="array" ref="JY13">_xlfn.IFS(AND($C$2='List(to hide)'!$B$3,'Table(related to graph)'!$C$3="Monthly"),KPI!KA22,AND($C$2='List(to hide)'!$B$3,'Table(related to graph)'!$C$3='List(to hide)'!$C$3),KPI!KA24,AND($C$2='List(to hide)'!$B$3,'Table(related to graph)'!$C$3='List(to hide)'!$C$4),KPI!KA26)</f>
        <v>-</v>
      </c>
      <c r="JZ13" s="38" t="str" cm="1">
        <f t="array" ref="JZ13">_xlfn.IFS(AND($C$2='List(to hide)'!$B$3,'Table(related to graph)'!$C$3="Monthly"),KPI!KB22,AND($C$2='List(to hide)'!$B$3,'Table(related to graph)'!$C$3='List(to hide)'!$C$3),KPI!KB24,AND($C$2='List(to hide)'!$B$3,'Table(related to graph)'!$C$3='List(to hide)'!$C$4),KPI!KB26)</f>
        <v>-</v>
      </c>
      <c r="KA13" s="38" t="str" cm="1">
        <f t="array" ref="KA13">_xlfn.IFS(AND($C$2='List(to hide)'!$B$3,'Table(related to graph)'!$C$3="Monthly"),KPI!KC22,AND($C$2='List(to hide)'!$B$3,'Table(related to graph)'!$C$3='List(to hide)'!$C$3),KPI!KC24,AND($C$2='List(to hide)'!$B$3,'Table(related to graph)'!$C$3='List(to hide)'!$C$4),KPI!KC26)</f>
        <v>-</v>
      </c>
      <c r="KB13" s="38" t="str" cm="1">
        <f t="array" ref="KB13">_xlfn.IFS(AND($C$2='List(to hide)'!$B$3,'Table(related to graph)'!$C$3="Monthly"),KPI!KD22,AND($C$2='List(to hide)'!$B$3,'Table(related to graph)'!$C$3='List(to hide)'!$C$3),KPI!KD24,AND($C$2='List(to hide)'!$B$3,'Table(related to graph)'!$C$3='List(to hide)'!$C$4),KPI!KD26)</f>
        <v>-</v>
      </c>
      <c r="KC13" s="38" t="str" cm="1">
        <f t="array" ref="KC13">_xlfn.IFS(AND($C$2='List(to hide)'!$B$3,'Table(related to graph)'!$C$3="Monthly"),KPI!KE22,AND($C$2='List(to hide)'!$B$3,'Table(related to graph)'!$C$3='List(to hide)'!$C$3),KPI!KE24,AND($C$2='List(to hide)'!$B$3,'Table(related to graph)'!$C$3='List(to hide)'!$C$4),KPI!KE26)</f>
        <v>-</v>
      </c>
      <c r="KD13" s="38" t="str" cm="1">
        <f t="array" ref="KD13">_xlfn.IFS(AND($C$2='List(to hide)'!$B$3,'Table(related to graph)'!$C$3="Monthly"),KPI!KF22,AND($C$2='List(to hide)'!$B$3,'Table(related to graph)'!$C$3='List(to hide)'!$C$3),KPI!KF24,AND($C$2='List(to hide)'!$B$3,'Table(related to graph)'!$C$3='List(to hide)'!$C$4),KPI!KF26)</f>
        <v>-</v>
      </c>
      <c r="KE13" s="38" t="str" cm="1">
        <f t="array" ref="KE13">_xlfn.IFS(AND($C$2='List(to hide)'!$B$3,'Table(related to graph)'!$C$3="Monthly"),KPI!KG22,AND($C$2='List(to hide)'!$B$3,'Table(related to graph)'!$C$3='List(to hide)'!$C$3),KPI!KG24,AND($C$2='List(to hide)'!$B$3,'Table(related to graph)'!$C$3='List(to hide)'!$C$4),KPI!KG26)</f>
        <v>-</v>
      </c>
      <c r="KF13" s="38" t="str" cm="1">
        <f t="array" ref="KF13">_xlfn.IFS(AND($C$2='List(to hide)'!$B$3,'Table(related to graph)'!$C$3="Monthly"),KPI!KH22,AND($C$2='List(to hide)'!$B$3,'Table(related to graph)'!$C$3='List(to hide)'!$C$3),KPI!KH24,AND($C$2='List(to hide)'!$B$3,'Table(related to graph)'!$C$3='List(to hide)'!$C$4),KPI!KH26)</f>
        <v>-</v>
      </c>
      <c r="KG13" s="38" t="str" cm="1">
        <f t="array" ref="KG13">_xlfn.IFS(AND($C$2='List(to hide)'!$B$3,'Table(related to graph)'!$C$3="Monthly"),KPI!KI22,AND($C$2='List(to hide)'!$B$3,'Table(related to graph)'!$C$3='List(to hide)'!$C$3),KPI!KI24,AND($C$2='List(to hide)'!$B$3,'Table(related to graph)'!$C$3='List(to hide)'!$C$4),KPI!KI26)</f>
        <v>-</v>
      </c>
      <c r="KH13" s="38" t="str" cm="1">
        <f t="array" ref="KH13">_xlfn.IFS(AND($C$2='List(to hide)'!$B$3,'Table(related to graph)'!$C$3="Monthly"),KPI!KJ22,AND($C$2='List(to hide)'!$B$3,'Table(related to graph)'!$C$3='List(to hide)'!$C$3),KPI!KJ24,AND($C$2='List(to hide)'!$B$3,'Table(related to graph)'!$C$3='List(to hide)'!$C$4),KPI!KJ26)</f>
        <v>-</v>
      </c>
      <c r="KI13" s="38" t="str" cm="1">
        <f t="array" ref="KI13">_xlfn.IFS(AND($C$2='List(to hide)'!$B$3,'Table(related to graph)'!$C$3="Monthly"),KPI!KK22,AND($C$2='List(to hide)'!$B$3,'Table(related to graph)'!$C$3='List(to hide)'!$C$3),KPI!KK24,AND($C$2='List(to hide)'!$B$3,'Table(related to graph)'!$C$3='List(to hide)'!$C$4),KPI!KK26)</f>
        <v>-</v>
      </c>
      <c r="KJ13" s="38" t="str" cm="1">
        <f t="array" ref="KJ13">_xlfn.IFS(AND($C$2='List(to hide)'!$B$3,'Table(related to graph)'!$C$3="Monthly"),KPI!KL22,AND($C$2='List(to hide)'!$B$3,'Table(related to graph)'!$C$3='List(to hide)'!$C$3),KPI!KL24,AND($C$2='List(to hide)'!$B$3,'Table(related to graph)'!$C$3='List(to hide)'!$C$4),KPI!KL26)</f>
        <v>-</v>
      </c>
      <c r="KK13" s="38" t="str" cm="1">
        <f t="array" ref="KK13">_xlfn.IFS(AND($C$2='List(to hide)'!$B$3,'Table(related to graph)'!$C$3="Monthly"),KPI!KM22,AND($C$2='List(to hide)'!$B$3,'Table(related to graph)'!$C$3='List(to hide)'!$C$3),KPI!KM24,AND($C$2='List(to hide)'!$B$3,'Table(related to graph)'!$C$3='List(to hide)'!$C$4),KPI!KM26)</f>
        <v>-</v>
      </c>
      <c r="KL13" s="38" t="str" cm="1">
        <f t="array" ref="KL13">_xlfn.IFS(AND($C$2='List(to hide)'!$B$3,'Table(related to graph)'!$C$3="Monthly"),KPI!KN22,AND($C$2='List(to hide)'!$B$3,'Table(related to graph)'!$C$3='List(to hide)'!$C$3),KPI!KN24,AND($C$2='List(to hide)'!$B$3,'Table(related to graph)'!$C$3='List(to hide)'!$C$4),KPI!KN26)</f>
        <v>-</v>
      </c>
      <c r="KM13" s="38" t="str" cm="1">
        <f t="array" ref="KM13">_xlfn.IFS(AND($C$2='List(to hide)'!$B$3,'Table(related to graph)'!$C$3="Monthly"),KPI!KO22,AND($C$2='List(to hide)'!$B$3,'Table(related to graph)'!$C$3='List(to hide)'!$C$3),KPI!KO24,AND($C$2='List(to hide)'!$B$3,'Table(related to graph)'!$C$3='List(to hide)'!$C$4),KPI!KO26)</f>
        <v>-</v>
      </c>
      <c r="KN13" s="38" t="str" cm="1">
        <f t="array" ref="KN13">_xlfn.IFS(AND($C$2='List(to hide)'!$B$3,'Table(related to graph)'!$C$3="Monthly"),KPI!KP22,AND($C$2='List(to hide)'!$B$3,'Table(related to graph)'!$C$3='List(to hide)'!$C$3),KPI!KP24,AND($C$2='List(to hide)'!$B$3,'Table(related to graph)'!$C$3='List(to hide)'!$C$4),KPI!KP26)</f>
        <v>-</v>
      </c>
      <c r="KO13" s="38" t="str" cm="1">
        <f t="array" ref="KO13">_xlfn.IFS(AND($C$2='List(to hide)'!$B$3,'Table(related to graph)'!$C$3="Monthly"),KPI!KQ22,AND($C$2='List(to hide)'!$B$3,'Table(related to graph)'!$C$3='List(to hide)'!$C$3),KPI!KQ24,AND($C$2='List(to hide)'!$B$3,'Table(related to graph)'!$C$3='List(to hide)'!$C$4),KPI!KQ26)</f>
        <v>-</v>
      </c>
      <c r="KP13" s="38" t="str" cm="1">
        <f t="array" ref="KP13">_xlfn.IFS(AND($C$2='List(to hide)'!$B$3,'Table(related to graph)'!$C$3="Monthly"),KPI!KR22,AND($C$2='List(to hide)'!$B$3,'Table(related to graph)'!$C$3='List(to hide)'!$C$3),KPI!KR24,AND($C$2='List(to hide)'!$B$3,'Table(related to graph)'!$C$3='List(to hide)'!$C$4),KPI!KR26)</f>
        <v>-</v>
      </c>
      <c r="KQ13" s="38" t="str" cm="1">
        <f t="array" ref="KQ13">_xlfn.IFS(AND($C$2='List(to hide)'!$B$3,'Table(related to graph)'!$C$3="Monthly"),KPI!KS22,AND($C$2='List(to hide)'!$B$3,'Table(related to graph)'!$C$3='List(to hide)'!$C$3),KPI!KS24,AND($C$2='List(to hide)'!$B$3,'Table(related to graph)'!$C$3='List(to hide)'!$C$4),KPI!KS26)</f>
        <v>-</v>
      </c>
      <c r="KR13" s="38" t="str" cm="1">
        <f t="array" ref="KR13">_xlfn.IFS(AND($C$2='List(to hide)'!$B$3,'Table(related to graph)'!$C$3="Monthly"),KPI!KT22,AND($C$2='List(to hide)'!$B$3,'Table(related to graph)'!$C$3='List(to hide)'!$C$3),KPI!KT24,AND($C$2='List(to hide)'!$B$3,'Table(related to graph)'!$C$3='List(to hide)'!$C$4),KPI!KT26)</f>
        <v>-</v>
      </c>
      <c r="KS13" s="38" t="str" cm="1">
        <f t="array" ref="KS13">_xlfn.IFS(AND($C$2='List(to hide)'!$B$3,'Table(related to graph)'!$C$3="Monthly"),KPI!KU22,AND($C$2='List(to hide)'!$B$3,'Table(related to graph)'!$C$3='List(to hide)'!$C$3),KPI!KU24,AND($C$2='List(to hide)'!$B$3,'Table(related to graph)'!$C$3='List(to hide)'!$C$4),KPI!KU26)</f>
        <v>-</v>
      </c>
      <c r="KT13" s="38" t="str" cm="1">
        <f t="array" ref="KT13">_xlfn.IFS(AND($C$2='List(to hide)'!$B$3,'Table(related to graph)'!$C$3="Monthly"),KPI!KV22,AND($C$2='List(to hide)'!$B$3,'Table(related to graph)'!$C$3='List(to hide)'!$C$3),KPI!KV24,AND($C$2='List(to hide)'!$B$3,'Table(related to graph)'!$C$3='List(to hide)'!$C$4),KPI!KV26)</f>
        <v>-</v>
      </c>
      <c r="KU13" s="38" t="str" cm="1">
        <f t="array" ref="KU13">_xlfn.IFS(AND($C$2='List(to hide)'!$B$3,'Table(related to graph)'!$C$3="Monthly"),KPI!KW22,AND($C$2='List(to hide)'!$B$3,'Table(related to graph)'!$C$3='List(to hide)'!$C$3),KPI!KW24,AND($C$2='List(to hide)'!$B$3,'Table(related to graph)'!$C$3='List(to hide)'!$C$4),KPI!KW26)</f>
        <v>-</v>
      </c>
      <c r="KV13" s="38" t="str" cm="1">
        <f t="array" ref="KV13">_xlfn.IFS(AND($C$2='List(to hide)'!$B$3,'Table(related to graph)'!$C$3="Monthly"),KPI!KX22,AND($C$2='List(to hide)'!$B$3,'Table(related to graph)'!$C$3='List(to hide)'!$C$3),KPI!KX24,AND($C$2='List(to hide)'!$B$3,'Table(related to graph)'!$C$3='List(to hide)'!$C$4),KPI!KX26)</f>
        <v>-</v>
      </c>
      <c r="KW13" s="38" t="str" cm="1">
        <f t="array" ref="KW13">_xlfn.IFS(AND($C$2='List(to hide)'!$B$3,'Table(related to graph)'!$C$3="Monthly"),KPI!KY22,AND($C$2='List(to hide)'!$B$3,'Table(related to graph)'!$C$3='List(to hide)'!$C$3),KPI!KY24,AND($C$2='List(to hide)'!$B$3,'Table(related to graph)'!$C$3='List(to hide)'!$C$4),KPI!KY26)</f>
        <v>-</v>
      </c>
      <c r="KX13" s="38" t="str" cm="1">
        <f t="array" ref="KX13">_xlfn.IFS(AND($C$2='List(to hide)'!$B$3,'Table(related to graph)'!$C$3="Monthly"),KPI!KZ22,AND($C$2='List(to hide)'!$B$3,'Table(related to graph)'!$C$3='List(to hide)'!$C$3),KPI!KZ24,AND($C$2='List(to hide)'!$B$3,'Table(related to graph)'!$C$3='List(to hide)'!$C$4),KPI!KZ26)</f>
        <v>-</v>
      </c>
      <c r="KY13" s="38" t="str" cm="1">
        <f t="array" ref="KY13">_xlfn.IFS(AND($C$2='List(to hide)'!$B$3,'Table(related to graph)'!$C$3="Monthly"),KPI!LA22,AND($C$2='List(to hide)'!$B$3,'Table(related to graph)'!$C$3='List(to hide)'!$C$3),KPI!LA24,AND($C$2='List(to hide)'!$B$3,'Table(related to graph)'!$C$3='List(to hide)'!$C$4),KPI!LA26)</f>
        <v>-</v>
      </c>
      <c r="KZ13" s="38" t="str" cm="1">
        <f t="array" ref="KZ13">_xlfn.IFS(AND($C$2='List(to hide)'!$B$3,'Table(related to graph)'!$C$3="Monthly"),KPI!LB22,AND($C$2='List(to hide)'!$B$3,'Table(related to graph)'!$C$3='List(to hide)'!$C$3),KPI!LB24,AND($C$2='List(to hide)'!$B$3,'Table(related to graph)'!$C$3='List(to hide)'!$C$4),KPI!LB26)</f>
        <v>-</v>
      </c>
      <c r="LA13" s="38" t="str" cm="1">
        <f t="array" ref="LA13">_xlfn.IFS(AND($C$2='List(to hide)'!$B$3,'Table(related to graph)'!$C$3="Monthly"),KPI!LC22,AND($C$2='List(to hide)'!$B$3,'Table(related to graph)'!$C$3='List(to hide)'!$C$3),KPI!LC24,AND($C$2='List(to hide)'!$B$3,'Table(related to graph)'!$C$3='List(to hide)'!$C$4),KPI!LC26)</f>
        <v>-</v>
      </c>
      <c r="LB13" s="38" t="str" cm="1">
        <f t="array" ref="LB13">_xlfn.IFS(AND($C$2='List(to hide)'!$B$3,'Table(related to graph)'!$C$3="Monthly"),KPI!LD22,AND($C$2='List(to hide)'!$B$3,'Table(related to graph)'!$C$3='List(to hide)'!$C$3),KPI!LD24,AND($C$2='List(to hide)'!$B$3,'Table(related to graph)'!$C$3='List(to hide)'!$C$4),KPI!LD26)</f>
        <v>-</v>
      </c>
      <c r="LC13" s="38" t="str" cm="1">
        <f t="array" ref="LC13">_xlfn.IFS(AND($C$2='List(to hide)'!$B$3,'Table(related to graph)'!$C$3="Monthly"),KPI!LE22,AND($C$2='List(to hide)'!$B$3,'Table(related to graph)'!$C$3='List(to hide)'!$C$3),KPI!LE24,AND($C$2='List(to hide)'!$B$3,'Table(related to graph)'!$C$3='List(to hide)'!$C$4),KPI!LE26)</f>
        <v>-</v>
      </c>
      <c r="LD13" s="38" t="str" cm="1">
        <f t="array" ref="LD13">_xlfn.IFS(AND($C$2='List(to hide)'!$B$3,'Table(related to graph)'!$C$3="Monthly"),KPI!LF22,AND($C$2='List(to hide)'!$B$3,'Table(related to graph)'!$C$3='List(to hide)'!$C$3),KPI!LF24,AND($C$2='List(to hide)'!$B$3,'Table(related to graph)'!$C$3='List(to hide)'!$C$4),KPI!LF26)</f>
        <v>-</v>
      </c>
      <c r="LE13" s="38" t="str" cm="1">
        <f t="array" ref="LE13">_xlfn.IFS(AND($C$2='List(to hide)'!$B$3,'Table(related to graph)'!$C$3="Monthly"),KPI!LG22,AND($C$2='List(to hide)'!$B$3,'Table(related to graph)'!$C$3='List(to hide)'!$C$3),KPI!LG24,AND($C$2='List(to hide)'!$B$3,'Table(related to graph)'!$C$3='List(to hide)'!$C$4),KPI!LG26)</f>
        <v>-</v>
      </c>
      <c r="LF13" s="38" t="str" cm="1">
        <f t="array" ref="LF13">_xlfn.IFS(AND($C$2='List(to hide)'!$B$3,'Table(related to graph)'!$C$3="Monthly"),KPI!LH22,AND($C$2='List(to hide)'!$B$3,'Table(related to graph)'!$C$3='List(to hide)'!$C$3),KPI!LH24,AND($C$2='List(to hide)'!$B$3,'Table(related to graph)'!$C$3='List(to hide)'!$C$4),KPI!LH26)</f>
        <v>-</v>
      </c>
      <c r="LG13" s="38" t="str" cm="1">
        <f t="array" ref="LG13">_xlfn.IFS(AND($C$2='List(to hide)'!$B$3,'Table(related to graph)'!$C$3="Monthly"),KPI!LI22,AND($C$2='List(to hide)'!$B$3,'Table(related to graph)'!$C$3='List(to hide)'!$C$3),KPI!LI24,AND($C$2='List(to hide)'!$B$3,'Table(related to graph)'!$C$3='List(to hide)'!$C$4),KPI!LI26)</f>
        <v>-</v>
      </c>
    </row>
    <row r="14" spans="1:337" ht="15.75" thickBot="1">
      <c r="A14" s="29" t="s">
        <v>5</v>
      </c>
      <c r="B14" s="30" t="str">
        <f t="shared" si="3"/>
        <v xml:space="preserve"> Rate - 12-Month Rolling rate</v>
      </c>
      <c r="C14" s="39" t="e" cm="1">
        <f t="array" ref="C14">_xlfn.IFS(AND($C$2='List(to hide)'!$B$4,'Table(related to graph)'!$C$3="Monthly"),KPI!E28,AND($C$2='List(to hide)'!$B$4,'Table(related to graph)'!$C$3='List(to hide)'!$C$3),KPI!E30,AND($C$2='List(to hide)'!$B$4,'Table(related to graph)'!$C$3='List(to hide)'!$C$4),KPI!E32)</f>
        <v>#N/A</v>
      </c>
      <c r="D14" s="39" t="e" cm="1">
        <f t="array" ref="D14">_xlfn.IFS(AND($C$2='List(to hide)'!$B$4,'Table(related to graph)'!$C$3="Monthly"),KPI!F28,AND($C$2='List(to hide)'!$B$4,'Table(related to graph)'!$C$3='List(to hide)'!$C$3),KPI!F30,AND($C$2='List(to hide)'!$B$4,'Table(related to graph)'!$C$3='List(to hide)'!$C$4),KPI!F32)</f>
        <v>#N/A</v>
      </c>
      <c r="E14" s="39" t="e" cm="1">
        <f t="array" ref="E14">_xlfn.IFS(AND($C$2='List(to hide)'!$B$4,'Table(related to graph)'!$C$3="Monthly"),KPI!G28,AND($C$2='List(to hide)'!$B$4,'Table(related to graph)'!$C$3='List(to hide)'!$C$3),KPI!G30,AND($C$2='List(to hide)'!$B$4,'Table(related to graph)'!$C$3='List(to hide)'!$C$4),KPI!G32)</f>
        <v>#N/A</v>
      </c>
      <c r="F14" s="39" t="e" cm="1">
        <f t="array" ref="F14">_xlfn.IFS(AND($C$2='List(to hide)'!$B$4,'Table(related to graph)'!$C$3="Monthly"),KPI!H28,AND($C$2='List(to hide)'!$B$4,'Table(related to graph)'!$C$3='List(to hide)'!$C$3),KPI!H30,AND($C$2='List(to hide)'!$B$4,'Table(related to graph)'!$C$3='List(to hide)'!$C$4),KPI!H32)</f>
        <v>#N/A</v>
      </c>
      <c r="G14" s="39" t="e" cm="1">
        <f t="array" ref="G14">_xlfn.IFS(AND($C$2='List(to hide)'!$B$4,'Table(related to graph)'!$C$3="Monthly"),KPI!I28,AND($C$2='List(to hide)'!$B$4,'Table(related to graph)'!$C$3='List(to hide)'!$C$3),KPI!I30,AND($C$2='List(to hide)'!$B$4,'Table(related to graph)'!$C$3='List(to hide)'!$C$4),KPI!I32)</f>
        <v>#N/A</v>
      </c>
      <c r="H14" s="39" t="e" cm="1">
        <f t="array" ref="H14">_xlfn.IFS(AND($C$2='List(to hide)'!$B$4,'Table(related to graph)'!$C$3="Monthly"),KPI!J28,AND($C$2='List(to hide)'!$B$4,'Table(related to graph)'!$C$3='List(to hide)'!$C$3),KPI!J30,AND($C$2='List(to hide)'!$B$4,'Table(related to graph)'!$C$3='List(to hide)'!$C$4),KPI!J32)</f>
        <v>#N/A</v>
      </c>
      <c r="I14" s="39" t="e" cm="1">
        <f t="array" ref="I14">_xlfn.IFS(AND($C$2='List(to hide)'!$B$4,'Table(related to graph)'!$C$3="Monthly"),KPI!K28,AND($C$2='List(to hide)'!$B$4,'Table(related to graph)'!$C$3='List(to hide)'!$C$3),KPI!K30,AND($C$2='List(to hide)'!$B$4,'Table(related to graph)'!$C$3='List(to hide)'!$C$4),KPI!K32)</f>
        <v>#N/A</v>
      </c>
      <c r="J14" s="39" t="e" cm="1">
        <f t="array" ref="J14">_xlfn.IFS(AND($C$2='List(to hide)'!$B$4,'Table(related to graph)'!$C$3="Monthly"),KPI!L28,AND($C$2='List(to hide)'!$B$4,'Table(related to graph)'!$C$3='List(to hide)'!$C$3),KPI!L30,AND($C$2='List(to hide)'!$B$4,'Table(related to graph)'!$C$3='List(to hide)'!$C$4),KPI!L32)</f>
        <v>#N/A</v>
      </c>
      <c r="K14" s="39" t="e" cm="1">
        <f t="array" ref="K14">_xlfn.IFS(AND($C$2='List(to hide)'!$B$4,'Table(related to graph)'!$C$3="Monthly"),KPI!M28,AND($C$2='List(to hide)'!$B$4,'Table(related to graph)'!$C$3='List(to hide)'!$C$3),KPI!M30,AND($C$2='List(to hide)'!$B$4,'Table(related to graph)'!$C$3='List(to hide)'!$C$4),KPI!M32)</f>
        <v>#N/A</v>
      </c>
      <c r="L14" s="39" t="e" cm="1">
        <f t="array" ref="L14">_xlfn.IFS(AND($C$2='List(to hide)'!$B$4,'Table(related to graph)'!$C$3="Monthly"),KPI!N28,AND($C$2='List(to hide)'!$B$4,'Table(related to graph)'!$C$3='List(to hide)'!$C$3),KPI!N30,AND($C$2='List(to hide)'!$B$4,'Table(related to graph)'!$C$3='List(to hide)'!$C$4),KPI!N32)</f>
        <v>#N/A</v>
      </c>
      <c r="M14" s="39" t="e" cm="1">
        <f t="array" ref="M14">_xlfn.IFS(AND($C$2='List(to hide)'!$B$4,'Table(related to graph)'!$C$3="Monthly"),KPI!O28,AND($C$2='List(to hide)'!$B$4,'Table(related to graph)'!$C$3='List(to hide)'!$C$3),KPI!O30,AND($C$2='List(to hide)'!$B$4,'Table(related to graph)'!$C$3='List(to hide)'!$C$4),KPI!O32)</f>
        <v>#N/A</v>
      </c>
      <c r="N14" s="39" t="e" cm="1">
        <f t="array" ref="N14">_xlfn.IFS(AND($C$2='List(to hide)'!$B$4,'Table(related to graph)'!$C$3="Monthly"),KPI!P28,AND($C$2='List(to hide)'!$B$4,'Table(related to graph)'!$C$3='List(to hide)'!$C$3),KPI!P30,AND($C$2='List(to hide)'!$B$4,'Table(related to graph)'!$C$3='List(to hide)'!$C$4),KPI!P32)</f>
        <v>#N/A</v>
      </c>
      <c r="O14" s="39" t="e" cm="1">
        <f t="array" ref="O14">_xlfn.IFS(AND($C$2='List(to hide)'!$B$4,'Table(related to graph)'!$C$3="Monthly"),KPI!Q28,AND($C$2='List(to hide)'!$B$4,'Table(related to graph)'!$C$3='List(to hide)'!$C$3),KPI!Q30,AND($C$2='List(to hide)'!$B$4,'Table(related to graph)'!$C$3='List(to hide)'!$C$4),KPI!Q32)</f>
        <v>#N/A</v>
      </c>
      <c r="P14" s="39" t="e" cm="1">
        <f t="array" ref="P14">_xlfn.IFS(AND($C$2='List(to hide)'!$B$4,'Table(related to graph)'!$C$3="Monthly"),KPI!R28,AND($C$2='List(to hide)'!$B$4,'Table(related to graph)'!$C$3='List(to hide)'!$C$3),KPI!R30,AND($C$2='List(to hide)'!$B$4,'Table(related to graph)'!$C$3='List(to hide)'!$C$4),KPI!R32)</f>
        <v>#N/A</v>
      </c>
      <c r="Q14" s="39" t="e" cm="1">
        <f t="array" ref="Q14">_xlfn.IFS(AND($C$2='List(to hide)'!$B$4,'Table(related to graph)'!$C$3="Monthly"),KPI!S28,AND($C$2='List(to hide)'!$B$4,'Table(related to graph)'!$C$3='List(to hide)'!$C$3),KPI!S30,AND($C$2='List(to hide)'!$B$4,'Table(related to graph)'!$C$3='List(to hide)'!$C$4),KPI!S32)</f>
        <v>#N/A</v>
      </c>
      <c r="R14" s="39" t="e" cm="1">
        <f t="array" ref="R14">_xlfn.IFS(AND($C$2='List(to hide)'!$B$4,'Table(related to graph)'!$C$3="Monthly"),KPI!T28,AND($C$2='List(to hide)'!$B$4,'Table(related to graph)'!$C$3='List(to hide)'!$C$3),KPI!T30,AND($C$2='List(to hide)'!$B$4,'Table(related to graph)'!$C$3='List(to hide)'!$C$4),KPI!T32)</f>
        <v>#N/A</v>
      </c>
      <c r="S14" s="39" t="e" cm="1">
        <f t="array" ref="S14">_xlfn.IFS(AND($C$2='List(to hide)'!$B$4,'Table(related to graph)'!$C$3="Monthly"),KPI!U28,AND($C$2='List(to hide)'!$B$4,'Table(related to graph)'!$C$3='List(to hide)'!$C$3),KPI!U30,AND($C$2='List(to hide)'!$B$4,'Table(related to graph)'!$C$3='List(to hide)'!$C$4),KPI!U32)</f>
        <v>#N/A</v>
      </c>
      <c r="T14" s="39" t="e" cm="1">
        <f t="array" ref="T14">_xlfn.IFS(AND($C$2='List(to hide)'!$B$4,'Table(related to graph)'!$C$3="Monthly"),KPI!V28,AND($C$2='List(to hide)'!$B$4,'Table(related to graph)'!$C$3='List(to hide)'!$C$3),KPI!V30,AND($C$2='List(to hide)'!$B$4,'Table(related to graph)'!$C$3='List(to hide)'!$C$4),KPI!V32)</f>
        <v>#N/A</v>
      </c>
      <c r="U14" s="39" t="e" cm="1">
        <f t="array" ref="U14">_xlfn.IFS(AND($C$2='List(to hide)'!$B$4,'Table(related to graph)'!$C$3="Monthly"),KPI!W28,AND($C$2='List(to hide)'!$B$4,'Table(related to graph)'!$C$3='List(to hide)'!$C$3),KPI!W30,AND($C$2='List(to hide)'!$B$4,'Table(related to graph)'!$C$3='List(to hide)'!$C$4),KPI!W32)</f>
        <v>#N/A</v>
      </c>
      <c r="V14" s="39" t="e" cm="1">
        <f t="array" ref="V14">_xlfn.IFS(AND($C$2='List(to hide)'!$B$4,'Table(related to graph)'!$C$3="Monthly"),KPI!X28,AND($C$2='List(to hide)'!$B$4,'Table(related to graph)'!$C$3='List(to hide)'!$C$3),KPI!X30,AND($C$2='List(to hide)'!$B$4,'Table(related to graph)'!$C$3='List(to hide)'!$C$4),KPI!X32)</f>
        <v>#N/A</v>
      </c>
      <c r="W14" s="39" t="e" cm="1">
        <f t="array" ref="W14">_xlfn.IFS(AND($C$2='List(to hide)'!$B$4,'Table(related to graph)'!$C$3="Monthly"),KPI!Y28,AND($C$2='List(to hide)'!$B$4,'Table(related to graph)'!$C$3='List(to hide)'!$C$3),KPI!Y30,AND($C$2='List(to hide)'!$B$4,'Table(related to graph)'!$C$3='List(to hide)'!$C$4),KPI!Y32)</f>
        <v>#N/A</v>
      </c>
      <c r="X14" s="39" t="e" cm="1">
        <f t="array" ref="X14">_xlfn.IFS(AND($C$2='List(to hide)'!$B$4,'Table(related to graph)'!$C$3="Monthly"),KPI!Z28,AND($C$2='List(to hide)'!$B$4,'Table(related to graph)'!$C$3='List(to hide)'!$C$3),KPI!Z30,AND($C$2='List(to hide)'!$B$4,'Table(related to graph)'!$C$3='List(to hide)'!$C$4),KPI!Z32)</f>
        <v>#N/A</v>
      </c>
      <c r="Y14" s="39" t="e" cm="1">
        <f t="array" ref="Y14">_xlfn.IFS(AND($C$2='List(to hide)'!$B$4,'Table(related to graph)'!$C$3="Monthly"),KPI!AA28,AND($C$2='List(to hide)'!$B$4,'Table(related to graph)'!$C$3='List(to hide)'!$C$3),KPI!AA30,AND($C$2='List(to hide)'!$B$4,'Table(related to graph)'!$C$3='List(to hide)'!$C$4),KPI!AA32)</f>
        <v>#N/A</v>
      </c>
      <c r="Z14" s="39" t="e" cm="1">
        <f t="array" ref="Z14">_xlfn.IFS(AND($C$2='List(to hide)'!$B$4,'Table(related to graph)'!$C$3="Monthly"),KPI!AB28,AND($C$2='List(to hide)'!$B$4,'Table(related to graph)'!$C$3='List(to hide)'!$C$3),KPI!AB30,AND($C$2='List(to hide)'!$B$4,'Table(related to graph)'!$C$3='List(to hide)'!$C$4),KPI!AB32)</f>
        <v>#N/A</v>
      </c>
      <c r="AA14" s="39" t="e" cm="1">
        <f t="array" ref="AA14">_xlfn.IFS(AND($C$2='List(to hide)'!$B$4,'Table(related to graph)'!$C$3="Monthly"),KPI!AC28,AND($C$2='List(to hide)'!$B$4,'Table(related to graph)'!$C$3='List(to hide)'!$C$3),KPI!AC30,AND($C$2='List(to hide)'!$B$4,'Table(related to graph)'!$C$3='List(to hide)'!$C$4),KPI!AC32)</f>
        <v>#N/A</v>
      </c>
      <c r="AB14" s="39" t="e" cm="1">
        <f t="array" ref="AB14">_xlfn.IFS(AND($C$2='List(to hide)'!$B$4,'Table(related to graph)'!$C$3="Monthly"),KPI!AD28,AND($C$2='List(to hide)'!$B$4,'Table(related to graph)'!$C$3='List(to hide)'!$C$3),KPI!AD30,AND($C$2='List(to hide)'!$B$4,'Table(related to graph)'!$C$3='List(to hide)'!$C$4),KPI!AD32)</f>
        <v>#N/A</v>
      </c>
      <c r="AC14" s="39" t="e" cm="1">
        <f t="array" ref="AC14">_xlfn.IFS(AND($C$2='List(to hide)'!$B$4,'Table(related to graph)'!$C$3="Monthly"),KPI!AE28,AND($C$2='List(to hide)'!$B$4,'Table(related to graph)'!$C$3='List(to hide)'!$C$3),KPI!AE30,AND($C$2='List(to hide)'!$B$4,'Table(related to graph)'!$C$3='List(to hide)'!$C$4),KPI!AE32)</f>
        <v>#N/A</v>
      </c>
      <c r="AD14" s="39" t="e" cm="1">
        <f t="array" ref="AD14">_xlfn.IFS(AND($C$2='List(to hide)'!$B$4,'Table(related to graph)'!$C$3="Monthly"),KPI!AF28,AND($C$2='List(to hide)'!$B$4,'Table(related to graph)'!$C$3='List(to hide)'!$C$3),KPI!AF30,AND($C$2='List(to hide)'!$B$4,'Table(related to graph)'!$C$3='List(to hide)'!$C$4),KPI!AF32)</f>
        <v>#N/A</v>
      </c>
      <c r="AE14" s="39" t="e" cm="1">
        <f t="array" ref="AE14">_xlfn.IFS(AND($C$2='List(to hide)'!$B$4,'Table(related to graph)'!$C$3="Monthly"),KPI!AG28,AND($C$2='List(to hide)'!$B$4,'Table(related to graph)'!$C$3='List(to hide)'!$C$3),KPI!AG30,AND($C$2='List(to hide)'!$B$4,'Table(related to graph)'!$C$3='List(to hide)'!$C$4),KPI!AG32)</f>
        <v>#N/A</v>
      </c>
      <c r="AF14" s="39" t="e" cm="1">
        <f t="array" ref="AF14">_xlfn.IFS(AND($C$2='List(to hide)'!$B$4,'Table(related to graph)'!$C$3="Monthly"),KPI!AH28,AND($C$2='List(to hide)'!$B$4,'Table(related to graph)'!$C$3='List(to hide)'!$C$3),KPI!AH30,AND($C$2='List(to hide)'!$B$4,'Table(related to graph)'!$C$3='List(to hide)'!$C$4),KPI!AH32)</f>
        <v>#N/A</v>
      </c>
      <c r="AG14" s="39" t="e" cm="1">
        <f t="array" ref="AG14">_xlfn.IFS(AND($C$2='List(to hide)'!$B$4,'Table(related to graph)'!$C$3="Monthly"),KPI!AI28,AND($C$2='List(to hide)'!$B$4,'Table(related to graph)'!$C$3='List(to hide)'!$C$3),KPI!AI30,AND($C$2='List(to hide)'!$B$4,'Table(related to graph)'!$C$3='List(to hide)'!$C$4),KPI!AI32)</f>
        <v>#N/A</v>
      </c>
      <c r="AH14" s="39" t="e" cm="1">
        <f t="array" ref="AH14">_xlfn.IFS(AND($C$2='List(to hide)'!$B$4,'Table(related to graph)'!$C$3="Monthly"),KPI!AJ28,AND($C$2='List(to hide)'!$B$4,'Table(related to graph)'!$C$3='List(to hide)'!$C$3),KPI!AJ30,AND($C$2='List(to hide)'!$B$4,'Table(related to graph)'!$C$3='List(to hide)'!$C$4),KPI!AJ32)</f>
        <v>#N/A</v>
      </c>
      <c r="AI14" s="39" t="e" cm="1">
        <f t="array" ref="AI14">_xlfn.IFS(AND($C$2='List(to hide)'!$B$4,'Table(related to graph)'!$C$3="Monthly"),KPI!AK28,AND($C$2='List(to hide)'!$B$4,'Table(related to graph)'!$C$3='List(to hide)'!$C$3),KPI!AK30,AND($C$2='List(to hide)'!$B$4,'Table(related to graph)'!$C$3='List(to hide)'!$C$4),KPI!AK32)</f>
        <v>#N/A</v>
      </c>
      <c r="AJ14" s="39" t="e" cm="1">
        <f t="array" ref="AJ14">_xlfn.IFS(AND($C$2='List(to hide)'!$B$4,'Table(related to graph)'!$C$3="Monthly"),KPI!AL28,AND($C$2='List(to hide)'!$B$4,'Table(related to graph)'!$C$3='List(to hide)'!$C$3),KPI!AL30,AND($C$2='List(to hide)'!$B$4,'Table(related to graph)'!$C$3='List(to hide)'!$C$4),KPI!AL32)</f>
        <v>#N/A</v>
      </c>
      <c r="AK14" s="39" t="e" cm="1">
        <f t="array" ref="AK14">_xlfn.IFS(AND($C$2='List(to hide)'!$B$4,'Table(related to graph)'!$C$3="Monthly"),KPI!AM28,AND($C$2='List(to hide)'!$B$4,'Table(related to graph)'!$C$3='List(to hide)'!$C$3),KPI!AM30,AND($C$2='List(to hide)'!$B$4,'Table(related to graph)'!$C$3='List(to hide)'!$C$4),KPI!AM32)</f>
        <v>#N/A</v>
      </c>
      <c r="AL14" s="39" t="e" cm="1">
        <f t="array" ref="AL14">_xlfn.IFS(AND($C$2='List(to hide)'!$B$4,'Table(related to graph)'!$C$3="Monthly"),KPI!AN28,AND($C$2='List(to hide)'!$B$4,'Table(related to graph)'!$C$3='List(to hide)'!$C$3),KPI!AN30,AND($C$2='List(to hide)'!$B$4,'Table(related to graph)'!$C$3='List(to hide)'!$C$4),KPI!AN32)</f>
        <v>#N/A</v>
      </c>
      <c r="AM14" s="39" t="e" cm="1">
        <f t="array" ref="AM14">_xlfn.IFS(AND($C$2='List(to hide)'!$B$4,'Table(related to graph)'!$C$3="Monthly"),KPI!AO28,AND($C$2='List(to hide)'!$B$4,'Table(related to graph)'!$C$3='List(to hide)'!$C$3),KPI!AO30,AND($C$2='List(to hide)'!$B$4,'Table(related to graph)'!$C$3='List(to hide)'!$C$4),KPI!AO32)</f>
        <v>#N/A</v>
      </c>
      <c r="AN14" s="39" t="e" cm="1">
        <f t="array" ref="AN14">_xlfn.IFS(AND($C$2='List(to hide)'!$B$4,'Table(related to graph)'!$C$3="Monthly"),KPI!AP28,AND($C$2='List(to hide)'!$B$4,'Table(related to graph)'!$C$3='List(to hide)'!$C$3),KPI!AP30,AND($C$2='List(to hide)'!$B$4,'Table(related to graph)'!$C$3='List(to hide)'!$C$4),KPI!AP32)</f>
        <v>#N/A</v>
      </c>
      <c r="AO14" s="39" t="e" cm="1">
        <f t="array" ref="AO14">_xlfn.IFS(AND($C$2='List(to hide)'!$B$4,'Table(related to graph)'!$C$3="Monthly"),KPI!AQ28,AND($C$2='List(to hide)'!$B$4,'Table(related to graph)'!$C$3='List(to hide)'!$C$3),KPI!AQ30,AND($C$2='List(to hide)'!$B$4,'Table(related to graph)'!$C$3='List(to hide)'!$C$4),KPI!AQ32)</f>
        <v>#N/A</v>
      </c>
      <c r="AP14" s="39" t="e" cm="1">
        <f t="array" ref="AP14">_xlfn.IFS(AND($C$2='List(to hide)'!$B$4,'Table(related to graph)'!$C$3="Monthly"),KPI!AR28,AND($C$2='List(to hide)'!$B$4,'Table(related to graph)'!$C$3='List(to hide)'!$C$3),KPI!AR30,AND($C$2='List(to hide)'!$B$4,'Table(related to graph)'!$C$3='List(to hide)'!$C$4),KPI!AR32)</f>
        <v>#N/A</v>
      </c>
      <c r="AQ14" s="39" t="e" cm="1">
        <f t="array" ref="AQ14">_xlfn.IFS(AND($C$2='List(to hide)'!$B$4,'Table(related to graph)'!$C$3="Monthly"),KPI!AS28,AND($C$2='List(to hide)'!$B$4,'Table(related to graph)'!$C$3='List(to hide)'!$C$3),KPI!AS30,AND($C$2='List(to hide)'!$B$4,'Table(related to graph)'!$C$3='List(to hide)'!$C$4),KPI!AS32)</f>
        <v>#N/A</v>
      </c>
      <c r="AR14" s="39" t="e" cm="1">
        <f t="array" ref="AR14">_xlfn.IFS(AND($C$2='List(to hide)'!$B$4,'Table(related to graph)'!$C$3="Monthly"),KPI!AT28,AND($C$2='List(to hide)'!$B$4,'Table(related to graph)'!$C$3='List(to hide)'!$C$3),KPI!AT30,AND($C$2='List(to hide)'!$B$4,'Table(related to graph)'!$C$3='List(to hide)'!$C$4),KPI!AT32)</f>
        <v>#N/A</v>
      </c>
      <c r="AS14" s="39" t="e" cm="1">
        <f t="array" ref="AS14">_xlfn.IFS(AND($C$2='List(to hide)'!$B$4,'Table(related to graph)'!$C$3="Monthly"),KPI!AU28,AND($C$2='List(to hide)'!$B$4,'Table(related to graph)'!$C$3='List(to hide)'!$C$3),KPI!AU30,AND($C$2='List(to hide)'!$B$4,'Table(related to graph)'!$C$3='List(to hide)'!$C$4),KPI!AU32)</f>
        <v>#N/A</v>
      </c>
      <c r="AT14" s="39" t="e" cm="1">
        <f t="array" ref="AT14">_xlfn.IFS(AND($C$2='List(to hide)'!$B$4,'Table(related to graph)'!$C$3="Monthly"),KPI!AV28,AND($C$2='List(to hide)'!$B$4,'Table(related to graph)'!$C$3='List(to hide)'!$C$3),KPI!AV30,AND($C$2='List(to hide)'!$B$4,'Table(related to graph)'!$C$3='List(to hide)'!$C$4),KPI!AV32)</f>
        <v>#N/A</v>
      </c>
      <c r="AU14" s="39" t="e" cm="1">
        <f t="array" ref="AU14">_xlfn.IFS(AND($C$2='List(to hide)'!$B$4,'Table(related to graph)'!$C$3="Monthly"),KPI!AW28,AND($C$2='List(to hide)'!$B$4,'Table(related to graph)'!$C$3='List(to hide)'!$C$3),KPI!AW30,AND($C$2='List(to hide)'!$B$4,'Table(related to graph)'!$C$3='List(to hide)'!$C$4),KPI!AW32)</f>
        <v>#N/A</v>
      </c>
      <c r="AV14" s="39" t="e" cm="1">
        <f t="array" ref="AV14">_xlfn.IFS(AND($C$2='List(to hide)'!$B$4,'Table(related to graph)'!$C$3="Monthly"),KPI!AX28,AND($C$2='List(to hide)'!$B$4,'Table(related to graph)'!$C$3='List(to hide)'!$C$3),KPI!AX30,AND($C$2='List(to hide)'!$B$4,'Table(related to graph)'!$C$3='List(to hide)'!$C$4),KPI!AX32)</f>
        <v>#N/A</v>
      </c>
      <c r="AW14" s="39" t="e" cm="1">
        <f t="array" ref="AW14">_xlfn.IFS(AND($C$2='List(to hide)'!$B$4,'Table(related to graph)'!$C$3="Monthly"),KPI!AY28,AND($C$2='List(to hide)'!$B$4,'Table(related to graph)'!$C$3='List(to hide)'!$C$3),KPI!AY30,AND($C$2='List(to hide)'!$B$4,'Table(related to graph)'!$C$3='List(to hide)'!$C$4),KPI!AY32)</f>
        <v>#N/A</v>
      </c>
      <c r="AX14" s="39" t="e" cm="1">
        <f t="array" ref="AX14">_xlfn.IFS(AND($C$2='List(to hide)'!$B$4,'Table(related to graph)'!$C$3="Monthly"),KPI!AZ28,AND($C$2='List(to hide)'!$B$4,'Table(related to graph)'!$C$3='List(to hide)'!$C$3),KPI!AZ30,AND($C$2='List(to hide)'!$B$4,'Table(related to graph)'!$C$3='List(to hide)'!$C$4),KPI!AZ32)</f>
        <v>#N/A</v>
      </c>
      <c r="AY14" s="39" t="e" cm="1">
        <f t="array" ref="AY14">_xlfn.IFS(AND($C$2='List(to hide)'!$B$4,'Table(related to graph)'!$C$3="Monthly"),KPI!BA28,AND($C$2='List(to hide)'!$B$4,'Table(related to graph)'!$C$3='List(to hide)'!$C$3),KPI!BA30,AND($C$2='List(to hide)'!$B$4,'Table(related to graph)'!$C$3='List(to hide)'!$C$4),KPI!BA32)</f>
        <v>#N/A</v>
      </c>
      <c r="AZ14" s="39" t="e" cm="1">
        <f t="array" ref="AZ14">_xlfn.IFS(AND($C$2='List(to hide)'!$B$4,'Table(related to graph)'!$C$3="Monthly"),KPI!BB28,AND($C$2='List(to hide)'!$B$4,'Table(related to graph)'!$C$3='List(to hide)'!$C$3),KPI!BB30,AND($C$2='List(to hide)'!$B$4,'Table(related to graph)'!$C$3='List(to hide)'!$C$4),KPI!BB32)</f>
        <v>#N/A</v>
      </c>
      <c r="BA14" s="39" t="e" cm="1">
        <f t="array" ref="BA14">_xlfn.IFS(AND($C$2='List(to hide)'!$B$4,'Table(related to graph)'!$C$3="Monthly"),KPI!BC28,AND($C$2='List(to hide)'!$B$4,'Table(related to graph)'!$C$3='List(to hide)'!$C$3),KPI!BC30,AND($C$2='List(to hide)'!$B$4,'Table(related to graph)'!$C$3='List(to hide)'!$C$4),KPI!BC32)</f>
        <v>#N/A</v>
      </c>
      <c r="BB14" s="39" t="e" cm="1">
        <f t="array" ref="BB14">_xlfn.IFS(AND($C$2='List(to hide)'!$B$4,'Table(related to graph)'!$C$3="Monthly"),KPI!BD28,AND($C$2='List(to hide)'!$B$4,'Table(related to graph)'!$C$3='List(to hide)'!$C$3),KPI!BD30,AND($C$2='List(to hide)'!$B$4,'Table(related to graph)'!$C$3='List(to hide)'!$C$4),KPI!BD32)</f>
        <v>#N/A</v>
      </c>
      <c r="BC14" s="39" t="e" cm="1">
        <f t="array" ref="BC14">_xlfn.IFS(AND($C$2='List(to hide)'!$B$4,'Table(related to graph)'!$C$3="Monthly"),KPI!BE28,AND($C$2='List(to hide)'!$B$4,'Table(related to graph)'!$C$3='List(to hide)'!$C$3),KPI!BE30,AND($C$2='List(to hide)'!$B$4,'Table(related to graph)'!$C$3='List(to hide)'!$C$4),KPI!BE32)</f>
        <v>#N/A</v>
      </c>
      <c r="BD14" s="39" t="e" cm="1">
        <f t="array" ref="BD14">_xlfn.IFS(AND($C$2='List(to hide)'!$B$4,'Table(related to graph)'!$C$3="Monthly"),KPI!BF28,AND($C$2='List(to hide)'!$B$4,'Table(related to graph)'!$C$3='List(to hide)'!$C$3),KPI!BF30,AND($C$2='List(to hide)'!$B$4,'Table(related to graph)'!$C$3='List(to hide)'!$C$4),KPI!BF32)</f>
        <v>#N/A</v>
      </c>
      <c r="BE14" s="39" t="e" cm="1">
        <f t="array" ref="BE14">_xlfn.IFS(AND($C$2='List(to hide)'!$B$4,'Table(related to graph)'!$C$3="Monthly"),KPI!BG28,AND($C$2='List(to hide)'!$B$4,'Table(related to graph)'!$C$3='List(to hide)'!$C$3),KPI!BG30,AND($C$2='List(to hide)'!$B$4,'Table(related to graph)'!$C$3='List(to hide)'!$C$4),KPI!BG32)</f>
        <v>#N/A</v>
      </c>
      <c r="BF14" s="39" t="e" cm="1">
        <f t="array" ref="BF14">_xlfn.IFS(AND($C$2='List(to hide)'!$B$4,'Table(related to graph)'!$C$3="Monthly"),KPI!BH28,AND($C$2='List(to hide)'!$B$4,'Table(related to graph)'!$C$3='List(to hide)'!$C$3),KPI!BH30,AND($C$2='List(to hide)'!$B$4,'Table(related to graph)'!$C$3='List(to hide)'!$C$4),KPI!BH32)</f>
        <v>#N/A</v>
      </c>
      <c r="BG14" s="39" t="e" cm="1">
        <f t="array" ref="BG14">_xlfn.IFS(AND($C$2='List(to hide)'!$B$4,'Table(related to graph)'!$C$3="Monthly"),KPI!BI28,AND($C$2='List(to hide)'!$B$4,'Table(related to graph)'!$C$3='List(to hide)'!$C$3),KPI!BI30,AND($C$2='List(to hide)'!$B$4,'Table(related to graph)'!$C$3='List(to hide)'!$C$4),KPI!BI32)</f>
        <v>#N/A</v>
      </c>
      <c r="BH14" s="39" t="e" cm="1">
        <f t="array" ref="BH14">_xlfn.IFS(AND($C$2='List(to hide)'!$B$4,'Table(related to graph)'!$C$3="Monthly"),KPI!BJ28,AND($C$2='List(to hide)'!$B$4,'Table(related to graph)'!$C$3='List(to hide)'!$C$3),KPI!BJ30,AND($C$2='List(to hide)'!$B$4,'Table(related to graph)'!$C$3='List(to hide)'!$C$4),KPI!BJ32)</f>
        <v>#N/A</v>
      </c>
      <c r="BI14" s="39" t="e" cm="1">
        <f t="array" ref="BI14">_xlfn.IFS(AND($C$2='List(to hide)'!$B$4,'Table(related to graph)'!$C$3="Monthly"),KPI!BK28,AND($C$2='List(to hide)'!$B$4,'Table(related to graph)'!$C$3='List(to hide)'!$C$3),KPI!BK30,AND($C$2='List(to hide)'!$B$4,'Table(related to graph)'!$C$3='List(to hide)'!$C$4),KPI!BK32)</f>
        <v>#N/A</v>
      </c>
      <c r="BJ14" s="39" t="e" cm="1">
        <f t="array" ref="BJ14">_xlfn.IFS(AND($C$2='List(to hide)'!$B$4,'Table(related to graph)'!$C$3="Monthly"),KPI!BL28,AND($C$2='List(to hide)'!$B$4,'Table(related to graph)'!$C$3='List(to hide)'!$C$3),KPI!BL30,AND($C$2='List(to hide)'!$B$4,'Table(related to graph)'!$C$3='List(to hide)'!$C$4),KPI!BL32)</f>
        <v>#N/A</v>
      </c>
      <c r="BK14" s="39" t="e" cm="1">
        <f t="array" ref="BK14">_xlfn.IFS(AND($C$2='List(to hide)'!$B$4,'Table(related to graph)'!$C$3="Monthly"),KPI!BM28,AND($C$2='List(to hide)'!$B$4,'Table(related to graph)'!$C$3='List(to hide)'!$C$3),KPI!BM30,AND($C$2='List(to hide)'!$B$4,'Table(related to graph)'!$C$3='List(to hide)'!$C$4),KPI!BM32)</f>
        <v>#N/A</v>
      </c>
      <c r="BL14" s="39" t="e" cm="1">
        <f t="array" ref="BL14">_xlfn.IFS(AND($C$2='List(to hide)'!$B$4,'Table(related to graph)'!$C$3="Monthly"),KPI!BN28,AND($C$2='List(to hide)'!$B$4,'Table(related to graph)'!$C$3='List(to hide)'!$C$3),KPI!BN30,AND($C$2='List(to hide)'!$B$4,'Table(related to graph)'!$C$3='List(to hide)'!$C$4),KPI!BN32)</f>
        <v>#N/A</v>
      </c>
      <c r="BM14" s="39" t="e" cm="1">
        <f t="array" ref="BM14">_xlfn.IFS(AND($C$2='List(to hide)'!$B$4,'Table(related to graph)'!$C$3="Monthly"),KPI!BO28,AND($C$2='List(to hide)'!$B$4,'Table(related to graph)'!$C$3='List(to hide)'!$C$3),KPI!BO30,AND($C$2='List(to hide)'!$B$4,'Table(related to graph)'!$C$3='List(to hide)'!$C$4),KPI!BO32)</f>
        <v>#N/A</v>
      </c>
      <c r="BN14" s="39" t="e" cm="1">
        <f t="array" ref="BN14">_xlfn.IFS(AND($C$2='List(to hide)'!$B$4,'Table(related to graph)'!$C$3="Monthly"),KPI!BP28,AND($C$2='List(to hide)'!$B$4,'Table(related to graph)'!$C$3='List(to hide)'!$C$3),KPI!BP30,AND($C$2='List(to hide)'!$B$4,'Table(related to graph)'!$C$3='List(to hide)'!$C$4),KPI!BP32)</f>
        <v>#N/A</v>
      </c>
      <c r="BO14" s="39" t="e" cm="1">
        <f t="array" ref="BO14">_xlfn.IFS(AND($C$2='List(to hide)'!$B$4,'Table(related to graph)'!$C$3="Monthly"),KPI!BQ28,AND($C$2='List(to hide)'!$B$4,'Table(related to graph)'!$C$3='List(to hide)'!$C$3),KPI!BQ30,AND($C$2='List(to hide)'!$B$4,'Table(related to graph)'!$C$3='List(to hide)'!$C$4),KPI!BQ32)</f>
        <v>#N/A</v>
      </c>
      <c r="BP14" s="39" t="e" cm="1">
        <f t="array" ref="BP14">_xlfn.IFS(AND($C$2='List(to hide)'!$B$4,'Table(related to graph)'!$C$3="Monthly"),KPI!BR28,AND($C$2='List(to hide)'!$B$4,'Table(related to graph)'!$C$3='List(to hide)'!$C$3),KPI!BR30,AND($C$2='List(to hide)'!$B$4,'Table(related to graph)'!$C$3='List(to hide)'!$C$4),KPI!BR32)</f>
        <v>#N/A</v>
      </c>
      <c r="BQ14" s="39" t="e" cm="1">
        <f t="array" ref="BQ14">_xlfn.IFS(AND($C$2='List(to hide)'!$B$4,'Table(related to graph)'!$C$3="Monthly"),KPI!BS28,AND($C$2='List(to hide)'!$B$4,'Table(related to graph)'!$C$3='List(to hide)'!$C$3),KPI!BS30,AND($C$2='List(to hide)'!$B$4,'Table(related to graph)'!$C$3='List(to hide)'!$C$4),KPI!BS32)</f>
        <v>#N/A</v>
      </c>
      <c r="BR14" s="39" t="e" cm="1">
        <f t="array" ref="BR14">_xlfn.IFS(AND($C$2='List(to hide)'!$B$4,'Table(related to graph)'!$C$3="Monthly"),KPI!BT28,AND($C$2='List(to hide)'!$B$4,'Table(related to graph)'!$C$3='List(to hide)'!$C$3),KPI!BT30,AND($C$2='List(to hide)'!$B$4,'Table(related to graph)'!$C$3='List(to hide)'!$C$4),KPI!BT32)</f>
        <v>#N/A</v>
      </c>
      <c r="BS14" s="39" t="e" cm="1">
        <f t="array" ref="BS14">_xlfn.IFS(AND($C$2='List(to hide)'!$B$4,'Table(related to graph)'!$C$3="Monthly"),KPI!BU28,AND($C$2='List(to hide)'!$B$4,'Table(related to graph)'!$C$3='List(to hide)'!$C$3),KPI!BU30,AND($C$2='List(to hide)'!$B$4,'Table(related to graph)'!$C$3='List(to hide)'!$C$4),KPI!BU32)</f>
        <v>#N/A</v>
      </c>
      <c r="BT14" s="39" t="e" cm="1">
        <f t="array" ref="BT14">_xlfn.IFS(AND($C$2='List(to hide)'!$B$4,'Table(related to graph)'!$C$3="Monthly"),KPI!BV28,AND($C$2='List(to hide)'!$B$4,'Table(related to graph)'!$C$3='List(to hide)'!$C$3),KPI!BV30,AND($C$2='List(to hide)'!$B$4,'Table(related to graph)'!$C$3='List(to hide)'!$C$4),KPI!BV32)</f>
        <v>#N/A</v>
      </c>
      <c r="BU14" s="39" t="e" cm="1">
        <f t="array" ref="BU14">_xlfn.IFS(AND($C$2='List(to hide)'!$B$4,'Table(related to graph)'!$C$3="Monthly"),KPI!BW28,AND($C$2='List(to hide)'!$B$4,'Table(related to graph)'!$C$3='List(to hide)'!$C$3),KPI!BW30,AND($C$2='List(to hide)'!$B$4,'Table(related to graph)'!$C$3='List(to hide)'!$C$4),KPI!BW32)</f>
        <v>#N/A</v>
      </c>
      <c r="BV14" s="39" t="e" cm="1">
        <f t="array" ref="BV14">_xlfn.IFS(AND($C$2='List(to hide)'!$B$4,'Table(related to graph)'!$C$3="Monthly"),KPI!BX28,AND($C$2='List(to hide)'!$B$4,'Table(related to graph)'!$C$3='List(to hide)'!$C$3),KPI!BX30,AND($C$2='List(to hide)'!$B$4,'Table(related to graph)'!$C$3='List(to hide)'!$C$4),KPI!BX32)</f>
        <v>#N/A</v>
      </c>
      <c r="BW14" s="39" t="e" cm="1">
        <f t="array" ref="BW14">_xlfn.IFS(AND($C$2='List(to hide)'!$B$4,'Table(related to graph)'!$C$3="Monthly"),KPI!BY28,AND($C$2='List(to hide)'!$B$4,'Table(related to graph)'!$C$3='List(to hide)'!$C$3),KPI!BY30,AND($C$2='List(to hide)'!$B$4,'Table(related to graph)'!$C$3='List(to hide)'!$C$4),KPI!BY32)</f>
        <v>#N/A</v>
      </c>
      <c r="BX14" s="39" t="e" cm="1">
        <f t="array" ref="BX14">_xlfn.IFS(AND($C$2='List(to hide)'!$B$4,'Table(related to graph)'!$C$3="Monthly"),KPI!BZ28,AND($C$2='List(to hide)'!$B$4,'Table(related to graph)'!$C$3='List(to hide)'!$C$3),KPI!BZ30,AND($C$2='List(to hide)'!$B$4,'Table(related to graph)'!$C$3='List(to hide)'!$C$4),KPI!BZ32)</f>
        <v>#N/A</v>
      </c>
      <c r="BY14" s="39" t="e" cm="1">
        <f t="array" ref="BY14">_xlfn.IFS(AND($C$2='List(to hide)'!$B$4,'Table(related to graph)'!$C$3="Monthly"),KPI!CA28,AND($C$2='List(to hide)'!$B$4,'Table(related to graph)'!$C$3='List(to hide)'!$C$3),KPI!CA30,AND($C$2='List(to hide)'!$B$4,'Table(related to graph)'!$C$3='List(to hide)'!$C$4),KPI!CA32)</f>
        <v>#N/A</v>
      </c>
      <c r="BZ14" s="39" t="e" cm="1">
        <f t="array" ref="BZ14">_xlfn.IFS(AND($C$2='List(to hide)'!$B$4,'Table(related to graph)'!$C$3="Monthly"),KPI!CB28,AND($C$2='List(to hide)'!$B$4,'Table(related to graph)'!$C$3='List(to hide)'!$C$3),KPI!CB30,AND($C$2='List(to hide)'!$B$4,'Table(related to graph)'!$C$3='List(to hide)'!$C$4),KPI!CB32)</f>
        <v>#N/A</v>
      </c>
      <c r="CA14" s="39" t="e" cm="1">
        <f t="array" ref="CA14">_xlfn.IFS(AND($C$2='List(to hide)'!$B$4,'Table(related to graph)'!$C$3="Monthly"),KPI!CC28,AND($C$2='List(to hide)'!$B$4,'Table(related to graph)'!$C$3='List(to hide)'!$C$3),KPI!CC30,AND($C$2='List(to hide)'!$B$4,'Table(related to graph)'!$C$3='List(to hide)'!$C$4),KPI!CC32)</f>
        <v>#N/A</v>
      </c>
      <c r="CB14" s="39" t="e" cm="1">
        <f t="array" ref="CB14">_xlfn.IFS(AND($C$2='List(to hide)'!$B$4,'Table(related to graph)'!$C$3="Monthly"),KPI!CD28,AND($C$2='List(to hide)'!$B$4,'Table(related to graph)'!$C$3='List(to hide)'!$C$3),KPI!CD30,AND($C$2='List(to hide)'!$B$4,'Table(related to graph)'!$C$3='List(to hide)'!$C$4),KPI!CD32)</f>
        <v>#N/A</v>
      </c>
      <c r="CC14" s="39" t="e" cm="1">
        <f t="array" ref="CC14">_xlfn.IFS(AND($C$2='List(to hide)'!$B$4,'Table(related to graph)'!$C$3="Monthly"),KPI!CE28,AND($C$2='List(to hide)'!$B$4,'Table(related to graph)'!$C$3='List(to hide)'!$C$3),KPI!CE30,AND($C$2='List(to hide)'!$B$4,'Table(related to graph)'!$C$3='List(to hide)'!$C$4),KPI!CE32)</f>
        <v>#N/A</v>
      </c>
      <c r="CD14" s="39" t="e" cm="1">
        <f t="array" ref="CD14">_xlfn.IFS(AND($C$2='List(to hide)'!$B$4,'Table(related to graph)'!$C$3="Monthly"),KPI!CF28,AND($C$2='List(to hide)'!$B$4,'Table(related to graph)'!$C$3='List(to hide)'!$C$3),KPI!CF30,AND($C$2='List(to hide)'!$B$4,'Table(related to graph)'!$C$3='List(to hide)'!$C$4),KPI!CF32)</f>
        <v>#N/A</v>
      </c>
      <c r="CE14" s="39" t="e" cm="1">
        <f t="array" ref="CE14">_xlfn.IFS(AND($C$2='List(to hide)'!$B$4,'Table(related to graph)'!$C$3="Monthly"),KPI!CG28,AND($C$2='List(to hide)'!$B$4,'Table(related to graph)'!$C$3='List(to hide)'!$C$3),KPI!CG30,AND($C$2='List(to hide)'!$B$4,'Table(related to graph)'!$C$3='List(to hide)'!$C$4),KPI!CG32)</f>
        <v>#N/A</v>
      </c>
      <c r="CF14" s="39" t="e" cm="1">
        <f t="array" ref="CF14">_xlfn.IFS(AND($C$2='List(to hide)'!$B$4,'Table(related to graph)'!$C$3="Monthly"),KPI!CH28,AND($C$2='List(to hide)'!$B$4,'Table(related to graph)'!$C$3='List(to hide)'!$C$3),KPI!CH30,AND($C$2='List(to hide)'!$B$4,'Table(related to graph)'!$C$3='List(to hide)'!$C$4),KPI!CH32)</f>
        <v>#N/A</v>
      </c>
      <c r="CG14" s="39" t="e" cm="1">
        <f t="array" ref="CG14">_xlfn.IFS(AND($C$2='List(to hide)'!$B$4,'Table(related to graph)'!$C$3="Monthly"),KPI!CI28,AND($C$2='List(to hide)'!$B$4,'Table(related to graph)'!$C$3='List(to hide)'!$C$3),KPI!CI30,AND($C$2='List(to hide)'!$B$4,'Table(related to graph)'!$C$3='List(to hide)'!$C$4),KPI!CI32)</f>
        <v>#N/A</v>
      </c>
      <c r="CH14" s="39" t="e" cm="1">
        <f t="array" ref="CH14">_xlfn.IFS(AND($C$2='List(to hide)'!$B$4,'Table(related to graph)'!$C$3="Monthly"),KPI!CJ28,AND($C$2='List(to hide)'!$B$4,'Table(related to graph)'!$C$3='List(to hide)'!$C$3),KPI!CJ30,AND($C$2='List(to hide)'!$B$4,'Table(related to graph)'!$C$3='List(to hide)'!$C$4),KPI!CJ32)</f>
        <v>#N/A</v>
      </c>
      <c r="CI14" s="39" t="e" cm="1">
        <f t="array" ref="CI14">_xlfn.IFS(AND($C$2='List(to hide)'!$B$4,'Table(related to graph)'!$C$3="Monthly"),KPI!CK28,AND($C$2='List(to hide)'!$B$4,'Table(related to graph)'!$C$3='List(to hide)'!$C$3),KPI!CK30,AND($C$2='List(to hide)'!$B$4,'Table(related to graph)'!$C$3='List(to hide)'!$C$4),KPI!CK32)</f>
        <v>#N/A</v>
      </c>
      <c r="CJ14" s="39" t="e" cm="1">
        <f t="array" ref="CJ14">_xlfn.IFS(AND($C$2='List(to hide)'!$B$4,'Table(related to graph)'!$C$3="Monthly"),KPI!CL28,AND($C$2='List(to hide)'!$B$4,'Table(related to graph)'!$C$3='List(to hide)'!$C$3),KPI!CL30,AND($C$2='List(to hide)'!$B$4,'Table(related to graph)'!$C$3='List(to hide)'!$C$4),KPI!CL32)</f>
        <v>#N/A</v>
      </c>
      <c r="CK14" s="39" t="e" cm="1">
        <f t="array" ref="CK14">_xlfn.IFS(AND($C$2='List(to hide)'!$B$4,'Table(related to graph)'!$C$3="Monthly"),KPI!CM28,AND($C$2='List(to hide)'!$B$4,'Table(related to graph)'!$C$3='List(to hide)'!$C$3),KPI!CM30,AND($C$2='List(to hide)'!$B$4,'Table(related to graph)'!$C$3='List(to hide)'!$C$4),KPI!CM32)</f>
        <v>#N/A</v>
      </c>
      <c r="CL14" s="39" t="e" cm="1">
        <f t="array" ref="CL14">_xlfn.IFS(AND($C$2='List(to hide)'!$B$4,'Table(related to graph)'!$C$3="Monthly"),KPI!CN28,AND($C$2='List(to hide)'!$B$4,'Table(related to graph)'!$C$3='List(to hide)'!$C$3),KPI!CN30,AND($C$2='List(to hide)'!$B$4,'Table(related to graph)'!$C$3='List(to hide)'!$C$4),KPI!CN32)</f>
        <v>#N/A</v>
      </c>
      <c r="CM14" s="39" t="e" cm="1">
        <f t="array" ref="CM14">_xlfn.IFS(AND($C$2='List(to hide)'!$B$4,'Table(related to graph)'!$C$3="Monthly"),KPI!CO28,AND($C$2='List(to hide)'!$B$4,'Table(related to graph)'!$C$3='List(to hide)'!$C$3),KPI!CO30,AND($C$2='List(to hide)'!$B$4,'Table(related to graph)'!$C$3='List(to hide)'!$C$4),KPI!CO32)</f>
        <v>#N/A</v>
      </c>
      <c r="CN14" s="39" t="e" cm="1">
        <f t="array" ref="CN14">_xlfn.IFS(AND($C$2='List(to hide)'!$B$4,'Table(related to graph)'!$C$3="Monthly"),KPI!CP28,AND($C$2='List(to hide)'!$B$4,'Table(related to graph)'!$C$3='List(to hide)'!$C$3),KPI!CP30,AND($C$2='List(to hide)'!$B$4,'Table(related to graph)'!$C$3='List(to hide)'!$C$4),KPI!CP32)</f>
        <v>#N/A</v>
      </c>
      <c r="CO14" s="39" t="e" cm="1">
        <f t="array" ref="CO14">_xlfn.IFS(AND($C$2='List(to hide)'!$B$4,'Table(related to graph)'!$C$3="Monthly"),KPI!CQ28,AND($C$2='List(to hide)'!$B$4,'Table(related to graph)'!$C$3='List(to hide)'!$C$3),KPI!CQ30,AND($C$2='List(to hide)'!$B$4,'Table(related to graph)'!$C$3='List(to hide)'!$C$4),KPI!CQ32)</f>
        <v>#N/A</v>
      </c>
      <c r="CP14" s="39" t="e" cm="1">
        <f t="array" ref="CP14">_xlfn.IFS(AND($C$2='List(to hide)'!$B$4,'Table(related to graph)'!$C$3="Monthly"),KPI!CR28,AND($C$2='List(to hide)'!$B$4,'Table(related to graph)'!$C$3='List(to hide)'!$C$3),KPI!CR30,AND($C$2='List(to hide)'!$B$4,'Table(related to graph)'!$C$3='List(to hide)'!$C$4),KPI!CR32)</f>
        <v>#N/A</v>
      </c>
      <c r="CQ14" s="39" t="e" cm="1">
        <f t="array" ref="CQ14">_xlfn.IFS(AND($C$2='List(to hide)'!$B$4,'Table(related to graph)'!$C$3="Monthly"),KPI!CS28,AND($C$2='List(to hide)'!$B$4,'Table(related to graph)'!$C$3='List(to hide)'!$C$3),KPI!CS30,AND($C$2='List(to hide)'!$B$4,'Table(related to graph)'!$C$3='List(to hide)'!$C$4),KPI!CS32)</f>
        <v>#N/A</v>
      </c>
      <c r="CR14" s="39" t="e" cm="1">
        <f t="array" ref="CR14">_xlfn.IFS(AND($C$2='List(to hide)'!$B$4,'Table(related to graph)'!$C$3="Monthly"),KPI!CT28,AND($C$2='List(to hide)'!$B$4,'Table(related to graph)'!$C$3='List(to hide)'!$C$3),KPI!CT30,AND($C$2='List(to hide)'!$B$4,'Table(related to graph)'!$C$3='List(to hide)'!$C$4),KPI!CT32)</f>
        <v>#N/A</v>
      </c>
      <c r="CS14" s="39" t="e" cm="1">
        <f t="array" ref="CS14">_xlfn.IFS(AND($C$2='List(to hide)'!$B$4,'Table(related to graph)'!$C$3="Monthly"),KPI!CU28,AND($C$2='List(to hide)'!$B$4,'Table(related to graph)'!$C$3='List(to hide)'!$C$3),KPI!CU30,AND($C$2='List(to hide)'!$B$4,'Table(related to graph)'!$C$3='List(to hide)'!$C$4),KPI!CU32)</f>
        <v>#N/A</v>
      </c>
      <c r="CT14" s="39" t="e" cm="1">
        <f t="array" ref="CT14">_xlfn.IFS(AND($C$2='List(to hide)'!$B$4,'Table(related to graph)'!$C$3="Monthly"),KPI!CV28,AND($C$2='List(to hide)'!$B$4,'Table(related to graph)'!$C$3='List(to hide)'!$C$3),KPI!CV30,AND($C$2='List(to hide)'!$B$4,'Table(related to graph)'!$C$3='List(to hide)'!$C$4),KPI!CV32)</f>
        <v>#N/A</v>
      </c>
      <c r="CU14" s="39" t="e" cm="1">
        <f t="array" ref="CU14">_xlfn.IFS(AND($C$2='List(to hide)'!$B$4,'Table(related to graph)'!$C$3="Monthly"),KPI!CW28,AND($C$2='List(to hide)'!$B$4,'Table(related to graph)'!$C$3='List(to hide)'!$C$3),KPI!CW30,AND($C$2='List(to hide)'!$B$4,'Table(related to graph)'!$C$3='List(to hide)'!$C$4),KPI!CW32)</f>
        <v>#N/A</v>
      </c>
      <c r="CV14" s="39" t="e" cm="1">
        <f t="array" ref="CV14">_xlfn.IFS(AND($C$2='List(to hide)'!$B$4,'Table(related to graph)'!$C$3="Monthly"),KPI!CX28,AND($C$2='List(to hide)'!$B$4,'Table(related to graph)'!$C$3='List(to hide)'!$C$3),KPI!CX30,AND($C$2='List(to hide)'!$B$4,'Table(related to graph)'!$C$3='List(to hide)'!$C$4),KPI!CX32)</f>
        <v>#N/A</v>
      </c>
      <c r="CW14" s="39" t="e" cm="1">
        <f t="array" ref="CW14">_xlfn.IFS(AND($C$2='List(to hide)'!$B$4,'Table(related to graph)'!$C$3="Monthly"),KPI!CY28,AND($C$2='List(to hide)'!$B$4,'Table(related to graph)'!$C$3='List(to hide)'!$C$3),KPI!CY30,AND($C$2='List(to hide)'!$B$4,'Table(related to graph)'!$C$3='List(to hide)'!$C$4),KPI!CY32)</f>
        <v>#N/A</v>
      </c>
      <c r="CX14" s="39" t="e" cm="1">
        <f t="array" ref="CX14">_xlfn.IFS(AND($C$2='List(to hide)'!$B$4,'Table(related to graph)'!$C$3="Monthly"),KPI!CZ28,AND($C$2='List(to hide)'!$B$4,'Table(related to graph)'!$C$3='List(to hide)'!$C$3),KPI!CZ30,AND($C$2='List(to hide)'!$B$4,'Table(related to graph)'!$C$3='List(to hide)'!$C$4),KPI!CZ32)</f>
        <v>#N/A</v>
      </c>
      <c r="CY14" s="39" t="e" cm="1">
        <f t="array" ref="CY14">_xlfn.IFS(AND($C$2='List(to hide)'!$B$4,'Table(related to graph)'!$C$3="Monthly"),KPI!DA28,AND($C$2='List(to hide)'!$B$4,'Table(related to graph)'!$C$3='List(to hide)'!$C$3),KPI!DA30,AND($C$2='List(to hide)'!$B$4,'Table(related to graph)'!$C$3='List(to hide)'!$C$4),KPI!DA32)</f>
        <v>#N/A</v>
      </c>
      <c r="CZ14" s="39" t="e" cm="1">
        <f t="array" ref="CZ14">_xlfn.IFS(AND($C$2='List(to hide)'!$B$4,'Table(related to graph)'!$C$3="Monthly"),KPI!DB28,AND($C$2='List(to hide)'!$B$4,'Table(related to graph)'!$C$3='List(to hide)'!$C$3),KPI!DB30,AND($C$2='List(to hide)'!$B$4,'Table(related to graph)'!$C$3='List(to hide)'!$C$4),KPI!DB32)</f>
        <v>#N/A</v>
      </c>
      <c r="DA14" s="39" t="e" cm="1">
        <f t="array" ref="DA14">_xlfn.IFS(AND($C$2='List(to hide)'!$B$4,'Table(related to graph)'!$C$3="Monthly"),KPI!DC28,AND($C$2='List(to hide)'!$B$4,'Table(related to graph)'!$C$3='List(to hide)'!$C$3),KPI!DC30,AND($C$2='List(to hide)'!$B$4,'Table(related to graph)'!$C$3='List(to hide)'!$C$4),KPI!DC32)</f>
        <v>#N/A</v>
      </c>
      <c r="DB14" s="39" t="e" cm="1">
        <f t="array" ref="DB14">_xlfn.IFS(AND($C$2='List(to hide)'!$B$4,'Table(related to graph)'!$C$3="Monthly"),KPI!DD28,AND($C$2='List(to hide)'!$B$4,'Table(related to graph)'!$C$3='List(to hide)'!$C$3),KPI!DD30,AND($C$2='List(to hide)'!$B$4,'Table(related to graph)'!$C$3='List(to hide)'!$C$4),KPI!DD32)</f>
        <v>#N/A</v>
      </c>
      <c r="DC14" s="39" t="e" cm="1">
        <f t="array" ref="DC14">_xlfn.IFS(AND($C$2='List(to hide)'!$B$4,'Table(related to graph)'!$C$3="Monthly"),KPI!DE28,AND($C$2='List(to hide)'!$B$4,'Table(related to graph)'!$C$3='List(to hide)'!$C$3),KPI!DE30,AND($C$2='List(to hide)'!$B$4,'Table(related to graph)'!$C$3='List(to hide)'!$C$4),KPI!DE32)</f>
        <v>#N/A</v>
      </c>
      <c r="DD14" s="39" t="e" cm="1">
        <f t="array" ref="DD14">_xlfn.IFS(AND($C$2='List(to hide)'!$B$4,'Table(related to graph)'!$C$3="Monthly"),KPI!DF28,AND($C$2='List(to hide)'!$B$4,'Table(related to graph)'!$C$3='List(to hide)'!$C$3),KPI!DF30,AND($C$2='List(to hide)'!$B$4,'Table(related to graph)'!$C$3='List(to hide)'!$C$4),KPI!DF32)</f>
        <v>#N/A</v>
      </c>
      <c r="DE14" s="39" t="e" cm="1">
        <f t="array" ref="DE14">_xlfn.IFS(AND($C$2='List(to hide)'!$B$4,'Table(related to graph)'!$C$3="Monthly"),KPI!DG28,AND($C$2='List(to hide)'!$B$4,'Table(related to graph)'!$C$3='List(to hide)'!$C$3),KPI!DG30,AND($C$2='List(to hide)'!$B$4,'Table(related to graph)'!$C$3='List(to hide)'!$C$4),KPI!DG32)</f>
        <v>#N/A</v>
      </c>
      <c r="DF14" s="39" t="e" cm="1">
        <f t="array" ref="DF14">_xlfn.IFS(AND($C$2='List(to hide)'!$B$4,'Table(related to graph)'!$C$3="Monthly"),KPI!DH28,AND($C$2='List(to hide)'!$B$4,'Table(related to graph)'!$C$3='List(to hide)'!$C$3),KPI!DH30,AND($C$2='List(to hide)'!$B$4,'Table(related to graph)'!$C$3='List(to hide)'!$C$4),KPI!DH32)</f>
        <v>#N/A</v>
      </c>
      <c r="DG14" s="39" t="e" cm="1">
        <f t="array" ref="DG14">_xlfn.IFS(AND($C$2='List(to hide)'!$B$4,'Table(related to graph)'!$C$3="Monthly"),KPI!DI28,AND($C$2='List(to hide)'!$B$4,'Table(related to graph)'!$C$3='List(to hide)'!$C$3),KPI!DI30,AND($C$2='List(to hide)'!$B$4,'Table(related to graph)'!$C$3='List(to hide)'!$C$4),KPI!DI32)</f>
        <v>#N/A</v>
      </c>
      <c r="DH14" s="39" t="e" cm="1">
        <f t="array" ref="DH14">_xlfn.IFS(AND($C$2='List(to hide)'!$B$4,'Table(related to graph)'!$C$3="Monthly"),KPI!DJ28,AND($C$2='List(to hide)'!$B$4,'Table(related to graph)'!$C$3='List(to hide)'!$C$3),KPI!DJ30,AND($C$2='List(to hide)'!$B$4,'Table(related to graph)'!$C$3='List(to hide)'!$C$4),KPI!DJ32)</f>
        <v>#N/A</v>
      </c>
      <c r="DI14" s="39" t="e" cm="1">
        <f t="array" ref="DI14">_xlfn.IFS(AND($C$2='List(to hide)'!$B$4,'Table(related to graph)'!$C$3="Monthly"),KPI!DK28,AND($C$2='List(to hide)'!$B$4,'Table(related to graph)'!$C$3='List(to hide)'!$C$3),KPI!DK30,AND($C$2='List(to hide)'!$B$4,'Table(related to graph)'!$C$3='List(to hide)'!$C$4),KPI!DK32)</f>
        <v>#N/A</v>
      </c>
      <c r="DJ14" s="39" t="e" cm="1">
        <f t="array" ref="DJ14">_xlfn.IFS(AND($C$2='List(to hide)'!$B$4,'Table(related to graph)'!$C$3="Monthly"),KPI!DL28,AND($C$2='List(to hide)'!$B$4,'Table(related to graph)'!$C$3='List(to hide)'!$C$3),KPI!DL30,AND($C$2='List(to hide)'!$B$4,'Table(related to graph)'!$C$3='List(to hide)'!$C$4),KPI!DL32)</f>
        <v>#N/A</v>
      </c>
      <c r="DK14" s="39" t="e" cm="1">
        <f t="array" ref="DK14">_xlfn.IFS(AND($C$2='List(to hide)'!$B$4,'Table(related to graph)'!$C$3="Monthly"),KPI!DM28,AND($C$2='List(to hide)'!$B$4,'Table(related to graph)'!$C$3='List(to hide)'!$C$3),KPI!DM30,AND($C$2='List(to hide)'!$B$4,'Table(related to graph)'!$C$3='List(to hide)'!$C$4),KPI!DM32)</f>
        <v>#N/A</v>
      </c>
      <c r="DL14" s="39" t="e" cm="1">
        <f t="array" ref="DL14">_xlfn.IFS(AND($C$2='List(to hide)'!$B$4,'Table(related to graph)'!$C$3="Monthly"),KPI!DN28,AND($C$2='List(to hide)'!$B$4,'Table(related to graph)'!$C$3='List(to hide)'!$C$3),KPI!DN30,AND($C$2='List(to hide)'!$B$4,'Table(related to graph)'!$C$3='List(to hide)'!$C$4),KPI!DN32)</f>
        <v>#N/A</v>
      </c>
      <c r="DM14" s="39" t="e" cm="1">
        <f t="array" ref="DM14">_xlfn.IFS(AND($C$2='List(to hide)'!$B$4,'Table(related to graph)'!$C$3="Monthly"),KPI!DO28,AND($C$2='List(to hide)'!$B$4,'Table(related to graph)'!$C$3='List(to hide)'!$C$3),KPI!DO30,AND($C$2='List(to hide)'!$B$4,'Table(related to graph)'!$C$3='List(to hide)'!$C$4),KPI!DO32)</f>
        <v>#N/A</v>
      </c>
      <c r="DN14" s="39" t="e" cm="1">
        <f t="array" ref="DN14">_xlfn.IFS(AND($C$2='List(to hide)'!$B$4,'Table(related to graph)'!$C$3="Monthly"),KPI!DP28,AND($C$2='List(to hide)'!$B$4,'Table(related to graph)'!$C$3='List(to hide)'!$C$3),KPI!DP30,AND($C$2='List(to hide)'!$B$4,'Table(related to graph)'!$C$3='List(to hide)'!$C$4),KPI!DP32)</f>
        <v>#N/A</v>
      </c>
      <c r="DO14" s="39" t="e" cm="1">
        <f t="array" ref="DO14">_xlfn.IFS(AND($C$2='List(to hide)'!$B$4,'Table(related to graph)'!$C$3="Monthly"),KPI!DQ28,AND($C$2='List(to hide)'!$B$4,'Table(related to graph)'!$C$3='List(to hide)'!$C$3),KPI!DQ30,AND($C$2='List(to hide)'!$B$4,'Table(related to graph)'!$C$3='List(to hide)'!$C$4),KPI!DQ32)</f>
        <v>#N/A</v>
      </c>
      <c r="DP14" s="39" t="e" cm="1">
        <f t="array" ref="DP14">_xlfn.IFS(AND($C$2='List(to hide)'!$B$4,'Table(related to graph)'!$C$3="Monthly"),KPI!DR28,AND($C$2='List(to hide)'!$B$4,'Table(related to graph)'!$C$3='List(to hide)'!$C$3),KPI!DR30,AND($C$2='List(to hide)'!$B$4,'Table(related to graph)'!$C$3='List(to hide)'!$C$4),KPI!DR32)</f>
        <v>#N/A</v>
      </c>
      <c r="DQ14" s="39" t="e" cm="1">
        <f t="array" ref="DQ14">_xlfn.IFS(AND($C$2='List(to hide)'!$B$4,'Table(related to graph)'!$C$3="Monthly"),KPI!DS28,AND($C$2='List(to hide)'!$B$4,'Table(related to graph)'!$C$3='List(to hide)'!$C$3),KPI!DS30,AND($C$2='List(to hide)'!$B$4,'Table(related to graph)'!$C$3='List(to hide)'!$C$4),KPI!DS32)</f>
        <v>#N/A</v>
      </c>
      <c r="DR14" s="39" t="e" cm="1">
        <f t="array" ref="DR14">_xlfn.IFS(AND($C$2='List(to hide)'!$B$4,'Table(related to graph)'!$C$3="Monthly"),KPI!DT28,AND($C$2='List(to hide)'!$B$4,'Table(related to graph)'!$C$3='List(to hide)'!$C$3),KPI!DT30,AND($C$2='List(to hide)'!$B$4,'Table(related to graph)'!$C$3='List(to hide)'!$C$4),KPI!DT32)</f>
        <v>#N/A</v>
      </c>
      <c r="DS14" s="39" t="e" cm="1">
        <f t="array" ref="DS14">_xlfn.IFS(AND($C$2='List(to hide)'!$B$4,'Table(related to graph)'!$C$3="Monthly"),KPI!DU28,AND($C$2='List(to hide)'!$B$4,'Table(related to graph)'!$C$3='List(to hide)'!$C$3),KPI!DU30,AND($C$2='List(to hide)'!$B$4,'Table(related to graph)'!$C$3='List(to hide)'!$C$4),KPI!DU32)</f>
        <v>#N/A</v>
      </c>
      <c r="DT14" s="39" t="e" cm="1">
        <f t="array" ref="DT14">_xlfn.IFS(AND($C$2='List(to hide)'!$B$4,'Table(related to graph)'!$C$3="Monthly"),KPI!DV28,AND($C$2='List(to hide)'!$B$4,'Table(related to graph)'!$C$3='List(to hide)'!$C$3),KPI!DV30,AND($C$2='List(to hide)'!$B$4,'Table(related to graph)'!$C$3='List(to hide)'!$C$4),KPI!DV32)</f>
        <v>#N/A</v>
      </c>
      <c r="DU14" s="39" t="e" cm="1">
        <f t="array" ref="DU14">_xlfn.IFS(AND($C$2='List(to hide)'!$B$4,'Table(related to graph)'!$C$3="Monthly"),KPI!DW28,AND($C$2='List(to hide)'!$B$4,'Table(related to graph)'!$C$3='List(to hide)'!$C$3),KPI!DW30,AND($C$2='List(to hide)'!$B$4,'Table(related to graph)'!$C$3='List(to hide)'!$C$4),KPI!DW32)</f>
        <v>#N/A</v>
      </c>
      <c r="DV14" s="39" t="e" cm="1">
        <f t="array" ref="DV14">_xlfn.IFS(AND($C$2='List(to hide)'!$B$4,'Table(related to graph)'!$C$3="Monthly"),KPI!DX28,AND($C$2='List(to hide)'!$B$4,'Table(related to graph)'!$C$3='List(to hide)'!$C$3),KPI!DX30,AND($C$2='List(to hide)'!$B$4,'Table(related to graph)'!$C$3='List(to hide)'!$C$4),KPI!DX32)</f>
        <v>#N/A</v>
      </c>
      <c r="DW14" s="39" t="e" cm="1">
        <f t="array" ref="DW14">_xlfn.IFS(AND($C$2='List(to hide)'!$B$4,'Table(related to graph)'!$C$3="Monthly"),KPI!DY28,AND($C$2='List(to hide)'!$B$4,'Table(related to graph)'!$C$3='List(to hide)'!$C$3),KPI!DY30,AND($C$2='List(to hide)'!$B$4,'Table(related to graph)'!$C$3='List(to hide)'!$C$4),KPI!DY32)</f>
        <v>#N/A</v>
      </c>
      <c r="DX14" s="39" t="e" cm="1">
        <f t="array" ref="DX14">_xlfn.IFS(AND($C$2='List(to hide)'!$B$4,'Table(related to graph)'!$C$3="Monthly"),KPI!DZ28,AND($C$2='List(to hide)'!$B$4,'Table(related to graph)'!$C$3='List(to hide)'!$C$3),KPI!DZ30,AND($C$2='List(to hide)'!$B$4,'Table(related to graph)'!$C$3='List(to hide)'!$C$4),KPI!DZ32)</f>
        <v>#N/A</v>
      </c>
      <c r="DY14" s="39" t="e" cm="1">
        <f t="array" ref="DY14">_xlfn.IFS(AND($C$2='List(to hide)'!$B$4,'Table(related to graph)'!$C$3="Monthly"),KPI!EA28,AND($C$2='List(to hide)'!$B$4,'Table(related to graph)'!$C$3='List(to hide)'!$C$3),KPI!EA30,AND($C$2='List(to hide)'!$B$4,'Table(related to graph)'!$C$3='List(to hide)'!$C$4),KPI!EA32)</f>
        <v>#N/A</v>
      </c>
      <c r="DZ14" s="39" t="e" cm="1">
        <f t="array" ref="DZ14">_xlfn.IFS(AND($C$2='List(to hide)'!$B$4,'Table(related to graph)'!$C$3="Monthly"),KPI!EB28,AND($C$2='List(to hide)'!$B$4,'Table(related to graph)'!$C$3='List(to hide)'!$C$3),KPI!EB30,AND($C$2='List(to hide)'!$B$4,'Table(related to graph)'!$C$3='List(to hide)'!$C$4),KPI!EB32)</f>
        <v>#N/A</v>
      </c>
      <c r="EA14" s="39" t="e" cm="1">
        <f t="array" ref="EA14">_xlfn.IFS(AND($C$2='List(to hide)'!$B$4,'Table(related to graph)'!$C$3="Monthly"),KPI!EC28,AND($C$2='List(to hide)'!$B$4,'Table(related to graph)'!$C$3='List(to hide)'!$C$3),KPI!EC30,AND($C$2='List(to hide)'!$B$4,'Table(related to graph)'!$C$3='List(to hide)'!$C$4),KPI!EC32)</f>
        <v>#N/A</v>
      </c>
      <c r="EB14" s="39" t="e" cm="1">
        <f t="array" ref="EB14">_xlfn.IFS(AND($C$2='List(to hide)'!$B$4,'Table(related to graph)'!$C$3="Monthly"),KPI!ED28,AND($C$2='List(to hide)'!$B$4,'Table(related to graph)'!$C$3='List(to hide)'!$C$3),KPI!ED30,AND($C$2='List(to hide)'!$B$4,'Table(related to graph)'!$C$3='List(to hide)'!$C$4),KPI!ED32)</f>
        <v>#N/A</v>
      </c>
      <c r="EC14" s="39" t="e" cm="1">
        <f t="array" ref="EC14">_xlfn.IFS(AND($C$2='List(to hide)'!$B$4,'Table(related to graph)'!$C$3="Monthly"),KPI!EE28,AND($C$2='List(to hide)'!$B$4,'Table(related to graph)'!$C$3='List(to hide)'!$C$3),KPI!EE30,AND($C$2='List(to hide)'!$B$4,'Table(related to graph)'!$C$3='List(to hide)'!$C$4),KPI!EE32)</f>
        <v>#N/A</v>
      </c>
      <c r="ED14" s="39" t="e" cm="1">
        <f t="array" ref="ED14">_xlfn.IFS(AND($C$2='List(to hide)'!$B$4,'Table(related to graph)'!$C$3="Monthly"),KPI!EF28,AND($C$2='List(to hide)'!$B$4,'Table(related to graph)'!$C$3='List(to hide)'!$C$3),KPI!EF30,AND($C$2='List(to hide)'!$B$4,'Table(related to graph)'!$C$3='List(to hide)'!$C$4),KPI!EF32)</f>
        <v>#N/A</v>
      </c>
      <c r="EE14" s="39" t="e" cm="1">
        <f t="array" ref="EE14">_xlfn.IFS(AND($C$2='List(to hide)'!$B$4,'Table(related to graph)'!$C$3="Monthly"),KPI!EG28,AND($C$2='List(to hide)'!$B$4,'Table(related to graph)'!$C$3='List(to hide)'!$C$3),KPI!EG30,AND($C$2='List(to hide)'!$B$4,'Table(related to graph)'!$C$3='List(to hide)'!$C$4),KPI!EG32)</f>
        <v>#N/A</v>
      </c>
      <c r="EF14" s="39" t="e" cm="1">
        <f t="array" ref="EF14">_xlfn.IFS(AND($C$2='List(to hide)'!$B$4,'Table(related to graph)'!$C$3="Monthly"),KPI!EH28,AND($C$2='List(to hide)'!$B$4,'Table(related to graph)'!$C$3='List(to hide)'!$C$3),KPI!EH30,AND($C$2='List(to hide)'!$B$4,'Table(related to graph)'!$C$3='List(to hide)'!$C$4),KPI!EH32)</f>
        <v>#N/A</v>
      </c>
      <c r="EG14" s="39" t="e" cm="1">
        <f t="array" ref="EG14">_xlfn.IFS(AND($C$2='List(to hide)'!$B$4,'Table(related to graph)'!$C$3="Monthly"),KPI!EI28,AND($C$2='List(to hide)'!$B$4,'Table(related to graph)'!$C$3='List(to hide)'!$C$3),KPI!EI30,AND($C$2='List(to hide)'!$B$4,'Table(related to graph)'!$C$3='List(to hide)'!$C$4),KPI!EI32)</f>
        <v>#N/A</v>
      </c>
      <c r="EH14" s="39" t="e" cm="1">
        <f t="array" ref="EH14">_xlfn.IFS(AND($C$2='List(to hide)'!$B$4,'Table(related to graph)'!$C$3="Monthly"),KPI!EJ28,AND($C$2='List(to hide)'!$B$4,'Table(related to graph)'!$C$3='List(to hide)'!$C$3),KPI!EJ30,AND($C$2='List(to hide)'!$B$4,'Table(related to graph)'!$C$3='List(to hide)'!$C$4),KPI!EJ32)</f>
        <v>#N/A</v>
      </c>
      <c r="EI14" s="39" t="e" cm="1">
        <f t="array" ref="EI14">_xlfn.IFS(AND($C$2='List(to hide)'!$B$4,'Table(related to graph)'!$C$3="Monthly"),KPI!EK28,AND($C$2='List(to hide)'!$B$4,'Table(related to graph)'!$C$3='List(to hide)'!$C$3),KPI!EK30,AND($C$2='List(to hide)'!$B$4,'Table(related to graph)'!$C$3='List(to hide)'!$C$4),KPI!EK32)</f>
        <v>#N/A</v>
      </c>
      <c r="EJ14" s="39" t="e" cm="1">
        <f t="array" ref="EJ14">_xlfn.IFS(AND($C$2='List(to hide)'!$B$4,'Table(related to graph)'!$C$3="Monthly"),KPI!EL28,AND($C$2='List(to hide)'!$B$4,'Table(related to graph)'!$C$3='List(to hide)'!$C$3),KPI!EL30,AND($C$2='List(to hide)'!$B$4,'Table(related to graph)'!$C$3='List(to hide)'!$C$4),KPI!EL32)</f>
        <v>#N/A</v>
      </c>
      <c r="EK14" s="39" t="e" cm="1">
        <f t="array" ref="EK14">_xlfn.IFS(AND($C$2='List(to hide)'!$B$4,'Table(related to graph)'!$C$3="Monthly"),KPI!EM28,AND($C$2='List(to hide)'!$B$4,'Table(related to graph)'!$C$3='List(to hide)'!$C$3),KPI!EM30,AND($C$2='List(to hide)'!$B$4,'Table(related to graph)'!$C$3='List(to hide)'!$C$4),KPI!EM32)</f>
        <v>#N/A</v>
      </c>
      <c r="EL14" s="39" t="e" cm="1">
        <f t="array" ref="EL14">_xlfn.IFS(AND($C$2='List(to hide)'!$B$4,'Table(related to graph)'!$C$3="Monthly"),KPI!EN28,AND($C$2='List(to hide)'!$B$4,'Table(related to graph)'!$C$3='List(to hide)'!$C$3),KPI!EN30,AND($C$2='List(to hide)'!$B$4,'Table(related to graph)'!$C$3='List(to hide)'!$C$4),KPI!EN32)</f>
        <v>#N/A</v>
      </c>
      <c r="EM14" s="39" t="e" cm="1">
        <f t="array" ref="EM14">_xlfn.IFS(AND($C$2='List(to hide)'!$B$4,'Table(related to graph)'!$C$3="Monthly"),KPI!EO28,AND($C$2='List(to hide)'!$B$4,'Table(related to graph)'!$C$3='List(to hide)'!$C$3),KPI!EO30,AND($C$2='List(to hide)'!$B$4,'Table(related to graph)'!$C$3='List(to hide)'!$C$4),KPI!EO32)</f>
        <v>#N/A</v>
      </c>
      <c r="EN14" s="39" t="e" cm="1">
        <f t="array" ref="EN14">_xlfn.IFS(AND($C$2='List(to hide)'!$B$4,'Table(related to graph)'!$C$3="Monthly"),KPI!EP28,AND($C$2='List(to hide)'!$B$4,'Table(related to graph)'!$C$3='List(to hide)'!$C$3),KPI!EP30,AND($C$2='List(to hide)'!$B$4,'Table(related to graph)'!$C$3='List(to hide)'!$C$4),KPI!EP32)</f>
        <v>#N/A</v>
      </c>
      <c r="EO14" s="39" t="e" cm="1">
        <f t="array" ref="EO14">_xlfn.IFS(AND($C$2='List(to hide)'!$B$4,'Table(related to graph)'!$C$3="Monthly"),KPI!EQ28,AND($C$2='List(to hide)'!$B$4,'Table(related to graph)'!$C$3='List(to hide)'!$C$3),KPI!EQ30,AND($C$2='List(to hide)'!$B$4,'Table(related to graph)'!$C$3='List(to hide)'!$C$4),KPI!EQ32)</f>
        <v>#N/A</v>
      </c>
      <c r="EP14" s="39" t="e" cm="1">
        <f t="array" ref="EP14">_xlfn.IFS(AND($C$2='List(to hide)'!$B$4,'Table(related to graph)'!$C$3="Monthly"),KPI!ER28,AND($C$2='List(to hide)'!$B$4,'Table(related to graph)'!$C$3='List(to hide)'!$C$3),KPI!ER30,AND($C$2='List(to hide)'!$B$4,'Table(related to graph)'!$C$3='List(to hide)'!$C$4),KPI!ER32)</f>
        <v>#N/A</v>
      </c>
      <c r="EQ14" s="39" t="e" cm="1">
        <f t="array" ref="EQ14">_xlfn.IFS(AND($C$2='List(to hide)'!$B$4,'Table(related to graph)'!$C$3="Monthly"),KPI!ES28,AND($C$2='List(to hide)'!$B$4,'Table(related to graph)'!$C$3='List(to hide)'!$C$3),KPI!ES30,AND($C$2='List(to hide)'!$B$4,'Table(related to graph)'!$C$3='List(to hide)'!$C$4),KPI!ES32)</f>
        <v>#N/A</v>
      </c>
      <c r="ER14" s="39" t="e" cm="1">
        <f t="array" ref="ER14">_xlfn.IFS(AND($C$2='List(to hide)'!$B$4,'Table(related to graph)'!$C$3="Monthly"),KPI!ET28,AND($C$2='List(to hide)'!$B$4,'Table(related to graph)'!$C$3='List(to hide)'!$C$3),KPI!ET30,AND($C$2='List(to hide)'!$B$4,'Table(related to graph)'!$C$3='List(to hide)'!$C$4),KPI!ET32)</f>
        <v>#N/A</v>
      </c>
      <c r="ES14" s="39" t="e" cm="1">
        <f t="array" ref="ES14">_xlfn.IFS(AND($C$2='List(to hide)'!$B$4,'Table(related to graph)'!$C$3="Monthly"),KPI!EU28,AND($C$2='List(to hide)'!$B$4,'Table(related to graph)'!$C$3='List(to hide)'!$C$3),KPI!EU30,AND($C$2='List(to hide)'!$B$4,'Table(related to graph)'!$C$3='List(to hide)'!$C$4),KPI!EU32)</f>
        <v>#N/A</v>
      </c>
      <c r="ET14" s="39" t="e" cm="1">
        <f t="array" ref="ET14">_xlfn.IFS(AND($C$2='List(to hide)'!$B$4,'Table(related to graph)'!$C$3="Monthly"),KPI!EV28,AND($C$2='List(to hide)'!$B$4,'Table(related to graph)'!$C$3='List(to hide)'!$C$3),KPI!EV30,AND($C$2='List(to hide)'!$B$4,'Table(related to graph)'!$C$3='List(to hide)'!$C$4),KPI!EV32)</f>
        <v>#N/A</v>
      </c>
      <c r="EU14" s="39" t="e" cm="1">
        <f t="array" ref="EU14">_xlfn.IFS(AND($C$2='List(to hide)'!$B$4,'Table(related to graph)'!$C$3="Monthly"),KPI!EW28,AND($C$2='List(to hide)'!$B$4,'Table(related to graph)'!$C$3='List(to hide)'!$C$3),KPI!EW30,AND($C$2='List(to hide)'!$B$4,'Table(related to graph)'!$C$3='List(to hide)'!$C$4),KPI!EW32)</f>
        <v>#N/A</v>
      </c>
      <c r="EV14" s="39" t="e" cm="1">
        <f t="array" ref="EV14">_xlfn.IFS(AND($C$2='List(to hide)'!$B$4,'Table(related to graph)'!$C$3="Monthly"),KPI!EX28,AND($C$2='List(to hide)'!$B$4,'Table(related to graph)'!$C$3='List(to hide)'!$C$3),KPI!EX30,AND($C$2='List(to hide)'!$B$4,'Table(related to graph)'!$C$3='List(to hide)'!$C$4),KPI!EX32)</f>
        <v>#N/A</v>
      </c>
      <c r="EW14" s="39" t="e" cm="1">
        <f t="array" ref="EW14">_xlfn.IFS(AND($C$2='List(to hide)'!$B$4,'Table(related to graph)'!$C$3="Monthly"),KPI!EY28,AND($C$2='List(to hide)'!$B$4,'Table(related to graph)'!$C$3='List(to hide)'!$C$3),KPI!EY30,AND($C$2='List(to hide)'!$B$4,'Table(related to graph)'!$C$3='List(to hide)'!$C$4),KPI!EY32)</f>
        <v>#N/A</v>
      </c>
      <c r="EX14" s="39" t="e" cm="1">
        <f t="array" ref="EX14">_xlfn.IFS(AND($C$2='List(to hide)'!$B$4,'Table(related to graph)'!$C$3="Monthly"),KPI!EZ28,AND($C$2='List(to hide)'!$B$4,'Table(related to graph)'!$C$3='List(to hide)'!$C$3),KPI!EZ30,AND($C$2='List(to hide)'!$B$4,'Table(related to graph)'!$C$3='List(to hide)'!$C$4),KPI!EZ32)</f>
        <v>#N/A</v>
      </c>
      <c r="EY14" s="39" t="e" cm="1">
        <f t="array" ref="EY14">_xlfn.IFS(AND($C$2='List(to hide)'!$B$4,'Table(related to graph)'!$C$3="Monthly"),KPI!FA28,AND($C$2='List(to hide)'!$B$4,'Table(related to graph)'!$C$3='List(to hide)'!$C$3),KPI!FA30,AND($C$2='List(to hide)'!$B$4,'Table(related to graph)'!$C$3='List(to hide)'!$C$4),KPI!FA32)</f>
        <v>#N/A</v>
      </c>
      <c r="EZ14" s="39" t="e" cm="1">
        <f t="array" ref="EZ14">_xlfn.IFS(AND($C$2='List(to hide)'!$B$4,'Table(related to graph)'!$C$3="Monthly"),KPI!FB28,AND($C$2='List(to hide)'!$B$4,'Table(related to graph)'!$C$3='List(to hide)'!$C$3),KPI!FB30,AND($C$2='List(to hide)'!$B$4,'Table(related to graph)'!$C$3='List(to hide)'!$C$4),KPI!FB32)</f>
        <v>#N/A</v>
      </c>
      <c r="FA14" s="39" t="e" cm="1">
        <f t="array" ref="FA14">_xlfn.IFS(AND($C$2='List(to hide)'!$B$4,'Table(related to graph)'!$C$3="Monthly"),KPI!FC28,AND($C$2='List(to hide)'!$B$4,'Table(related to graph)'!$C$3='List(to hide)'!$C$3),KPI!FC30,AND($C$2='List(to hide)'!$B$4,'Table(related to graph)'!$C$3='List(to hide)'!$C$4),KPI!FC32)</f>
        <v>#N/A</v>
      </c>
      <c r="FB14" s="39" t="e" cm="1">
        <f t="array" ref="FB14">_xlfn.IFS(AND($C$2='List(to hide)'!$B$4,'Table(related to graph)'!$C$3="Monthly"),KPI!FD28,AND($C$2='List(to hide)'!$B$4,'Table(related to graph)'!$C$3='List(to hide)'!$C$3),KPI!FD30,AND($C$2='List(to hide)'!$B$4,'Table(related to graph)'!$C$3='List(to hide)'!$C$4),KPI!FD32)</f>
        <v>#N/A</v>
      </c>
      <c r="FC14" s="39" t="e" cm="1">
        <f t="array" ref="FC14">_xlfn.IFS(AND($C$2='List(to hide)'!$B$4,'Table(related to graph)'!$C$3="Monthly"),KPI!FE28,AND($C$2='List(to hide)'!$B$4,'Table(related to graph)'!$C$3='List(to hide)'!$C$3),KPI!FE30,AND($C$2='List(to hide)'!$B$4,'Table(related to graph)'!$C$3='List(to hide)'!$C$4),KPI!FE32)</f>
        <v>#N/A</v>
      </c>
      <c r="FD14" s="39" t="e" cm="1">
        <f t="array" ref="FD14">_xlfn.IFS(AND($C$2='List(to hide)'!$B$4,'Table(related to graph)'!$C$3="Monthly"),KPI!FF28,AND($C$2='List(to hide)'!$B$4,'Table(related to graph)'!$C$3='List(to hide)'!$C$3),KPI!FF30,AND($C$2='List(to hide)'!$B$4,'Table(related to graph)'!$C$3='List(to hide)'!$C$4),KPI!FF32)</f>
        <v>#N/A</v>
      </c>
      <c r="FE14" s="39" t="e" cm="1">
        <f t="array" ref="FE14">_xlfn.IFS(AND($C$2='List(to hide)'!$B$4,'Table(related to graph)'!$C$3="Monthly"),KPI!FG28,AND($C$2='List(to hide)'!$B$4,'Table(related to graph)'!$C$3='List(to hide)'!$C$3),KPI!FG30,AND($C$2='List(to hide)'!$B$4,'Table(related to graph)'!$C$3='List(to hide)'!$C$4),KPI!FG32)</f>
        <v>#N/A</v>
      </c>
      <c r="FF14" s="39" t="e" cm="1">
        <f t="array" ref="FF14">_xlfn.IFS(AND($C$2='List(to hide)'!$B$4,'Table(related to graph)'!$C$3="Monthly"),KPI!FH28,AND($C$2='List(to hide)'!$B$4,'Table(related to graph)'!$C$3='List(to hide)'!$C$3),KPI!FH30,AND($C$2='List(to hide)'!$B$4,'Table(related to graph)'!$C$3='List(to hide)'!$C$4),KPI!FH32)</f>
        <v>#N/A</v>
      </c>
      <c r="FG14" s="39" t="e" cm="1">
        <f t="array" ref="FG14">_xlfn.IFS(AND($C$2='List(to hide)'!$B$4,'Table(related to graph)'!$C$3="Monthly"),KPI!FI28,AND($C$2='List(to hide)'!$B$4,'Table(related to graph)'!$C$3='List(to hide)'!$C$3),KPI!FI30,AND($C$2='List(to hide)'!$B$4,'Table(related to graph)'!$C$3='List(to hide)'!$C$4),KPI!FI32)</f>
        <v>#N/A</v>
      </c>
      <c r="FH14" s="39" t="e" cm="1">
        <f t="array" ref="FH14">_xlfn.IFS(AND($C$2='List(to hide)'!$B$4,'Table(related to graph)'!$C$3="Monthly"),KPI!FJ28,AND($C$2='List(to hide)'!$B$4,'Table(related to graph)'!$C$3='List(to hide)'!$C$3),KPI!FJ30,AND($C$2='List(to hide)'!$B$4,'Table(related to graph)'!$C$3='List(to hide)'!$C$4),KPI!FJ32)</f>
        <v>#N/A</v>
      </c>
      <c r="FI14" s="39" t="e" cm="1">
        <f t="array" ref="FI14">_xlfn.IFS(AND($C$2='List(to hide)'!$B$4,'Table(related to graph)'!$C$3="Monthly"),KPI!FK28,AND($C$2='List(to hide)'!$B$4,'Table(related to graph)'!$C$3='List(to hide)'!$C$3),KPI!FK30,AND($C$2='List(to hide)'!$B$4,'Table(related to graph)'!$C$3='List(to hide)'!$C$4),KPI!FK32)</f>
        <v>#N/A</v>
      </c>
      <c r="FJ14" s="39" t="e" cm="1">
        <f t="array" ref="FJ14">_xlfn.IFS(AND($C$2='List(to hide)'!$B$4,'Table(related to graph)'!$C$3="Monthly"),KPI!FL28,AND($C$2='List(to hide)'!$B$4,'Table(related to graph)'!$C$3='List(to hide)'!$C$3),KPI!FL30,AND($C$2='List(to hide)'!$B$4,'Table(related to graph)'!$C$3='List(to hide)'!$C$4),KPI!FL32)</f>
        <v>#N/A</v>
      </c>
      <c r="FK14" s="39" t="e" cm="1">
        <f t="array" ref="FK14">_xlfn.IFS(AND($C$2='List(to hide)'!$B$4,'Table(related to graph)'!$C$3="Monthly"),KPI!FM28,AND($C$2='List(to hide)'!$B$4,'Table(related to graph)'!$C$3='List(to hide)'!$C$3),KPI!FM30,AND($C$2='List(to hide)'!$B$4,'Table(related to graph)'!$C$3='List(to hide)'!$C$4),KPI!FM32)</f>
        <v>#N/A</v>
      </c>
      <c r="FL14" s="39" t="e" cm="1">
        <f t="array" ref="FL14">_xlfn.IFS(AND($C$2='List(to hide)'!$B$4,'Table(related to graph)'!$C$3="Monthly"),KPI!FN28,AND($C$2='List(to hide)'!$B$4,'Table(related to graph)'!$C$3='List(to hide)'!$C$3),KPI!FN30,AND($C$2='List(to hide)'!$B$4,'Table(related to graph)'!$C$3='List(to hide)'!$C$4),KPI!FN32)</f>
        <v>#N/A</v>
      </c>
      <c r="FM14" s="39" t="e" cm="1">
        <f t="array" ref="FM14">_xlfn.IFS(AND($C$2='List(to hide)'!$B$4,'Table(related to graph)'!$C$3="Monthly"),KPI!FO28,AND($C$2='List(to hide)'!$B$4,'Table(related to graph)'!$C$3='List(to hide)'!$C$3),KPI!FO30,AND($C$2='List(to hide)'!$B$4,'Table(related to graph)'!$C$3='List(to hide)'!$C$4),KPI!FO32)</f>
        <v>#N/A</v>
      </c>
      <c r="FN14" s="39" t="e" cm="1">
        <f t="array" ref="FN14">_xlfn.IFS(AND($C$2='List(to hide)'!$B$4,'Table(related to graph)'!$C$3="Monthly"),KPI!FP28,AND($C$2='List(to hide)'!$B$4,'Table(related to graph)'!$C$3='List(to hide)'!$C$3),KPI!FP30,AND($C$2='List(to hide)'!$B$4,'Table(related to graph)'!$C$3='List(to hide)'!$C$4),KPI!FP32)</f>
        <v>#N/A</v>
      </c>
      <c r="FO14" s="39" t="e" cm="1">
        <f t="array" ref="FO14">_xlfn.IFS(AND($C$2='List(to hide)'!$B$4,'Table(related to graph)'!$C$3="Monthly"),KPI!FQ28,AND($C$2='List(to hide)'!$B$4,'Table(related to graph)'!$C$3='List(to hide)'!$C$3),KPI!FQ30,AND($C$2='List(to hide)'!$B$4,'Table(related to graph)'!$C$3='List(to hide)'!$C$4),KPI!FQ32)</f>
        <v>#N/A</v>
      </c>
      <c r="FP14" s="39" t="e" cm="1">
        <f t="array" ref="FP14">_xlfn.IFS(AND($C$2='List(to hide)'!$B$4,'Table(related to graph)'!$C$3="Monthly"),KPI!FR28,AND($C$2='List(to hide)'!$B$4,'Table(related to graph)'!$C$3='List(to hide)'!$C$3),KPI!FR30,AND($C$2='List(to hide)'!$B$4,'Table(related to graph)'!$C$3='List(to hide)'!$C$4),KPI!FR32)</f>
        <v>#N/A</v>
      </c>
      <c r="FQ14" s="39" t="e" cm="1">
        <f t="array" ref="FQ14">_xlfn.IFS(AND($C$2='List(to hide)'!$B$4,'Table(related to graph)'!$C$3="Monthly"),KPI!FS28,AND($C$2='List(to hide)'!$B$4,'Table(related to graph)'!$C$3='List(to hide)'!$C$3),KPI!FS30,AND($C$2='List(to hide)'!$B$4,'Table(related to graph)'!$C$3='List(to hide)'!$C$4),KPI!FS32)</f>
        <v>#N/A</v>
      </c>
      <c r="FR14" s="39" t="e" cm="1">
        <f t="array" ref="FR14">_xlfn.IFS(AND($C$2='List(to hide)'!$B$4,'Table(related to graph)'!$C$3="Monthly"),KPI!FT28,AND($C$2='List(to hide)'!$B$4,'Table(related to graph)'!$C$3='List(to hide)'!$C$3),KPI!FT30,AND($C$2='List(to hide)'!$B$4,'Table(related to graph)'!$C$3='List(to hide)'!$C$4),KPI!FT32)</f>
        <v>#N/A</v>
      </c>
      <c r="FS14" s="39" t="e" cm="1">
        <f t="array" ref="FS14">_xlfn.IFS(AND($C$2='List(to hide)'!$B$4,'Table(related to graph)'!$C$3="Monthly"),KPI!FU28,AND($C$2='List(to hide)'!$B$4,'Table(related to graph)'!$C$3='List(to hide)'!$C$3),KPI!FU30,AND($C$2='List(to hide)'!$B$4,'Table(related to graph)'!$C$3='List(to hide)'!$C$4),KPI!FU32)</f>
        <v>#N/A</v>
      </c>
      <c r="FT14" s="39" t="e" cm="1">
        <f t="array" ref="FT14">_xlfn.IFS(AND($C$2='List(to hide)'!$B$4,'Table(related to graph)'!$C$3="Monthly"),KPI!FV28,AND($C$2='List(to hide)'!$B$4,'Table(related to graph)'!$C$3='List(to hide)'!$C$3),KPI!FV30,AND($C$2='List(to hide)'!$B$4,'Table(related to graph)'!$C$3='List(to hide)'!$C$4),KPI!FV32)</f>
        <v>#N/A</v>
      </c>
      <c r="FU14" s="39" t="e" cm="1">
        <f t="array" ref="FU14">_xlfn.IFS(AND($C$2='List(to hide)'!$B$4,'Table(related to graph)'!$C$3="Monthly"),KPI!FW28,AND($C$2='List(to hide)'!$B$4,'Table(related to graph)'!$C$3='List(to hide)'!$C$3),KPI!FW30,AND($C$2='List(to hide)'!$B$4,'Table(related to graph)'!$C$3='List(to hide)'!$C$4),KPI!FW32)</f>
        <v>#N/A</v>
      </c>
      <c r="FV14" s="39" t="e" cm="1">
        <f t="array" ref="FV14">_xlfn.IFS(AND($C$2='List(to hide)'!$B$4,'Table(related to graph)'!$C$3="Monthly"),KPI!FX28,AND($C$2='List(to hide)'!$B$4,'Table(related to graph)'!$C$3='List(to hide)'!$C$3),KPI!FX30,AND($C$2='List(to hide)'!$B$4,'Table(related to graph)'!$C$3='List(to hide)'!$C$4),KPI!FX32)</f>
        <v>#N/A</v>
      </c>
      <c r="FW14" s="39" t="e" cm="1">
        <f t="array" ref="FW14">_xlfn.IFS(AND($C$2='List(to hide)'!$B$4,'Table(related to graph)'!$C$3="Monthly"),KPI!FY28,AND($C$2='List(to hide)'!$B$4,'Table(related to graph)'!$C$3='List(to hide)'!$C$3),KPI!FY30,AND($C$2='List(to hide)'!$B$4,'Table(related to graph)'!$C$3='List(to hide)'!$C$4),KPI!FY32)</f>
        <v>#N/A</v>
      </c>
      <c r="FX14" s="39" t="e" cm="1">
        <f t="array" ref="FX14">_xlfn.IFS(AND($C$2='List(to hide)'!$B$4,'Table(related to graph)'!$C$3="Monthly"),KPI!FZ28,AND($C$2='List(to hide)'!$B$4,'Table(related to graph)'!$C$3='List(to hide)'!$C$3),KPI!FZ30,AND($C$2='List(to hide)'!$B$4,'Table(related to graph)'!$C$3='List(to hide)'!$C$4),KPI!FZ32)</f>
        <v>#N/A</v>
      </c>
      <c r="FY14" s="39" t="e" cm="1">
        <f t="array" ref="FY14">_xlfn.IFS(AND($C$2='List(to hide)'!$B$4,'Table(related to graph)'!$C$3="Monthly"),KPI!GA28,AND($C$2='List(to hide)'!$B$4,'Table(related to graph)'!$C$3='List(to hide)'!$C$3),KPI!GA30,AND($C$2='List(to hide)'!$B$4,'Table(related to graph)'!$C$3='List(to hide)'!$C$4),KPI!GA32)</f>
        <v>#N/A</v>
      </c>
      <c r="FZ14" s="39" t="e" cm="1">
        <f t="array" ref="FZ14">_xlfn.IFS(AND($C$2='List(to hide)'!$B$4,'Table(related to graph)'!$C$3="Monthly"),KPI!GB28,AND($C$2='List(to hide)'!$B$4,'Table(related to graph)'!$C$3='List(to hide)'!$C$3),KPI!GB30,AND($C$2='List(to hide)'!$B$4,'Table(related to graph)'!$C$3='List(to hide)'!$C$4),KPI!GB32)</f>
        <v>#N/A</v>
      </c>
      <c r="GA14" s="39" t="e" cm="1">
        <f t="array" ref="GA14">_xlfn.IFS(AND($C$2='List(to hide)'!$B$4,'Table(related to graph)'!$C$3="Monthly"),KPI!GC28,AND($C$2='List(to hide)'!$B$4,'Table(related to graph)'!$C$3='List(to hide)'!$C$3),KPI!GC30,AND($C$2='List(to hide)'!$B$4,'Table(related to graph)'!$C$3='List(to hide)'!$C$4),KPI!GC32)</f>
        <v>#N/A</v>
      </c>
      <c r="GB14" s="39" t="e" cm="1">
        <f t="array" ref="GB14">_xlfn.IFS(AND($C$2='List(to hide)'!$B$4,'Table(related to graph)'!$C$3="Monthly"),KPI!GD28,AND($C$2='List(to hide)'!$B$4,'Table(related to graph)'!$C$3='List(to hide)'!$C$3),KPI!GD30,AND($C$2='List(to hide)'!$B$4,'Table(related to graph)'!$C$3='List(to hide)'!$C$4),KPI!GD32)</f>
        <v>#N/A</v>
      </c>
      <c r="GC14" s="39" t="e" cm="1">
        <f t="array" ref="GC14">_xlfn.IFS(AND($C$2='List(to hide)'!$B$4,'Table(related to graph)'!$C$3="Monthly"),KPI!GE28,AND($C$2='List(to hide)'!$B$4,'Table(related to graph)'!$C$3='List(to hide)'!$C$3),KPI!GE30,AND($C$2='List(to hide)'!$B$4,'Table(related to graph)'!$C$3='List(to hide)'!$C$4),KPI!GE32)</f>
        <v>#N/A</v>
      </c>
      <c r="GD14" s="39" t="e" cm="1">
        <f t="array" ref="GD14">_xlfn.IFS(AND($C$2='List(to hide)'!$B$4,'Table(related to graph)'!$C$3="Monthly"),KPI!GF28,AND($C$2='List(to hide)'!$B$4,'Table(related to graph)'!$C$3='List(to hide)'!$C$3),KPI!GF30,AND($C$2='List(to hide)'!$B$4,'Table(related to graph)'!$C$3='List(to hide)'!$C$4),KPI!GF32)</f>
        <v>#N/A</v>
      </c>
      <c r="GE14" s="39" t="e" cm="1">
        <f t="array" ref="GE14">_xlfn.IFS(AND($C$2='List(to hide)'!$B$4,'Table(related to graph)'!$C$3="Monthly"),KPI!GG28,AND($C$2='List(to hide)'!$B$4,'Table(related to graph)'!$C$3='List(to hide)'!$C$3),KPI!GG30,AND($C$2='List(to hide)'!$B$4,'Table(related to graph)'!$C$3='List(to hide)'!$C$4),KPI!GG32)</f>
        <v>#N/A</v>
      </c>
      <c r="GF14" s="39" t="e" cm="1">
        <f t="array" ref="GF14">_xlfn.IFS(AND($C$2='List(to hide)'!$B$4,'Table(related to graph)'!$C$3="Monthly"),KPI!GH28,AND($C$2='List(to hide)'!$B$4,'Table(related to graph)'!$C$3='List(to hide)'!$C$3),KPI!GH30,AND($C$2='List(to hide)'!$B$4,'Table(related to graph)'!$C$3='List(to hide)'!$C$4),KPI!GH32)</f>
        <v>#N/A</v>
      </c>
      <c r="GG14" s="39" t="e" cm="1">
        <f t="array" ref="GG14">_xlfn.IFS(AND($C$2='List(to hide)'!$B$4,'Table(related to graph)'!$C$3="Monthly"),KPI!GI28,AND($C$2='List(to hide)'!$B$4,'Table(related to graph)'!$C$3='List(to hide)'!$C$3),KPI!GI30,AND($C$2='List(to hide)'!$B$4,'Table(related to graph)'!$C$3='List(to hide)'!$C$4),KPI!GI32)</f>
        <v>#N/A</v>
      </c>
      <c r="GH14" s="39" t="e" cm="1">
        <f t="array" ref="GH14">_xlfn.IFS(AND($C$2='List(to hide)'!$B$4,'Table(related to graph)'!$C$3="Monthly"),KPI!GJ28,AND($C$2='List(to hide)'!$B$4,'Table(related to graph)'!$C$3='List(to hide)'!$C$3),KPI!GJ30,AND($C$2='List(to hide)'!$B$4,'Table(related to graph)'!$C$3='List(to hide)'!$C$4),KPI!GJ32)</f>
        <v>#N/A</v>
      </c>
      <c r="GI14" s="39" t="e" cm="1">
        <f t="array" ref="GI14">_xlfn.IFS(AND($C$2='List(to hide)'!$B$4,'Table(related to graph)'!$C$3="Monthly"),KPI!GK28,AND($C$2='List(to hide)'!$B$4,'Table(related to graph)'!$C$3='List(to hide)'!$C$3),KPI!GK30,AND($C$2='List(to hide)'!$B$4,'Table(related to graph)'!$C$3='List(to hide)'!$C$4),KPI!GK32)</f>
        <v>#N/A</v>
      </c>
      <c r="GJ14" s="39" t="e" cm="1">
        <f t="array" ref="GJ14">_xlfn.IFS(AND($C$2='List(to hide)'!$B$4,'Table(related to graph)'!$C$3="Monthly"),KPI!GL28,AND($C$2='List(to hide)'!$B$4,'Table(related to graph)'!$C$3='List(to hide)'!$C$3),KPI!GL30,AND($C$2='List(to hide)'!$B$4,'Table(related to graph)'!$C$3='List(to hide)'!$C$4),KPI!GL32)</f>
        <v>#N/A</v>
      </c>
      <c r="GK14" s="39" t="e" cm="1">
        <f t="array" ref="GK14">_xlfn.IFS(AND($C$2='List(to hide)'!$B$4,'Table(related to graph)'!$C$3="Monthly"),KPI!GM28,AND($C$2='List(to hide)'!$B$4,'Table(related to graph)'!$C$3='List(to hide)'!$C$3),KPI!GM30,AND($C$2='List(to hide)'!$B$4,'Table(related to graph)'!$C$3='List(to hide)'!$C$4),KPI!GM32)</f>
        <v>#N/A</v>
      </c>
      <c r="GL14" s="39" t="e" cm="1">
        <f t="array" ref="GL14">_xlfn.IFS(AND($C$2='List(to hide)'!$B$4,'Table(related to graph)'!$C$3="Monthly"),KPI!GN28,AND($C$2='List(to hide)'!$B$4,'Table(related to graph)'!$C$3='List(to hide)'!$C$3),KPI!GN30,AND($C$2='List(to hide)'!$B$4,'Table(related to graph)'!$C$3='List(to hide)'!$C$4),KPI!GN32)</f>
        <v>#N/A</v>
      </c>
      <c r="GM14" s="39" t="e" cm="1">
        <f t="array" ref="GM14">_xlfn.IFS(AND($C$2='List(to hide)'!$B$4,'Table(related to graph)'!$C$3="Monthly"),KPI!GO28,AND($C$2='List(to hide)'!$B$4,'Table(related to graph)'!$C$3='List(to hide)'!$C$3),KPI!GO30,AND($C$2='List(to hide)'!$B$4,'Table(related to graph)'!$C$3='List(to hide)'!$C$4),KPI!GO32)</f>
        <v>#N/A</v>
      </c>
      <c r="GN14" s="39" t="e" cm="1">
        <f t="array" ref="GN14">_xlfn.IFS(AND($C$2='List(to hide)'!$B$4,'Table(related to graph)'!$C$3="Monthly"),KPI!GP28,AND($C$2='List(to hide)'!$B$4,'Table(related to graph)'!$C$3='List(to hide)'!$C$3),KPI!GP30,AND($C$2='List(to hide)'!$B$4,'Table(related to graph)'!$C$3='List(to hide)'!$C$4),KPI!GP32)</f>
        <v>#N/A</v>
      </c>
      <c r="GO14" s="39" t="e" cm="1">
        <f t="array" ref="GO14">_xlfn.IFS(AND($C$2='List(to hide)'!$B$4,'Table(related to graph)'!$C$3="Monthly"),KPI!GQ28,AND($C$2='List(to hide)'!$B$4,'Table(related to graph)'!$C$3='List(to hide)'!$C$3),KPI!GQ30,AND($C$2='List(to hide)'!$B$4,'Table(related to graph)'!$C$3='List(to hide)'!$C$4),KPI!GQ32)</f>
        <v>#N/A</v>
      </c>
      <c r="GP14" s="39" t="e" cm="1">
        <f t="array" ref="GP14">_xlfn.IFS(AND($C$2='List(to hide)'!$B$4,'Table(related to graph)'!$C$3="Monthly"),KPI!GR28,AND($C$2='List(to hide)'!$B$4,'Table(related to graph)'!$C$3='List(to hide)'!$C$3),KPI!GR30,AND($C$2='List(to hide)'!$B$4,'Table(related to graph)'!$C$3='List(to hide)'!$C$4),KPI!GR32)</f>
        <v>#N/A</v>
      </c>
      <c r="GQ14" s="39" t="e" cm="1">
        <f t="array" ref="GQ14">_xlfn.IFS(AND($C$2='List(to hide)'!$B$4,'Table(related to graph)'!$C$3="Monthly"),KPI!GS28,AND($C$2='List(to hide)'!$B$4,'Table(related to graph)'!$C$3='List(to hide)'!$C$3),KPI!GS30,AND($C$2='List(to hide)'!$B$4,'Table(related to graph)'!$C$3='List(to hide)'!$C$4),KPI!GS32)</f>
        <v>#N/A</v>
      </c>
      <c r="GR14" s="39" t="e" cm="1">
        <f t="array" ref="GR14">_xlfn.IFS(AND($C$2='List(to hide)'!$B$4,'Table(related to graph)'!$C$3="Monthly"),KPI!GT28,AND($C$2='List(to hide)'!$B$4,'Table(related to graph)'!$C$3='List(to hide)'!$C$3),KPI!GT30,AND($C$2='List(to hide)'!$B$4,'Table(related to graph)'!$C$3='List(to hide)'!$C$4),KPI!GT32)</f>
        <v>#N/A</v>
      </c>
      <c r="GS14" s="39" t="e" cm="1">
        <f t="array" ref="GS14">_xlfn.IFS(AND($C$2='List(to hide)'!$B$4,'Table(related to graph)'!$C$3="Monthly"),KPI!GU28,AND($C$2='List(to hide)'!$B$4,'Table(related to graph)'!$C$3='List(to hide)'!$C$3),KPI!GU30,AND($C$2='List(to hide)'!$B$4,'Table(related to graph)'!$C$3='List(to hide)'!$C$4),KPI!GU32)</f>
        <v>#N/A</v>
      </c>
      <c r="GT14" s="39" t="e" cm="1">
        <f t="array" ref="GT14">_xlfn.IFS(AND($C$2='List(to hide)'!$B$4,'Table(related to graph)'!$C$3="Monthly"),KPI!GV28,AND($C$2='List(to hide)'!$B$4,'Table(related to graph)'!$C$3='List(to hide)'!$C$3),KPI!GV30,AND($C$2='List(to hide)'!$B$4,'Table(related to graph)'!$C$3='List(to hide)'!$C$4),KPI!GV32)</f>
        <v>#N/A</v>
      </c>
      <c r="GU14" s="39" t="e" cm="1">
        <f t="array" ref="GU14">_xlfn.IFS(AND($C$2='List(to hide)'!$B$4,'Table(related to graph)'!$C$3="Monthly"),KPI!GW28,AND($C$2='List(to hide)'!$B$4,'Table(related to graph)'!$C$3='List(to hide)'!$C$3),KPI!GW30,AND($C$2='List(to hide)'!$B$4,'Table(related to graph)'!$C$3='List(to hide)'!$C$4),KPI!GW32)</f>
        <v>#N/A</v>
      </c>
      <c r="GV14" s="39" t="e" cm="1">
        <f t="array" ref="GV14">_xlfn.IFS(AND($C$2='List(to hide)'!$B$4,'Table(related to graph)'!$C$3="Monthly"),KPI!GX28,AND($C$2='List(to hide)'!$B$4,'Table(related to graph)'!$C$3='List(to hide)'!$C$3),KPI!GX30,AND($C$2='List(to hide)'!$B$4,'Table(related to graph)'!$C$3='List(to hide)'!$C$4),KPI!GX32)</f>
        <v>#N/A</v>
      </c>
      <c r="GW14" s="39" t="e" cm="1">
        <f t="array" ref="GW14">_xlfn.IFS(AND($C$2='List(to hide)'!$B$4,'Table(related to graph)'!$C$3="Monthly"),KPI!GY28,AND($C$2='List(to hide)'!$B$4,'Table(related to graph)'!$C$3='List(to hide)'!$C$3),KPI!GY30,AND($C$2='List(to hide)'!$B$4,'Table(related to graph)'!$C$3='List(to hide)'!$C$4),KPI!GY32)</f>
        <v>#N/A</v>
      </c>
      <c r="GX14" s="39" t="e" cm="1">
        <f t="array" ref="GX14">_xlfn.IFS(AND($C$2='List(to hide)'!$B$4,'Table(related to graph)'!$C$3="Monthly"),KPI!GZ28,AND($C$2='List(to hide)'!$B$4,'Table(related to graph)'!$C$3='List(to hide)'!$C$3),KPI!GZ30,AND($C$2='List(to hide)'!$B$4,'Table(related to graph)'!$C$3='List(to hide)'!$C$4),KPI!GZ32)</f>
        <v>#N/A</v>
      </c>
      <c r="GY14" s="39" t="e" cm="1">
        <f t="array" ref="GY14">_xlfn.IFS(AND($C$2='List(to hide)'!$B$4,'Table(related to graph)'!$C$3="Monthly"),KPI!HA28,AND($C$2='List(to hide)'!$B$4,'Table(related to graph)'!$C$3='List(to hide)'!$C$3),KPI!HA30,AND($C$2='List(to hide)'!$B$4,'Table(related to graph)'!$C$3='List(to hide)'!$C$4),KPI!HA32)</f>
        <v>#N/A</v>
      </c>
      <c r="GZ14" s="39" t="e" cm="1">
        <f t="array" ref="GZ14">_xlfn.IFS(AND($C$2='List(to hide)'!$B$4,'Table(related to graph)'!$C$3="Monthly"),KPI!HB28,AND($C$2='List(to hide)'!$B$4,'Table(related to graph)'!$C$3='List(to hide)'!$C$3),KPI!HB30,AND($C$2='List(to hide)'!$B$4,'Table(related to graph)'!$C$3='List(to hide)'!$C$4),KPI!HB32)</f>
        <v>#N/A</v>
      </c>
      <c r="HA14" s="39" t="e" cm="1">
        <f t="array" ref="HA14">_xlfn.IFS(AND($C$2='List(to hide)'!$B$4,'Table(related to graph)'!$C$3="Monthly"),KPI!HC28,AND($C$2='List(to hide)'!$B$4,'Table(related to graph)'!$C$3='List(to hide)'!$C$3),KPI!HC30,AND($C$2='List(to hide)'!$B$4,'Table(related to graph)'!$C$3='List(to hide)'!$C$4),KPI!HC32)</f>
        <v>#N/A</v>
      </c>
      <c r="HB14" s="39" t="e" cm="1">
        <f t="array" ref="HB14">_xlfn.IFS(AND($C$2='List(to hide)'!$B$4,'Table(related to graph)'!$C$3="Monthly"),KPI!HD28,AND($C$2='List(to hide)'!$B$4,'Table(related to graph)'!$C$3='List(to hide)'!$C$3),KPI!HD30,AND($C$2='List(to hide)'!$B$4,'Table(related to graph)'!$C$3='List(to hide)'!$C$4),KPI!HD32)</f>
        <v>#N/A</v>
      </c>
      <c r="HC14" s="39" t="e" cm="1">
        <f t="array" ref="HC14">_xlfn.IFS(AND($C$2='List(to hide)'!$B$4,'Table(related to graph)'!$C$3="Monthly"),KPI!HE28,AND($C$2='List(to hide)'!$B$4,'Table(related to graph)'!$C$3='List(to hide)'!$C$3),KPI!HE30,AND($C$2='List(to hide)'!$B$4,'Table(related to graph)'!$C$3='List(to hide)'!$C$4),KPI!HE32)</f>
        <v>#N/A</v>
      </c>
      <c r="HD14" s="39" t="e" cm="1">
        <f t="array" ref="HD14">_xlfn.IFS(AND($C$2='List(to hide)'!$B$4,'Table(related to graph)'!$C$3="Monthly"),KPI!HF28,AND($C$2='List(to hide)'!$B$4,'Table(related to graph)'!$C$3='List(to hide)'!$C$3),KPI!HF30,AND($C$2='List(to hide)'!$B$4,'Table(related to graph)'!$C$3='List(to hide)'!$C$4),KPI!HF32)</f>
        <v>#N/A</v>
      </c>
      <c r="HE14" s="39" t="e" cm="1">
        <f t="array" ref="HE14">_xlfn.IFS(AND($C$2='List(to hide)'!$B$4,'Table(related to graph)'!$C$3="Monthly"),KPI!HG28,AND($C$2='List(to hide)'!$B$4,'Table(related to graph)'!$C$3='List(to hide)'!$C$3),KPI!HG30,AND($C$2='List(to hide)'!$B$4,'Table(related to graph)'!$C$3='List(to hide)'!$C$4),KPI!HG32)</f>
        <v>#N/A</v>
      </c>
      <c r="HF14" s="39" t="e" cm="1">
        <f t="array" ref="HF14">_xlfn.IFS(AND($C$2='List(to hide)'!$B$4,'Table(related to graph)'!$C$3="Monthly"),KPI!HH28,AND($C$2='List(to hide)'!$B$4,'Table(related to graph)'!$C$3='List(to hide)'!$C$3),KPI!HH30,AND($C$2='List(to hide)'!$B$4,'Table(related to graph)'!$C$3='List(to hide)'!$C$4),KPI!HH32)</f>
        <v>#N/A</v>
      </c>
      <c r="HG14" s="39" t="e" cm="1">
        <f t="array" ref="HG14">_xlfn.IFS(AND($C$2='List(to hide)'!$B$4,'Table(related to graph)'!$C$3="Monthly"),KPI!HI28,AND($C$2='List(to hide)'!$B$4,'Table(related to graph)'!$C$3='List(to hide)'!$C$3),KPI!HI30,AND($C$2='List(to hide)'!$B$4,'Table(related to graph)'!$C$3='List(to hide)'!$C$4),KPI!HI32)</f>
        <v>#N/A</v>
      </c>
      <c r="HH14" s="39" t="e" cm="1">
        <f t="array" ref="HH14">_xlfn.IFS(AND($C$2='List(to hide)'!$B$4,'Table(related to graph)'!$C$3="Monthly"),KPI!HJ28,AND($C$2='List(to hide)'!$B$4,'Table(related to graph)'!$C$3='List(to hide)'!$C$3),KPI!HJ30,AND($C$2='List(to hide)'!$B$4,'Table(related to graph)'!$C$3='List(to hide)'!$C$4),KPI!HJ32)</f>
        <v>#N/A</v>
      </c>
      <c r="HI14" s="39" t="e" cm="1">
        <f t="array" ref="HI14">_xlfn.IFS(AND($C$2='List(to hide)'!$B$4,'Table(related to graph)'!$C$3="Monthly"),KPI!HK28,AND($C$2='List(to hide)'!$B$4,'Table(related to graph)'!$C$3='List(to hide)'!$C$3),KPI!HK30,AND($C$2='List(to hide)'!$B$4,'Table(related to graph)'!$C$3='List(to hide)'!$C$4),KPI!HK32)</f>
        <v>#N/A</v>
      </c>
      <c r="HJ14" s="39" t="e" cm="1">
        <f t="array" ref="HJ14">_xlfn.IFS(AND($C$2='List(to hide)'!$B$4,'Table(related to graph)'!$C$3="Monthly"),KPI!HL28,AND($C$2='List(to hide)'!$B$4,'Table(related to graph)'!$C$3='List(to hide)'!$C$3),KPI!HL30,AND($C$2='List(to hide)'!$B$4,'Table(related to graph)'!$C$3='List(to hide)'!$C$4),KPI!HL32)</f>
        <v>#N/A</v>
      </c>
      <c r="HK14" s="39" t="e" cm="1">
        <f t="array" ref="HK14">_xlfn.IFS(AND($C$2='List(to hide)'!$B$4,'Table(related to graph)'!$C$3="Monthly"),KPI!HM28,AND($C$2='List(to hide)'!$B$4,'Table(related to graph)'!$C$3='List(to hide)'!$C$3),KPI!HM30,AND($C$2='List(to hide)'!$B$4,'Table(related to graph)'!$C$3='List(to hide)'!$C$4),KPI!HM32)</f>
        <v>#N/A</v>
      </c>
      <c r="HL14" s="39" t="e" cm="1">
        <f t="array" ref="HL14">_xlfn.IFS(AND($C$2='List(to hide)'!$B$4,'Table(related to graph)'!$C$3="Monthly"),KPI!HN28,AND($C$2='List(to hide)'!$B$4,'Table(related to graph)'!$C$3='List(to hide)'!$C$3),KPI!HN30,AND($C$2='List(to hide)'!$B$4,'Table(related to graph)'!$C$3='List(to hide)'!$C$4),KPI!HN32)</f>
        <v>#N/A</v>
      </c>
      <c r="HM14" s="39" t="e" cm="1">
        <f t="array" ref="HM14">_xlfn.IFS(AND($C$2='List(to hide)'!$B$4,'Table(related to graph)'!$C$3="Monthly"),KPI!HO28,AND($C$2='List(to hide)'!$B$4,'Table(related to graph)'!$C$3='List(to hide)'!$C$3),KPI!HO30,AND($C$2='List(to hide)'!$B$4,'Table(related to graph)'!$C$3='List(to hide)'!$C$4),KPI!HO32)</f>
        <v>#N/A</v>
      </c>
      <c r="HN14" s="39" t="e" cm="1">
        <f t="array" ref="HN14">_xlfn.IFS(AND($C$2='List(to hide)'!$B$4,'Table(related to graph)'!$C$3="Monthly"),KPI!HP28,AND($C$2='List(to hide)'!$B$4,'Table(related to graph)'!$C$3='List(to hide)'!$C$3),KPI!HP30,AND($C$2='List(to hide)'!$B$4,'Table(related to graph)'!$C$3='List(to hide)'!$C$4),KPI!HP32)</f>
        <v>#N/A</v>
      </c>
      <c r="HO14" s="39" t="e" cm="1">
        <f t="array" ref="HO14">_xlfn.IFS(AND($C$2='List(to hide)'!$B$4,'Table(related to graph)'!$C$3="Monthly"),KPI!HQ28,AND($C$2='List(to hide)'!$B$4,'Table(related to graph)'!$C$3='List(to hide)'!$C$3),KPI!HQ30,AND($C$2='List(to hide)'!$B$4,'Table(related to graph)'!$C$3='List(to hide)'!$C$4),KPI!HQ32)</f>
        <v>#N/A</v>
      </c>
      <c r="HP14" s="39" t="e" cm="1">
        <f t="array" ref="HP14">_xlfn.IFS(AND($C$2='List(to hide)'!$B$4,'Table(related to graph)'!$C$3="Monthly"),KPI!HR28,AND($C$2='List(to hide)'!$B$4,'Table(related to graph)'!$C$3='List(to hide)'!$C$3),KPI!HR30,AND($C$2='List(to hide)'!$B$4,'Table(related to graph)'!$C$3='List(to hide)'!$C$4),KPI!HR32)</f>
        <v>#N/A</v>
      </c>
      <c r="HQ14" s="39" t="e" cm="1">
        <f t="array" ref="HQ14">_xlfn.IFS(AND($C$2='List(to hide)'!$B$4,'Table(related to graph)'!$C$3="Monthly"),KPI!HS28,AND($C$2='List(to hide)'!$B$4,'Table(related to graph)'!$C$3='List(to hide)'!$C$3),KPI!HS30,AND($C$2='List(to hide)'!$B$4,'Table(related to graph)'!$C$3='List(to hide)'!$C$4),KPI!HS32)</f>
        <v>#N/A</v>
      </c>
      <c r="HR14" s="39" t="e" cm="1">
        <f t="array" ref="HR14">_xlfn.IFS(AND($C$2='List(to hide)'!$B$4,'Table(related to graph)'!$C$3="Monthly"),KPI!HT28,AND($C$2='List(to hide)'!$B$4,'Table(related to graph)'!$C$3='List(to hide)'!$C$3),KPI!HT30,AND($C$2='List(to hide)'!$B$4,'Table(related to graph)'!$C$3='List(to hide)'!$C$4),KPI!HT32)</f>
        <v>#N/A</v>
      </c>
      <c r="HS14" s="39" t="e" cm="1">
        <f t="array" ref="HS14">_xlfn.IFS(AND($C$2='List(to hide)'!$B$4,'Table(related to graph)'!$C$3="Monthly"),KPI!HU28,AND($C$2='List(to hide)'!$B$4,'Table(related to graph)'!$C$3='List(to hide)'!$C$3),KPI!HU30,AND($C$2='List(to hide)'!$B$4,'Table(related to graph)'!$C$3='List(to hide)'!$C$4),KPI!HU32)</f>
        <v>#N/A</v>
      </c>
      <c r="HT14" s="39" t="e" cm="1">
        <f t="array" ref="HT14">_xlfn.IFS(AND($C$2='List(to hide)'!$B$4,'Table(related to graph)'!$C$3="Monthly"),KPI!HV28,AND($C$2='List(to hide)'!$B$4,'Table(related to graph)'!$C$3='List(to hide)'!$C$3),KPI!HV30,AND($C$2='List(to hide)'!$B$4,'Table(related to graph)'!$C$3='List(to hide)'!$C$4),KPI!HV32)</f>
        <v>#N/A</v>
      </c>
      <c r="HU14" s="39" t="e" cm="1">
        <f t="array" ref="HU14">_xlfn.IFS(AND($C$2='List(to hide)'!$B$4,'Table(related to graph)'!$C$3="Monthly"),KPI!HW28,AND($C$2='List(to hide)'!$B$4,'Table(related to graph)'!$C$3='List(to hide)'!$C$3),KPI!HW30,AND($C$2='List(to hide)'!$B$4,'Table(related to graph)'!$C$3='List(to hide)'!$C$4),KPI!HW32)</f>
        <v>#N/A</v>
      </c>
      <c r="HV14" s="39" t="e" cm="1">
        <f t="array" ref="HV14">_xlfn.IFS(AND($C$2='List(to hide)'!$B$4,'Table(related to graph)'!$C$3="Monthly"),KPI!HX28,AND($C$2='List(to hide)'!$B$4,'Table(related to graph)'!$C$3='List(to hide)'!$C$3),KPI!HX30,AND($C$2='List(to hide)'!$B$4,'Table(related to graph)'!$C$3='List(to hide)'!$C$4),KPI!HX32)</f>
        <v>#N/A</v>
      </c>
      <c r="HW14" s="39" t="e" cm="1">
        <f t="array" ref="HW14">_xlfn.IFS(AND($C$2='List(to hide)'!$B$4,'Table(related to graph)'!$C$3="Monthly"),KPI!HY28,AND($C$2='List(to hide)'!$B$4,'Table(related to graph)'!$C$3='List(to hide)'!$C$3),KPI!HY30,AND($C$2='List(to hide)'!$B$4,'Table(related to graph)'!$C$3='List(to hide)'!$C$4),KPI!HY32)</f>
        <v>#N/A</v>
      </c>
      <c r="HX14" s="39" t="e" cm="1">
        <f t="array" ref="HX14">_xlfn.IFS(AND($C$2='List(to hide)'!$B$4,'Table(related to graph)'!$C$3="Monthly"),KPI!HZ28,AND($C$2='List(to hide)'!$B$4,'Table(related to graph)'!$C$3='List(to hide)'!$C$3),KPI!HZ30,AND($C$2='List(to hide)'!$B$4,'Table(related to graph)'!$C$3='List(to hide)'!$C$4),KPI!HZ32)</f>
        <v>#N/A</v>
      </c>
      <c r="HY14" s="39" t="e" cm="1">
        <f t="array" ref="HY14">_xlfn.IFS(AND($C$2='List(to hide)'!$B$4,'Table(related to graph)'!$C$3="Monthly"),KPI!IA28,AND($C$2='List(to hide)'!$B$4,'Table(related to graph)'!$C$3='List(to hide)'!$C$3),KPI!IA30,AND($C$2='List(to hide)'!$B$4,'Table(related to graph)'!$C$3='List(to hide)'!$C$4),KPI!IA32)</f>
        <v>#N/A</v>
      </c>
      <c r="HZ14" s="39" t="e" cm="1">
        <f t="array" ref="HZ14">_xlfn.IFS(AND($C$2='List(to hide)'!$B$4,'Table(related to graph)'!$C$3="Monthly"),KPI!IB28,AND($C$2='List(to hide)'!$B$4,'Table(related to graph)'!$C$3='List(to hide)'!$C$3),KPI!IB30,AND($C$2='List(to hide)'!$B$4,'Table(related to graph)'!$C$3='List(to hide)'!$C$4),KPI!IB32)</f>
        <v>#N/A</v>
      </c>
      <c r="IA14" s="39" t="e" cm="1">
        <f t="array" ref="IA14">_xlfn.IFS(AND($C$2='List(to hide)'!$B$4,'Table(related to graph)'!$C$3="Monthly"),KPI!IC28,AND($C$2='List(to hide)'!$B$4,'Table(related to graph)'!$C$3='List(to hide)'!$C$3),KPI!IC30,AND($C$2='List(to hide)'!$B$4,'Table(related to graph)'!$C$3='List(to hide)'!$C$4),KPI!IC32)</f>
        <v>#N/A</v>
      </c>
      <c r="IB14" s="39" t="e" cm="1">
        <f t="array" ref="IB14">_xlfn.IFS(AND($C$2='List(to hide)'!$B$4,'Table(related to graph)'!$C$3="Monthly"),KPI!ID28,AND($C$2='List(to hide)'!$B$4,'Table(related to graph)'!$C$3='List(to hide)'!$C$3),KPI!ID30,AND($C$2='List(to hide)'!$B$4,'Table(related to graph)'!$C$3='List(to hide)'!$C$4),KPI!ID32)</f>
        <v>#N/A</v>
      </c>
      <c r="IC14" s="39" t="e" cm="1">
        <f t="array" ref="IC14">_xlfn.IFS(AND($C$2='List(to hide)'!$B$4,'Table(related to graph)'!$C$3="Monthly"),KPI!IE28,AND($C$2='List(to hide)'!$B$4,'Table(related to graph)'!$C$3='List(to hide)'!$C$3),KPI!IE30,AND($C$2='List(to hide)'!$B$4,'Table(related to graph)'!$C$3='List(to hide)'!$C$4),KPI!IE32)</f>
        <v>#N/A</v>
      </c>
      <c r="ID14" s="39" t="e" cm="1">
        <f t="array" ref="ID14">_xlfn.IFS(AND($C$2='List(to hide)'!$B$4,'Table(related to graph)'!$C$3="Monthly"),KPI!IF28,AND($C$2='List(to hide)'!$B$4,'Table(related to graph)'!$C$3='List(to hide)'!$C$3),KPI!IF30,AND($C$2='List(to hide)'!$B$4,'Table(related to graph)'!$C$3='List(to hide)'!$C$4),KPI!IF32)</f>
        <v>#N/A</v>
      </c>
      <c r="IE14" s="39" t="e" cm="1">
        <f t="array" ref="IE14">_xlfn.IFS(AND($C$2='List(to hide)'!$B$4,'Table(related to graph)'!$C$3="Monthly"),KPI!IG28,AND($C$2='List(to hide)'!$B$4,'Table(related to graph)'!$C$3='List(to hide)'!$C$3),KPI!IG30,AND($C$2='List(to hide)'!$B$4,'Table(related to graph)'!$C$3='List(to hide)'!$C$4),KPI!IG32)</f>
        <v>#N/A</v>
      </c>
      <c r="IF14" s="39" t="e" cm="1">
        <f t="array" ref="IF14">_xlfn.IFS(AND($C$2='List(to hide)'!$B$4,'Table(related to graph)'!$C$3="Monthly"),KPI!IH28,AND($C$2='List(to hide)'!$B$4,'Table(related to graph)'!$C$3='List(to hide)'!$C$3),KPI!IH30,AND($C$2='List(to hide)'!$B$4,'Table(related to graph)'!$C$3='List(to hide)'!$C$4),KPI!IH32)</f>
        <v>#N/A</v>
      </c>
      <c r="IG14" s="39" t="e" cm="1">
        <f t="array" ref="IG14">_xlfn.IFS(AND($C$2='List(to hide)'!$B$4,'Table(related to graph)'!$C$3="Monthly"),KPI!II28,AND($C$2='List(to hide)'!$B$4,'Table(related to graph)'!$C$3='List(to hide)'!$C$3),KPI!II30,AND($C$2='List(to hide)'!$B$4,'Table(related to graph)'!$C$3='List(to hide)'!$C$4),KPI!II32)</f>
        <v>#N/A</v>
      </c>
      <c r="IH14" s="39" t="e" cm="1">
        <f t="array" ref="IH14">_xlfn.IFS(AND($C$2='List(to hide)'!$B$4,'Table(related to graph)'!$C$3="Monthly"),KPI!IJ28,AND($C$2='List(to hide)'!$B$4,'Table(related to graph)'!$C$3='List(to hide)'!$C$3),KPI!IJ30,AND($C$2='List(to hide)'!$B$4,'Table(related to graph)'!$C$3='List(to hide)'!$C$4),KPI!IJ32)</f>
        <v>#N/A</v>
      </c>
      <c r="II14" s="39" t="e" cm="1">
        <f t="array" ref="II14">_xlfn.IFS(AND($C$2='List(to hide)'!$B$4,'Table(related to graph)'!$C$3="Monthly"),KPI!IK28,AND($C$2='List(to hide)'!$B$4,'Table(related to graph)'!$C$3='List(to hide)'!$C$3),KPI!IK30,AND($C$2='List(to hide)'!$B$4,'Table(related to graph)'!$C$3='List(to hide)'!$C$4),KPI!IK32)</f>
        <v>#N/A</v>
      </c>
      <c r="IJ14" s="39" t="e" cm="1">
        <f t="array" ref="IJ14">_xlfn.IFS(AND($C$2='List(to hide)'!$B$4,'Table(related to graph)'!$C$3="Monthly"),KPI!IL28,AND($C$2='List(to hide)'!$B$4,'Table(related to graph)'!$C$3='List(to hide)'!$C$3),KPI!IL30,AND($C$2='List(to hide)'!$B$4,'Table(related to graph)'!$C$3='List(to hide)'!$C$4),KPI!IL32)</f>
        <v>#N/A</v>
      </c>
      <c r="IK14" s="39" t="e" cm="1">
        <f t="array" ref="IK14">_xlfn.IFS(AND($C$2='List(to hide)'!$B$4,'Table(related to graph)'!$C$3="Monthly"),KPI!IM28,AND($C$2='List(to hide)'!$B$4,'Table(related to graph)'!$C$3='List(to hide)'!$C$3),KPI!IM30,AND($C$2='List(to hide)'!$B$4,'Table(related to graph)'!$C$3='List(to hide)'!$C$4),KPI!IM32)</f>
        <v>#N/A</v>
      </c>
      <c r="IL14" s="39" t="e" cm="1">
        <f t="array" ref="IL14">_xlfn.IFS(AND($C$2='List(to hide)'!$B$4,'Table(related to graph)'!$C$3="Monthly"),KPI!IN28,AND($C$2='List(to hide)'!$B$4,'Table(related to graph)'!$C$3='List(to hide)'!$C$3),KPI!IN30,AND($C$2='List(to hide)'!$B$4,'Table(related to graph)'!$C$3='List(to hide)'!$C$4),KPI!IN32)</f>
        <v>#N/A</v>
      </c>
      <c r="IM14" s="39" t="e" cm="1">
        <f t="array" ref="IM14">_xlfn.IFS(AND($C$2='List(to hide)'!$B$4,'Table(related to graph)'!$C$3="Monthly"),KPI!IO28,AND($C$2='List(to hide)'!$B$4,'Table(related to graph)'!$C$3='List(to hide)'!$C$3),KPI!IO30,AND($C$2='List(to hide)'!$B$4,'Table(related to graph)'!$C$3='List(to hide)'!$C$4),KPI!IO32)</f>
        <v>#N/A</v>
      </c>
      <c r="IN14" s="39" t="e" cm="1">
        <f t="array" ref="IN14">_xlfn.IFS(AND($C$2='List(to hide)'!$B$4,'Table(related to graph)'!$C$3="Monthly"),KPI!IP28,AND($C$2='List(to hide)'!$B$4,'Table(related to graph)'!$C$3='List(to hide)'!$C$3),KPI!IP30,AND($C$2='List(to hide)'!$B$4,'Table(related to graph)'!$C$3='List(to hide)'!$C$4),KPI!IP32)</f>
        <v>#N/A</v>
      </c>
      <c r="IO14" s="39" t="e" cm="1">
        <f t="array" ref="IO14">_xlfn.IFS(AND($C$2='List(to hide)'!$B$4,'Table(related to graph)'!$C$3="Monthly"),KPI!IQ28,AND($C$2='List(to hide)'!$B$4,'Table(related to graph)'!$C$3='List(to hide)'!$C$3),KPI!IQ30,AND($C$2='List(to hide)'!$B$4,'Table(related to graph)'!$C$3='List(to hide)'!$C$4),KPI!IQ32)</f>
        <v>#N/A</v>
      </c>
      <c r="IP14" s="39" t="e" cm="1">
        <f t="array" ref="IP14">_xlfn.IFS(AND($C$2='List(to hide)'!$B$4,'Table(related to graph)'!$C$3="Monthly"),KPI!IR28,AND($C$2='List(to hide)'!$B$4,'Table(related to graph)'!$C$3='List(to hide)'!$C$3),KPI!IR30,AND($C$2='List(to hide)'!$B$4,'Table(related to graph)'!$C$3='List(to hide)'!$C$4),KPI!IR32)</f>
        <v>#N/A</v>
      </c>
      <c r="IQ14" s="39" t="e" cm="1">
        <f t="array" ref="IQ14">_xlfn.IFS(AND($C$2='List(to hide)'!$B$4,'Table(related to graph)'!$C$3="Monthly"),KPI!IS28,AND($C$2='List(to hide)'!$B$4,'Table(related to graph)'!$C$3='List(to hide)'!$C$3),KPI!IS30,AND($C$2='List(to hide)'!$B$4,'Table(related to graph)'!$C$3='List(to hide)'!$C$4),KPI!IS32)</f>
        <v>#N/A</v>
      </c>
      <c r="IR14" s="39" t="e" cm="1">
        <f t="array" ref="IR14">_xlfn.IFS(AND($C$2='List(to hide)'!$B$4,'Table(related to graph)'!$C$3="Monthly"),KPI!IT28,AND($C$2='List(to hide)'!$B$4,'Table(related to graph)'!$C$3='List(to hide)'!$C$3),KPI!IT30,AND($C$2='List(to hide)'!$B$4,'Table(related to graph)'!$C$3='List(to hide)'!$C$4),KPI!IT32)</f>
        <v>#N/A</v>
      </c>
      <c r="IS14" s="39" t="e" cm="1">
        <f t="array" ref="IS14">_xlfn.IFS(AND($C$2='List(to hide)'!$B$4,'Table(related to graph)'!$C$3="Monthly"),KPI!IU28,AND($C$2='List(to hide)'!$B$4,'Table(related to graph)'!$C$3='List(to hide)'!$C$3),KPI!IU30,AND($C$2='List(to hide)'!$B$4,'Table(related to graph)'!$C$3='List(to hide)'!$C$4),KPI!IU32)</f>
        <v>#N/A</v>
      </c>
      <c r="IT14" s="39" t="e" cm="1">
        <f t="array" ref="IT14">_xlfn.IFS(AND($C$2='List(to hide)'!$B$4,'Table(related to graph)'!$C$3="Monthly"),KPI!IV28,AND($C$2='List(to hide)'!$B$4,'Table(related to graph)'!$C$3='List(to hide)'!$C$3),KPI!IV30,AND($C$2='List(to hide)'!$B$4,'Table(related to graph)'!$C$3='List(to hide)'!$C$4),KPI!IV32)</f>
        <v>#N/A</v>
      </c>
      <c r="IU14" s="39" t="e" cm="1">
        <f t="array" ref="IU14">_xlfn.IFS(AND($C$2='List(to hide)'!$B$4,'Table(related to graph)'!$C$3="Monthly"),KPI!IW28,AND($C$2='List(to hide)'!$B$4,'Table(related to graph)'!$C$3='List(to hide)'!$C$3),KPI!IW30,AND($C$2='List(to hide)'!$B$4,'Table(related to graph)'!$C$3='List(to hide)'!$C$4),KPI!IW32)</f>
        <v>#N/A</v>
      </c>
      <c r="IV14" s="39" t="e" cm="1">
        <f t="array" ref="IV14">_xlfn.IFS(AND($C$2='List(to hide)'!$B$4,'Table(related to graph)'!$C$3="Monthly"),KPI!IX28,AND($C$2='List(to hide)'!$B$4,'Table(related to graph)'!$C$3='List(to hide)'!$C$3),KPI!IX30,AND($C$2='List(to hide)'!$B$4,'Table(related to graph)'!$C$3='List(to hide)'!$C$4),KPI!IX32)</f>
        <v>#N/A</v>
      </c>
      <c r="IW14" s="39" t="e" cm="1">
        <f t="array" ref="IW14">_xlfn.IFS(AND($C$2='List(to hide)'!$B$4,'Table(related to graph)'!$C$3="Monthly"),KPI!IY28,AND($C$2='List(to hide)'!$B$4,'Table(related to graph)'!$C$3='List(to hide)'!$C$3),KPI!IY30,AND($C$2='List(to hide)'!$B$4,'Table(related to graph)'!$C$3='List(to hide)'!$C$4),KPI!IY32)</f>
        <v>#N/A</v>
      </c>
      <c r="IX14" s="39" t="e" cm="1">
        <f t="array" ref="IX14">_xlfn.IFS(AND($C$2='List(to hide)'!$B$4,'Table(related to graph)'!$C$3="Monthly"),KPI!IZ28,AND($C$2='List(to hide)'!$B$4,'Table(related to graph)'!$C$3='List(to hide)'!$C$3),KPI!IZ30,AND($C$2='List(to hide)'!$B$4,'Table(related to graph)'!$C$3='List(to hide)'!$C$4),KPI!IZ32)</f>
        <v>#N/A</v>
      </c>
      <c r="IY14" s="39" t="e" cm="1">
        <f t="array" ref="IY14">_xlfn.IFS(AND($C$2='List(to hide)'!$B$4,'Table(related to graph)'!$C$3="Monthly"),KPI!JA28,AND($C$2='List(to hide)'!$B$4,'Table(related to graph)'!$C$3='List(to hide)'!$C$3),KPI!JA30,AND($C$2='List(to hide)'!$B$4,'Table(related to graph)'!$C$3='List(to hide)'!$C$4),KPI!JA32)</f>
        <v>#N/A</v>
      </c>
      <c r="IZ14" s="39" t="e" cm="1">
        <f t="array" ref="IZ14">_xlfn.IFS(AND($C$2='List(to hide)'!$B$4,'Table(related to graph)'!$C$3="Monthly"),KPI!JB28,AND($C$2='List(to hide)'!$B$4,'Table(related to graph)'!$C$3='List(to hide)'!$C$3),KPI!JB30,AND($C$2='List(to hide)'!$B$4,'Table(related to graph)'!$C$3='List(to hide)'!$C$4),KPI!JB32)</f>
        <v>#N/A</v>
      </c>
      <c r="JA14" s="39" t="e" cm="1">
        <f t="array" ref="JA14">_xlfn.IFS(AND($C$2='List(to hide)'!$B$4,'Table(related to graph)'!$C$3="Monthly"),KPI!JC28,AND($C$2='List(to hide)'!$B$4,'Table(related to graph)'!$C$3='List(to hide)'!$C$3),KPI!JC30,AND($C$2='List(to hide)'!$B$4,'Table(related to graph)'!$C$3='List(to hide)'!$C$4),KPI!JC32)</f>
        <v>#N/A</v>
      </c>
      <c r="JB14" s="39" t="e" cm="1">
        <f t="array" ref="JB14">_xlfn.IFS(AND($C$2='List(to hide)'!$B$4,'Table(related to graph)'!$C$3="Monthly"),KPI!JD28,AND($C$2='List(to hide)'!$B$4,'Table(related to graph)'!$C$3='List(to hide)'!$C$3),KPI!JD30,AND($C$2='List(to hide)'!$B$4,'Table(related to graph)'!$C$3='List(to hide)'!$C$4),KPI!JD32)</f>
        <v>#N/A</v>
      </c>
      <c r="JC14" s="39" t="e" cm="1">
        <f t="array" ref="JC14">_xlfn.IFS(AND($C$2='List(to hide)'!$B$4,'Table(related to graph)'!$C$3="Monthly"),KPI!JE28,AND($C$2='List(to hide)'!$B$4,'Table(related to graph)'!$C$3='List(to hide)'!$C$3),KPI!JE30,AND($C$2='List(to hide)'!$B$4,'Table(related to graph)'!$C$3='List(to hide)'!$C$4),KPI!JE32)</f>
        <v>#N/A</v>
      </c>
      <c r="JD14" s="39" t="e" cm="1">
        <f t="array" ref="JD14">_xlfn.IFS(AND($C$2='List(to hide)'!$B$4,'Table(related to graph)'!$C$3="Monthly"),KPI!JF28,AND($C$2='List(to hide)'!$B$4,'Table(related to graph)'!$C$3='List(to hide)'!$C$3),KPI!JF30,AND($C$2='List(to hide)'!$B$4,'Table(related to graph)'!$C$3='List(to hide)'!$C$4),KPI!JF32)</f>
        <v>#N/A</v>
      </c>
      <c r="JE14" s="39" t="e" cm="1">
        <f t="array" ref="JE14">_xlfn.IFS(AND($C$2='List(to hide)'!$B$4,'Table(related to graph)'!$C$3="Monthly"),KPI!JG28,AND($C$2='List(to hide)'!$B$4,'Table(related to graph)'!$C$3='List(to hide)'!$C$3),KPI!JG30,AND($C$2='List(to hide)'!$B$4,'Table(related to graph)'!$C$3='List(to hide)'!$C$4),KPI!JG32)</f>
        <v>#N/A</v>
      </c>
      <c r="JF14" s="39" t="e" cm="1">
        <f t="array" ref="JF14">_xlfn.IFS(AND($C$2='List(to hide)'!$B$4,'Table(related to graph)'!$C$3="Monthly"),KPI!JH28,AND($C$2='List(to hide)'!$B$4,'Table(related to graph)'!$C$3='List(to hide)'!$C$3),KPI!JH30,AND($C$2='List(to hide)'!$B$4,'Table(related to graph)'!$C$3='List(to hide)'!$C$4),KPI!JH32)</f>
        <v>#N/A</v>
      </c>
      <c r="JG14" s="39" t="e" cm="1">
        <f t="array" ref="JG14">_xlfn.IFS(AND($C$2='List(to hide)'!$B$4,'Table(related to graph)'!$C$3="Monthly"),KPI!JI28,AND($C$2='List(to hide)'!$B$4,'Table(related to graph)'!$C$3='List(to hide)'!$C$3),KPI!JI30,AND($C$2='List(to hide)'!$B$4,'Table(related to graph)'!$C$3='List(to hide)'!$C$4),KPI!JI32)</f>
        <v>#N/A</v>
      </c>
      <c r="JH14" s="39" t="e" cm="1">
        <f t="array" ref="JH14">_xlfn.IFS(AND($C$2='List(to hide)'!$B$4,'Table(related to graph)'!$C$3="Monthly"),KPI!JJ28,AND($C$2='List(to hide)'!$B$4,'Table(related to graph)'!$C$3='List(to hide)'!$C$3),KPI!JJ30,AND($C$2='List(to hide)'!$B$4,'Table(related to graph)'!$C$3='List(to hide)'!$C$4),KPI!JJ32)</f>
        <v>#N/A</v>
      </c>
      <c r="JI14" s="39" t="e" cm="1">
        <f t="array" ref="JI14">_xlfn.IFS(AND($C$2='List(to hide)'!$B$4,'Table(related to graph)'!$C$3="Monthly"),KPI!JK28,AND($C$2='List(to hide)'!$B$4,'Table(related to graph)'!$C$3='List(to hide)'!$C$3),KPI!JK30,AND($C$2='List(to hide)'!$B$4,'Table(related to graph)'!$C$3='List(to hide)'!$C$4),KPI!JK32)</f>
        <v>#N/A</v>
      </c>
      <c r="JJ14" s="39" t="e" cm="1">
        <f t="array" ref="JJ14">_xlfn.IFS(AND($C$2='List(to hide)'!$B$4,'Table(related to graph)'!$C$3="Monthly"),KPI!JL28,AND($C$2='List(to hide)'!$B$4,'Table(related to graph)'!$C$3='List(to hide)'!$C$3),KPI!JL30,AND($C$2='List(to hide)'!$B$4,'Table(related to graph)'!$C$3='List(to hide)'!$C$4),KPI!JL32)</f>
        <v>#N/A</v>
      </c>
      <c r="JK14" s="39" t="e" cm="1">
        <f t="array" ref="JK14">_xlfn.IFS(AND($C$2='List(to hide)'!$B$4,'Table(related to graph)'!$C$3="Monthly"),KPI!JM28,AND($C$2='List(to hide)'!$B$4,'Table(related to graph)'!$C$3='List(to hide)'!$C$3),KPI!JM30,AND($C$2='List(to hide)'!$B$4,'Table(related to graph)'!$C$3='List(to hide)'!$C$4),KPI!JM32)</f>
        <v>#N/A</v>
      </c>
      <c r="JL14" s="39" t="e" cm="1">
        <f t="array" ref="JL14">_xlfn.IFS(AND($C$2='List(to hide)'!$B$4,'Table(related to graph)'!$C$3="Monthly"),KPI!JN28,AND($C$2='List(to hide)'!$B$4,'Table(related to graph)'!$C$3='List(to hide)'!$C$3),KPI!JN30,AND($C$2='List(to hide)'!$B$4,'Table(related to graph)'!$C$3='List(to hide)'!$C$4),KPI!JN32)</f>
        <v>#N/A</v>
      </c>
      <c r="JM14" s="39" t="e" cm="1">
        <f t="array" ref="JM14">_xlfn.IFS(AND($C$2='List(to hide)'!$B$4,'Table(related to graph)'!$C$3="Monthly"),KPI!JO28,AND($C$2='List(to hide)'!$B$4,'Table(related to graph)'!$C$3='List(to hide)'!$C$3),KPI!JO30,AND($C$2='List(to hide)'!$B$4,'Table(related to graph)'!$C$3='List(to hide)'!$C$4),KPI!JO32)</f>
        <v>#N/A</v>
      </c>
      <c r="JN14" s="39" t="e" cm="1">
        <f t="array" ref="JN14">_xlfn.IFS(AND($C$2='List(to hide)'!$B$4,'Table(related to graph)'!$C$3="Monthly"),KPI!JP28,AND($C$2='List(to hide)'!$B$4,'Table(related to graph)'!$C$3='List(to hide)'!$C$3),KPI!JP30,AND($C$2='List(to hide)'!$B$4,'Table(related to graph)'!$C$3='List(to hide)'!$C$4),KPI!JP32)</f>
        <v>#N/A</v>
      </c>
      <c r="JO14" s="39" t="e" cm="1">
        <f t="array" ref="JO14">_xlfn.IFS(AND($C$2='List(to hide)'!$B$4,'Table(related to graph)'!$C$3="Monthly"),KPI!JQ28,AND($C$2='List(to hide)'!$B$4,'Table(related to graph)'!$C$3='List(to hide)'!$C$3),KPI!JQ30,AND($C$2='List(to hide)'!$B$4,'Table(related to graph)'!$C$3='List(to hide)'!$C$4),KPI!JQ32)</f>
        <v>#N/A</v>
      </c>
      <c r="JP14" s="39" t="e" cm="1">
        <f t="array" ref="JP14">_xlfn.IFS(AND($C$2='List(to hide)'!$B$4,'Table(related to graph)'!$C$3="Monthly"),KPI!JR28,AND($C$2='List(to hide)'!$B$4,'Table(related to graph)'!$C$3='List(to hide)'!$C$3),KPI!JR30,AND($C$2='List(to hide)'!$B$4,'Table(related to graph)'!$C$3='List(to hide)'!$C$4),KPI!JR32)</f>
        <v>#N/A</v>
      </c>
      <c r="JQ14" s="39" t="e" cm="1">
        <f t="array" ref="JQ14">_xlfn.IFS(AND($C$2='List(to hide)'!$B$4,'Table(related to graph)'!$C$3="Monthly"),KPI!JS28,AND($C$2='List(to hide)'!$B$4,'Table(related to graph)'!$C$3='List(to hide)'!$C$3),KPI!JS30,AND($C$2='List(to hide)'!$B$4,'Table(related to graph)'!$C$3='List(to hide)'!$C$4),KPI!JS32)</f>
        <v>#N/A</v>
      </c>
      <c r="JR14" s="39" t="e" cm="1">
        <f t="array" ref="JR14">_xlfn.IFS(AND($C$2='List(to hide)'!$B$4,'Table(related to graph)'!$C$3="Monthly"),KPI!JT28,AND($C$2='List(to hide)'!$B$4,'Table(related to graph)'!$C$3='List(to hide)'!$C$3),KPI!JT30,AND($C$2='List(to hide)'!$B$4,'Table(related to graph)'!$C$3='List(to hide)'!$C$4),KPI!JT32)</f>
        <v>#N/A</v>
      </c>
      <c r="JS14" s="39" t="e" cm="1">
        <f t="array" ref="JS14">_xlfn.IFS(AND($C$2='List(to hide)'!$B$4,'Table(related to graph)'!$C$3="Monthly"),KPI!JU28,AND($C$2='List(to hide)'!$B$4,'Table(related to graph)'!$C$3='List(to hide)'!$C$3),KPI!JU30,AND($C$2='List(to hide)'!$B$4,'Table(related to graph)'!$C$3='List(to hide)'!$C$4),KPI!JU32)</f>
        <v>#N/A</v>
      </c>
      <c r="JT14" s="39" t="e" cm="1">
        <f t="array" ref="JT14">_xlfn.IFS(AND($C$2='List(to hide)'!$B$4,'Table(related to graph)'!$C$3="Monthly"),KPI!JV28,AND($C$2='List(to hide)'!$B$4,'Table(related to graph)'!$C$3='List(to hide)'!$C$3),KPI!JV30,AND($C$2='List(to hide)'!$B$4,'Table(related to graph)'!$C$3='List(to hide)'!$C$4),KPI!JV32)</f>
        <v>#N/A</v>
      </c>
      <c r="JU14" s="39" t="e" cm="1">
        <f t="array" ref="JU14">_xlfn.IFS(AND($C$2='List(to hide)'!$B$4,'Table(related to graph)'!$C$3="Monthly"),KPI!JW28,AND($C$2='List(to hide)'!$B$4,'Table(related to graph)'!$C$3='List(to hide)'!$C$3),KPI!JW30,AND($C$2='List(to hide)'!$B$4,'Table(related to graph)'!$C$3='List(to hide)'!$C$4),KPI!JW32)</f>
        <v>#N/A</v>
      </c>
      <c r="JV14" s="39" t="e" cm="1">
        <f t="array" ref="JV14">_xlfn.IFS(AND($C$2='List(to hide)'!$B$4,'Table(related to graph)'!$C$3="Monthly"),KPI!JX28,AND($C$2='List(to hide)'!$B$4,'Table(related to graph)'!$C$3='List(to hide)'!$C$3),KPI!JX30,AND($C$2='List(to hide)'!$B$4,'Table(related to graph)'!$C$3='List(to hide)'!$C$4),KPI!JX32)</f>
        <v>#N/A</v>
      </c>
      <c r="JW14" s="39" t="e" cm="1">
        <f t="array" ref="JW14">_xlfn.IFS(AND($C$2='List(to hide)'!$B$4,'Table(related to graph)'!$C$3="Monthly"),KPI!JY28,AND($C$2='List(to hide)'!$B$4,'Table(related to graph)'!$C$3='List(to hide)'!$C$3),KPI!JY30,AND($C$2='List(to hide)'!$B$4,'Table(related to graph)'!$C$3='List(to hide)'!$C$4),KPI!JY32)</f>
        <v>#N/A</v>
      </c>
      <c r="JX14" s="39" t="e" cm="1">
        <f t="array" ref="JX14">_xlfn.IFS(AND($C$2='List(to hide)'!$B$4,'Table(related to graph)'!$C$3="Monthly"),KPI!JZ28,AND($C$2='List(to hide)'!$B$4,'Table(related to graph)'!$C$3='List(to hide)'!$C$3),KPI!JZ30,AND($C$2='List(to hide)'!$B$4,'Table(related to graph)'!$C$3='List(to hide)'!$C$4),KPI!JZ32)</f>
        <v>#N/A</v>
      </c>
      <c r="JY14" s="39" t="e" cm="1">
        <f t="array" ref="JY14">_xlfn.IFS(AND($C$2='List(to hide)'!$B$4,'Table(related to graph)'!$C$3="Monthly"),KPI!KA28,AND($C$2='List(to hide)'!$B$4,'Table(related to graph)'!$C$3='List(to hide)'!$C$3),KPI!KA30,AND($C$2='List(to hide)'!$B$4,'Table(related to graph)'!$C$3='List(to hide)'!$C$4),KPI!KA32)</f>
        <v>#N/A</v>
      </c>
      <c r="JZ14" s="39" t="e" cm="1">
        <f t="array" ref="JZ14">_xlfn.IFS(AND($C$2='List(to hide)'!$B$4,'Table(related to graph)'!$C$3="Monthly"),KPI!KB28,AND($C$2='List(to hide)'!$B$4,'Table(related to graph)'!$C$3='List(to hide)'!$C$3),KPI!KB30,AND($C$2='List(to hide)'!$B$4,'Table(related to graph)'!$C$3='List(to hide)'!$C$4),KPI!KB32)</f>
        <v>#N/A</v>
      </c>
      <c r="KA14" s="39" t="e" cm="1">
        <f t="array" ref="KA14">_xlfn.IFS(AND($C$2='List(to hide)'!$B$4,'Table(related to graph)'!$C$3="Monthly"),KPI!KC28,AND($C$2='List(to hide)'!$B$4,'Table(related to graph)'!$C$3='List(to hide)'!$C$3),KPI!KC30,AND($C$2='List(to hide)'!$B$4,'Table(related to graph)'!$C$3='List(to hide)'!$C$4),KPI!KC32)</f>
        <v>#N/A</v>
      </c>
      <c r="KB14" s="39" t="e" cm="1">
        <f t="array" ref="KB14">_xlfn.IFS(AND($C$2='List(to hide)'!$B$4,'Table(related to graph)'!$C$3="Monthly"),KPI!KD28,AND($C$2='List(to hide)'!$B$4,'Table(related to graph)'!$C$3='List(to hide)'!$C$3),KPI!KD30,AND($C$2='List(to hide)'!$B$4,'Table(related to graph)'!$C$3='List(to hide)'!$C$4),KPI!KD32)</f>
        <v>#N/A</v>
      </c>
      <c r="KC14" s="39" t="e" cm="1">
        <f t="array" ref="KC14">_xlfn.IFS(AND($C$2='List(to hide)'!$B$4,'Table(related to graph)'!$C$3="Monthly"),KPI!KE28,AND($C$2='List(to hide)'!$B$4,'Table(related to graph)'!$C$3='List(to hide)'!$C$3),KPI!KE30,AND($C$2='List(to hide)'!$B$4,'Table(related to graph)'!$C$3='List(to hide)'!$C$4),KPI!KE32)</f>
        <v>#N/A</v>
      </c>
      <c r="KD14" s="39" t="e" cm="1">
        <f t="array" ref="KD14">_xlfn.IFS(AND($C$2='List(to hide)'!$B$4,'Table(related to graph)'!$C$3="Monthly"),KPI!KF28,AND($C$2='List(to hide)'!$B$4,'Table(related to graph)'!$C$3='List(to hide)'!$C$3),KPI!KF30,AND($C$2='List(to hide)'!$B$4,'Table(related to graph)'!$C$3='List(to hide)'!$C$4),KPI!KF32)</f>
        <v>#N/A</v>
      </c>
      <c r="KE14" s="39" t="e" cm="1">
        <f t="array" ref="KE14">_xlfn.IFS(AND($C$2='List(to hide)'!$B$4,'Table(related to graph)'!$C$3="Monthly"),KPI!KG28,AND($C$2='List(to hide)'!$B$4,'Table(related to graph)'!$C$3='List(to hide)'!$C$3),KPI!KG30,AND($C$2='List(to hide)'!$B$4,'Table(related to graph)'!$C$3='List(to hide)'!$C$4),KPI!KG32)</f>
        <v>#N/A</v>
      </c>
      <c r="KF14" s="39" t="e" cm="1">
        <f t="array" ref="KF14">_xlfn.IFS(AND($C$2='List(to hide)'!$B$4,'Table(related to graph)'!$C$3="Monthly"),KPI!KH28,AND($C$2='List(to hide)'!$B$4,'Table(related to graph)'!$C$3='List(to hide)'!$C$3),KPI!KH30,AND($C$2='List(to hide)'!$B$4,'Table(related to graph)'!$C$3='List(to hide)'!$C$4),KPI!KH32)</f>
        <v>#N/A</v>
      </c>
      <c r="KG14" s="39" t="e" cm="1">
        <f t="array" ref="KG14">_xlfn.IFS(AND($C$2='List(to hide)'!$B$4,'Table(related to graph)'!$C$3="Monthly"),KPI!KI28,AND($C$2='List(to hide)'!$B$4,'Table(related to graph)'!$C$3='List(to hide)'!$C$3),KPI!KI30,AND($C$2='List(to hide)'!$B$4,'Table(related to graph)'!$C$3='List(to hide)'!$C$4),KPI!KI32)</f>
        <v>#N/A</v>
      </c>
      <c r="KH14" s="39" t="e" cm="1">
        <f t="array" ref="KH14">_xlfn.IFS(AND($C$2='List(to hide)'!$B$4,'Table(related to graph)'!$C$3="Monthly"),KPI!KJ28,AND($C$2='List(to hide)'!$B$4,'Table(related to graph)'!$C$3='List(to hide)'!$C$3),KPI!KJ30,AND($C$2='List(to hide)'!$B$4,'Table(related to graph)'!$C$3='List(to hide)'!$C$4),KPI!KJ32)</f>
        <v>#N/A</v>
      </c>
      <c r="KI14" s="39" t="e" cm="1">
        <f t="array" ref="KI14">_xlfn.IFS(AND($C$2='List(to hide)'!$B$4,'Table(related to graph)'!$C$3="Monthly"),KPI!KK28,AND($C$2='List(to hide)'!$B$4,'Table(related to graph)'!$C$3='List(to hide)'!$C$3),KPI!KK30,AND($C$2='List(to hide)'!$B$4,'Table(related to graph)'!$C$3='List(to hide)'!$C$4),KPI!KK32)</f>
        <v>#N/A</v>
      </c>
      <c r="KJ14" s="39" t="e" cm="1">
        <f t="array" ref="KJ14">_xlfn.IFS(AND($C$2='List(to hide)'!$B$4,'Table(related to graph)'!$C$3="Monthly"),KPI!KL28,AND($C$2='List(to hide)'!$B$4,'Table(related to graph)'!$C$3='List(to hide)'!$C$3),KPI!KL30,AND($C$2='List(to hide)'!$B$4,'Table(related to graph)'!$C$3='List(to hide)'!$C$4),KPI!KL32)</f>
        <v>#N/A</v>
      </c>
      <c r="KK14" s="39" t="e" cm="1">
        <f t="array" ref="KK14">_xlfn.IFS(AND($C$2='List(to hide)'!$B$4,'Table(related to graph)'!$C$3="Monthly"),KPI!KM28,AND($C$2='List(to hide)'!$B$4,'Table(related to graph)'!$C$3='List(to hide)'!$C$3),KPI!KM30,AND($C$2='List(to hide)'!$B$4,'Table(related to graph)'!$C$3='List(to hide)'!$C$4),KPI!KM32)</f>
        <v>#N/A</v>
      </c>
      <c r="KL14" s="39" t="e" cm="1">
        <f t="array" ref="KL14">_xlfn.IFS(AND($C$2='List(to hide)'!$B$4,'Table(related to graph)'!$C$3="Monthly"),KPI!KN28,AND($C$2='List(to hide)'!$B$4,'Table(related to graph)'!$C$3='List(to hide)'!$C$3),KPI!KN30,AND($C$2='List(to hide)'!$B$4,'Table(related to graph)'!$C$3='List(to hide)'!$C$4),KPI!KN32)</f>
        <v>#N/A</v>
      </c>
      <c r="KM14" s="39" t="e" cm="1">
        <f t="array" ref="KM14">_xlfn.IFS(AND($C$2='List(to hide)'!$B$4,'Table(related to graph)'!$C$3="Monthly"),KPI!KO28,AND($C$2='List(to hide)'!$B$4,'Table(related to graph)'!$C$3='List(to hide)'!$C$3),KPI!KO30,AND($C$2='List(to hide)'!$B$4,'Table(related to graph)'!$C$3='List(to hide)'!$C$4),KPI!KO32)</f>
        <v>#N/A</v>
      </c>
      <c r="KN14" s="39" t="e" cm="1">
        <f t="array" ref="KN14">_xlfn.IFS(AND($C$2='List(to hide)'!$B$4,'Table(related to graph)'!$C$3="Monthly"),KPI!KP28,AND($C$2='List(to hide)'!$B$4,'Table(related to graph)'!$C$3='List(to hide)'!$C$3),KPI!KP30,AND($C$2='List(to hide)'!$B$4,'Table(related to graph)'!$C$3='List(to hide)'!$C$4),KPI!KP32)</f>
        <v>#N/A</v>
      </c>
      <c r="KO14" s="39" t="e" cm="1">
        <f t="array" ref="KO14">_xlfn.IFS(AND($C$2='List(to hide)'!$B$4,'Table(related to graph)'!$C$3="Monthly"),KPI!KQ28,AND($C$2='List(to hide)'!$B$4,'Table(related to graph)'!$C$3='List(to hide)'!$C$3),KPI!KQ30,AND($C$2='List(to hide)'!$B$4,'Table(related to graph)'!$C$3='List(to hide)'!$C$4),KPI!KQ32)</f>
        <v>#N/A</v>
      </c>
      <c r="KP14" s="39" t="e" cm="1">
        <f t="array" ref="KP14">_xlfn.IFS(AND($C$2='List(to hide)'!$B$4,'Table(related to graph)'!$C$3="Monthly"),KPI!KR28,AND($C$2='List(to hide)'!$B$4,'Table(related to graph)'!$C$3='List(to hide)'!$C$3),KPI!KR30,AND($C$2='List(to hide)'!$B$4,'Table(related to graph)'!$C$3='List(to hide)'!$C$4),KPI!KR32)</f>
        <v>#N/A</v>
      </c>
      <c r="KQ14" s="39" t="e" cm="1">
        <f t="array" ref="KQ14">_xlfn.IFS(AND($C$2='List(to hide)'!$B$4,'Table(related to graph)'!$C$3="Monthly"),KPI!KS28,AND($C$2='List(to hide)'!$B$4,'Table(related to graph)'!$C$3='List(to hide)'!$C$3),KPI!KS30,AND($C$2='List(to hide)'!$B$4,'Table(related to graph)'!$C$3='List(to hide)'!$C$4),KPI!KS32)</f>
        <v>#N/A</v>
      </c>
      <c r="KR14" s="39" t="e" cm="1">
        <f t="array" ref="KR14">_xlfn.IFS(AND($C$2='List(to hide)'!$B$4,'Table(related to graph)'!$C$3="Monthly"),KPI!KT28,AND($C$2='List(to hide)'!$B$4,'Table(related to graph)'!$C$3='List(to hide)'!$C$3),KPI!KT30,AND($C$2='List(to hide)'!$B$4,'Table(related to graph)'!$C$3='List(to hide)'!$C$4),KPI!KT32)</f>
        <v>#N/A</v>
      </c>
      <c r="KS14" s="39" t="e" cm="1">
        <f t="array" ref="KS14">_xlfn.IFS(AND($C$2='List(to hide)'!$B$4,'Table(related to graph)'!$C$3="Monthly"),KPI!KU28,AND($C$2='List(to hide)'!$B$4,'Table(related to graph)'!$C$3='List(to hide)'!$C$3),KPI!KU30,AND($C$2='List(to hide)'!$B$4,'Table(related to graph)'!$C$3='List(to hide)'!$C$4),KPI!KU32)</f>
        <v>#N/A</v>
      </c>
      <c r="KT14" s="39" t="e" cm="1">
        <f t="array" ref="KT14">_xlfn.IFS(AND($C$2='List(to hide)'!$B$4,'Table(related to graph)'!$C$3="Monthly"),KPI!KV28,AND($C$2='List(to hide)'!$B$4,'Table(related to graph)'!$C$3='List(to hide)'!$C$3),KPI!KV30,AND($C$2='List(to hide)'!$B$4,'Table(related to graph)'!$C$3='List(to hide)'!$C$4),KPI!KV32)</f>
        <v>#N/A</v>
      </c>
      <c r="KU14" s="39" t="e" cm="1">
        <f t="array" ref="KU14">_xlfn.IFS(AND($C$2='List(to hide)'!$B$4,'Table(related to graph)'!$C$3="Monthly"),KPI!KW28,AND($C$2='List(to hide)'!$B$4,'Table(related to graph)'!$C$3='List(to hide)'!$C$3),KPI!KW30,AND($C$2='List(to hide)'!$B$4,'Table(related to graph)'!$C$3='List(to hide)'!$C$4),KPI!KW32)</f>
        <v>#N/A</v>
      </c>
      <c r="KV14" s="39" t="e" cm="1">
        <f t="array" ref="KV14">_xlfn.IFS(AND($C$2='List(to hide)'!$B$4,'Table(related to graph)'!$C$3="Monthly"),KPI!KX28,AND($C$2='List(to hide)'!$B$4,'Table(related to graph)'!$C$3='List(to hide)'!$C$3),KPI!KX30,AND($C$2='List(to hide)'!$B$4,'Table(related to graph)'!$C$3='List(to hide)'!$C$4),KPI!KX32)</f>
        <v>#N/A</v>
      </c>
      <c r="KW14" s="39" t="e" cm="1">
        <f t="array" ref="KW14">_xlfn.IFS(AND($C$2='List(to hide)'!$B$4,'Table(related to graph)'!$C$3="Monthly"),KPI!KY28,AND($C$2='List(to hide)'!$B$4,'Table(related to graph)'!$C$3='List(to hide)'!$C$3),KPI!KY30,AND($C$2='List(to hide)'!$B$4,'Table(related to graph)'!$C$3='List(to hide)'!$C$4),KPI!KY32)</f>
        <v>#N/A</v>
      </c>
      <c r="KX14" s="39" t="e" cm="1">
        <f t="array" ref="KX14">_xlfn.IFS(AND($C$2='List(to hide)'!$B$4,'Table(related to graph)'!$C$3="Monthly"),KPI!KZ28,AND($C$2='List(to hide)'!$B$4,'Table(related to graph)'!$C$3='List(to hide)'!$C$3),KPI!KZ30,AND($C$2='List(to hide)'!$B$4,'Table(related to graph)'!$C$3='List(to hide)'!$C$4),KPI!KZ32)</f>
        <v>#N/A</v>
      </c>
      <c r="KY14" s="39" t="e" cm="1">
        <f t="array" ref="KY14">_xlfn.IFS(AND($C$2='List(to hide)'!$B$4,'Table(related to graph)'!$C$3="Monthly"),KPI!LA28,AND($C$2='List(to hide)'!$B$4,'Table(related to graph)'!$C$3='List(to hide)'!$C$3),KPI!LA30,AND($C$2='List(to hide)'!$B$4,'Table(related to graph)'!$C$3='List(to hide)'!$C$4),KPI!LA32)</f>
        <v>#N/A</v>
      </c>
      <c r="KZ14" s="39" t="e" cm="1">
        <f t="array" ref="KZ14">_xlfn.IFS(AND($C$2='List(to hide)'!$B$4,'Table(related to graph)'!$C$3="Monthly"),KPI!LB28,AND($C$2='List(to hide)'!$B$4,'Table(related to graph)'!$C$3='List(to hide)'!$C$3),KPI!LB30,AND($C$2='List(to hide)'!$B$4,'Table(related to graph)'!$C$3='List(to hide)'!$C$4),KPI!LB32)</f>
        <v>#N/A</v>
      </c>
      <c r="LA14" s="39" t="e" cm="1">
        <f t="array" ref="LA14">_xlfn.IFS(AND($C$2='List(to hide)'!$B$4,'Table(related to graph)'!$C$3="Monthly"),KPI!LC28,AND($C$2='List(to hide)'!$B$4,'Table(related to graph)'!$C$3='List(to hide)'!$C$3),KPI!LC30,AND($C$2='List(to hide)'!$B$4,'Table(related to graph)'!$C$3='List(to hide)'!$C$4),KPI!LC32)</f>
        <v>#N/A</v>
      </c>
      <c r="LB14" s="39" t="e" cm="1">
        <f t="array" ref="LB14">_xlfn.IFS(AND($C$2='List(to hide)'!$B$4,'Table(related to graph)'!$C$3="Monthly"),KPI!LD28,AND($C$2='List(to hide)'!$B$4,'Table(related to graph)'!$C$3='List(to hide)'!$C$3),KPI!LD30,AND($C$2='List(to hide)'!$B$4,'Table(related to graph)'!$C$3='List(to hide)'!$C$4),KPI!LD32)</f>
        <v>#N/A</v>
      </c>
      <c r="LC14" s="39" t="e" cm="1">
        <f t="array" ref="LC14">_xlfn.IFS(AND($C$2='List(to hide)'!$B$4,'Table(related to graph)'!$C$3="Monthly"),KPI!LE28,AND($C$2='List(to hide)'!$B$4,'Table(related to graph)'!$C$3='List(to hide)'!$C$3),KPI!LE30,AND($C$2='List(to hide)'!$B$4,'Table(related to graph)'!$C$3='List(to hide)'!$C$4),KPI!LE32)</f>
        <v>#N/A</v>
      </c>
      <c r="LD14" s="39" t="e" cm="1">
        <f t="array" ref="LD14">_xlfn.IFS(AND($C$2='List(to hide)'!$B$4,'Table(related to graph)'!$C$3="Monthly"),KPI!LF28,AND($C$2='List(to hide)'!$B$4,'Table(related to graph)'!$C$3='List(to hide)'!$C$3),KPI!LF30,AND($C$2='List(to hide)'!$B$4,'Table(related to graph)'!$C$3='List(to hide)'!$C$4),KPI!LF32)</f>
        <v>#N/A</v>
      </c>
      <c r="LE14" s="39" t="e" cm="1">
        <f t="array" ref="LE14">_xlfn.IFS(AND($C$2='List(to hide)'!$B$4,'Table(related to graph)'!$C$3="Monthly"),KPI!LG28,AND($C$2='List(to hide)'!$B$4,'Table(related to graph)'!$C$3='List(to hide)'!$C$3),KPI!LG30,AND($C$2='List(to hide)'!$B$4,'Table(related to graph)'!$C$3='List(to hide)'!$C$4),KPI!LG32)</f>
        <v>#N/A</v>
      </c>
      <c r="LF14" s="39" t="e" cm="1">
        <f t="array" ref="LF14">_xlfn.IFS(AND($C$2='List(to hide)'!$B$4,'Table(related to graph)'!$C$3="Monthly"),KPI!LH28,AND($C$2='List(to hide)'!$B$4,'Table(related to graph)'!$C$3='List(to hide)'!$C$3),KPI!LH30,AND($C$2='List(to hide)'!$B$4,'Table(related to graph)'!$C$3='List(to hide)'!$C$4),KPI!LH32)</f>
        <v>#N/A</v>
      </c>
      <c r="LG14" s="39" t="e" cm="1">
        <f t="array" ref="LG14">_xlfn.IFS(AND($C$2='List(to hide)'!$B$4,'Table(related to graph)'!$C$3="Monthly"),KPI!LI28,AND($C$2='List(to hide)'!$B$4,'Table(related to graph)'!$C$3='List(to hide)'!$C$3),KPI!LI30,AND($C$2='List(to hide)'!$B$4,'Table(related to graph)'!$C$3='List(to hide)'!$C$4),KPI!LI32)</f>
        <v>#N/A</v>
      </c>
    </row>
    <row r="16" spans="1:337" s="64" customFormat="1" ht="3.75" customHeight="1"/>
    <row r="19" spans="1:10">
      <c r="A19" s="15" t="s">
        <v>57</v>
      </c>
      <c r="B19" s="15" t="str">
        <f>KPI!B15&amp;" - " &amp;KPI!C16</f>
        <v>Lost Time Incident Frequency - Monthly Rate</v>
      </c>
      <c r="C19" s="15" t="str">
        <f>KPI!C15&amp;" - " &amp;KPI!C18</f>
        <v>Monthly Number  - Cumulative Year Rate</v>
      </c>
      <c r="D19" s="15" t="str">
        <f>KPI!B15&amp;" - " &amp;KPI!C20</f>
        <v>Lost Time Incident Frequency - 12-Month Rolling rate</v>
      </c>
      <c r="E19" s="15" t="str">
        <f>KPI!B21&amp;" " &amp;KPI!C22</f>
        <v>Total Recordable Injury Monthly Rate</v>
      </c>
      <c r="F19" s="15" t="str">
        <f>KPI!B21&amp;" " &amp;KPI!C24</f>
        <v>Total Recordable Injury Cumulative Year Rate</v>
      </c>
      <c r="G19" s="15" t="str">
        <f>KPI!B21&amp;"  " &amp;KPI!C28</f>
        <v>Total Recordable Injury  Monthly Rate</v>
      </c>
      <c r="H19" s="15" t="str">
        <f>KPI!$B$27&amp;" " &amp;KPI!C28</f>
        <v>Safety Observation Frequency  Monthly Rate</v>
      </c>
      <c r="I19" s="15" t="str">
        <f>KPI!$B$27&amp;" " &amp;KPI!C30</f>
        <v>Safety Observation Frequency  Cumulative Year Rate</v>
      </c>
      <c r="J19" s="15" t="str">
        <f>KPI!$B$27&amp;" " &amp;KPI!C32</f>
        <v>Safety Observation Frequency  12-Month Rolling rate</v>
      </c>
    </row>
    <row r="20" spans="1:10">
      <c r="A20" s="98" cm="1">
        <f t="array" ref="A20:A80">TRANSPOSE(_xlfn.UNIQUE(KPI!$E$7:$LY$7,TRUE,TRUE))</f>
        <v>44105</v>
      </c>
      <c r="B20" s="88" t="str" cm="1">
        <f t="array" ref="B20:B352">TRANSPOSE(KPI!$E$16:$LY$16)</f>
        <v>-</v>
      </c>
      <c r="C20" s="88" t="str" cm="1">
        <f t="array" ref="C20:C352">TRANSPOSE(KPI!$E$18:$LY$18)</f>
        <v>-</v>
      </c>
      <c r="D20" s="15" t="str" cm="1">
        <f t="array" ref="D20:D352">TRANSPOSE(KPI!$E$20:$LY$20)</f>
        <v>-</v>
      </c>
      <c r="E20" s="15" t="str" cm="1">
        <f t="array" ref="E20:E352">TRANSPOSE(KPI!$E$22:$LY$22)</f>
        <v>-</v>
      </c>
      <c r="F20" s="15" t="str" cm="1">
        <f t="array" ref="F20:F352">TRANSPOSE(KPI!$E$24:$LY$24)</f>
        <v>-</v>
      </c>
      <c r="G20" s="15" t="str" cm="1">
        <f t="array" ref="G20:G352">TRANSPOSE(KPI!$E$26:$LY$26)</f>
        <v>-</v>
      </c>
      <c r="H20" s="15" t="str" cm="1">
        <f t="array" ref="H20:H352">TRANSPOSE(KPI!$E$28:$LY$28)</f>
        <v>-</v>
      </c>
      <c r="I20" s="15" t="str" cm="1">
        <f t="array" ref="I20:I352">TRANSPOSE(KPI!$E$30:$LY$30)</f>
        <v>-</v>
      </c>
      <c r="J20" s="15" t="str" cm="1">
        <f t="array" ref="J20:J352">TRANSPOSE(KPI!$E$32:$LY$32)</f>
        <v>-</v>
      </c>
    </row>
    <row r="21" spans="1:10">
      <c r="A21" s="98">
        <v>44136</v>
      </c>
      <c r="B21" s="88" t="str">
        <v>-</v>
      </c>
      <c r="C21" s="15" t="str">
        <v>-</v>
      </c>
      <c r="D21" s="15" t="str">
        <v>-</v>
      </c>
      <c r="E21" s="15" t="str">
        <v>-</v>
      </c>
      <c r="F21" s="15" t="str">
        <v>-</v>
      </c>
      <c r="G21" s="15" t="str">
        <v>-</v>
      </c>
      <c r="H21" s="15" t="str">
        <v>-</v>
      </c>
      <c r="I21" s="15" t="str">
        <v>-</v>
      </c>
      <c r="J21" s="15" t="str">
        <v>-</v>
      </c>
    </row>
    <row r="22" spans="1:10">
      <c r="A22" s="98">
        <v>44166</v>
      </c>
      <c r="B22" s="88" t="str">
        <v>-</v>
      </c>
      <c r="C22" s="15" t="str">
        <v>-</v>
      </c>
      <c r="D22" s="15" t="str">
        <v>-</v>
      </c>
      <c r="E22" s="15" t="str">
        <v>-</v>
      </c>
      <c r="F22" s="15" t="str">
        <v>-</v>
      </c>
      <c r="G22" s="15" t="str">
        <v>-</v>
      </c>
      <c r="H22" s="15" t="str">
        <v>-</v>
      </c>
      <c r="I22" s="15" t="str">
        <v>-</v>
      </c>
      <c r="J22" s="15" t="str">
        <v>-</v>
      </c>
    </row>
    <row r="23" spans="1:10">
      <c r="A23" s="98">
        <v>44197</v>
      </c>
      <c r="B23" s="88" t="str">
        <v>-</v>
      </c>
      <c r="C23" s="15" t="str">
        <v>-</v>
      </c>
      <c r="D23" s="15" t="str">
        <v>-</v>
      </c>
      <c r="E23" s="15" t="str">
        <v>-</v>
      </c>
      <c r="F23" s="15" t="str">
        <v>-</v>
      </c>
      <c r="G23" s="15" t="str">
        <v>-</v>
      </c>
      <c r="H23" s="15" t="str">
        <v>-</v>
      </c>
      <c r="I23" s="15" t="str">
        <v>-</v>
      </c>
      <c r="J23" s="15" t="str">
        <v>-</v>
      </c>
    </row>
    <row r="24" spans="1:10">
      <c r="A24" s="98">
        <v>44228</v>
      </c>
      <c r="B24" s="88" t="str">
        <v>-</v>
      </c>
      <c r="C24" s="15" t="str">
        <v>-</v>
      </c>
      <c r="D24" s="15" t="str">
        <v>-</v>
      </c>
      <c r="E24" s="15" t="str">
        <v>-</v>
      </c>
      <c r="F24" s="15" t="str">
        <v>-</v>
      </c>
      <c r="G24" s="15" t="str">
        <v>-</v>
      </c>
      <c r="H24" s="15" t="str">
        <v>-</v>
      </c>
      <c r="I24" s="15" t="str">
        <v>-</v>
      </c>
      <c r="J24" s="15" t="str">
        <v>-</v>
      </c>
    </row>
    <row r="25" spans="1:10">
      <c r="A25" s="98">
        <v>44256</v>
      </c>
      <c r="B25" s="88" t="str">
        <v>-</v>
      </c>
      <c r="C25" s="15" t="str">
        <v>-</v>
      </c>
      <c r="D25" s="15" t="str">
        <v>-</v>
      </c>
      <c r="E25" s="15" t="str">
        <v>-</v>
      </c>
      <c r="F25" s="15" t="str">
        <v>-</v>
      </c>
      <c r="G25" s="15" t="str">
        <v>-</v>
      </c>
      <c r="H25" s="15" t="str">
        <v>-</v>
      </c>
      <c r="I25" s="15" t="str">
        <v>-</v>
      </c>
      <c r="J25" s="15" t="str">
        <v>-</v>
      </c>
    </row>
    <row r="26" spans="1:10">
      <c r="A26" s="98">
        <v>44287</v>
      </c>
      <c r="B26" s="88" t="str">
        <v>-</v>
      </c>
      <c r="C26" s="15" t="str">
        <v>-</v>
      </c>
      <c r="D26" s="15" t="str">
        <v>-</v>
      </c>
      <c r="E26" s="15" t="str">
        <v>-</v>
      </c>
      <c r="F26" s="15" t="str">
        <v>-</v>
      </c>
      <c r="G26" s="15" t="str">
        <v>-</v>
      </c>
      <c r="H26" s="15" t="str">
        <v>-</v>
      </c>
      <c r="I26" s="15" t="str">
        <v>-</v>
      </c>
      <c r="J26" s="15" t="str">
        <v>-</v>
      </c>
    </row>
    <row r="27" spans="1:10">
      <c r="A27" s="98">
        <v>44317</v>
      </c>
      <c r="B27" s="88" t="str">
        <v>-</v>
      </c>
      <c r="C27" s="15" t="str">
        <v>-</v>
      </c>
      <c r="D27" s="15" t="str">
        <v>-</v>
      </c>
      <c r="E27" s="15" t="str">
        <v>-</v>
      </c>
      <c r="F27" s="15" t="str">
        <v>-</v>
      </c>
      <c r="G27" s="15" t="str">
        <v>-</v>
      </c>
      <c r="H27" s="15" t="str">
        <v>-</v>
      </c>
      <c r="I27" s="15" t="str">
        <v>-</v>
      </c>
      <c r="J27" s="15" t="str">
        <v>-</v>
      </c>
    </row>
    <row r="28" spans="1:10">
      <c r="A28" s="98">
        <v>44348</v>
      </c>
      <c r="B28" s="88" t="str">
        <v>-</v>
      </c>
      <c r="C28" s="15" t="str">
        <v>-</v>
      </c>
      <c r="D28" s="15" t="str">
        <v>-</v>
      </c>
      <c r="E28" s="15" t="str">
        <v>-</v>
      </c>
      <c r="F28" s="15" t="str">
        <v>-</v>
      </c>
      <c r="G28" s="15" t="str">
        <v>-</v>
      </c>
      <c r="H28" s="15" t="str">
        <v>-</v>
      </c>
      <c r="I28" s="15" t="str">
        <v>-</v>
      </c>
      <c r="J28" s="15" t="str">
        <v>-</v>
      </c>
    </row>
    <row r="29" spans="1:10">
      <c r="A29" s="98">
        <v>44378</v>
      </c>
      <c r="B29" s="88" t="str">
        <v>-</v>
      </c>
      <c r="C29" s="15" t="str">
        <v>-</v>
      </c>
      <c r="D29" s="15" t="str">
        <v>-</v>
      </c>
      <c r="E29" s="15" t="str">
        <v>-</v>
      </c>
      <c r="F29" s="15" t="str">
        <v>-</v>
      </c>
      <c r="G29" s="15" t="str">
        <v>-</v>
      </c>
      <c r="H29" s="15" t="str">
        <v>-</v>
      </c>
      <c r="I29" s="15" t="str">
        <v>-</v>
      </c>
      <c r="J29" s="15" t="str">
        <v>-</v>
      </c>
    </row>
    <row r="30" spans="1:10">
      <c r="A30" s="98">
        <v>44409</v>
      </c>
      <c r="B30" s="88" t="str">
        <v>-</v>
      </c>
      <c r="C30" s="15" t="str">
        <v>-</v>
      </c>
      <c r="D30" s="15" t="str">
        <v>-</v>
      </c>
      <c r="E30" s="15" t="str">
        <v>-</v>
      </c>
      <c r="F30" s="15" t="str">
        <v>-</v>
      </c>
      <c r="G30" s="15" t="str">
        <v>-</v>
      </c>
      <c r="H30" s="15" t="str">
        <v>-</v>
      </c>
      <c r="I30" s="15" t="str">
        <v>-</v>
      </c>
      <c r="J30" s="15" t="str">
        <v>-</v>
      </c>
    </row>
    <row r="31" spans="1:10">
      <c r="A31" s="98">
        <v>44440</v>
      </c>
      <c r="B31" s="88" t="str">
        <v>-</v>
      </c>
      <c r="C31" s="15" t="str">
        <v>-</v>
      </c>
      <c r="D31" s="15" t="str">
        <v>-</v>
      </c>
      <c r="E31" s="15" t="str">
        <v>-</v>
      </c>
      <c r="F31" s="15" t="str">
        <v>-</v>
      </c>
      <c r="G31" s="15" t="str">
        <v>-</v>
      </c>
      <c r="H31" s="15" t="str">
        <v>-</v>
      </c>
      <c r="I31" s="15" t="str">
        <v>-</v>
      </c>
      <c r="J31" s="15" t="str">
        <v>-</v>
      </c>
    </row>
    <row r="32" spans="1:10">
      <c r="A32" s="98">
        <v>44470</v>
      </c>
      <c r="B32" s="88" t="str">
        <v>-</v>
      </c>
      <c r="C32" s="15" t="str">
        <v>-</v>
      </c>
      <c r="D32" s="15" t="str">
        <v>-</v>
      </c>
      <c r="E32" s="15" t="str">
        <v>-</v>
      </c>
      <c r="F32" s="15" t="str">
        <v>-</v>
      </c>
      <c r="G32" s="15" t="str">
        <v>-</v>
      </c>
      <c r="H32" s="15" t="str">
        <v>-</v>
      </c>
      <c r="I32" s="15" t="str">
        <v>-</v>
      </c>
      <c r="J32" s="15" t="str">
        <v>-</v>
      </c>
    </row>
    <row r="33" spans="1:10">
      <c r="A33" s="98">
        <v>44501</v>
      </c>
      <c r="B33" s="88" t="str">
        <v>-</v>
      </c>
      <c r="C33" s="15" t="str">
        <v>-</v>
      </c>
      <c r="D33" s="15" t="str">
        <v>-</v>
      </c>
      <c r="E33" s="15" t="str">
        <v>-</v>
      </c>
      <c r="F33" s="15" t="str">
        <v>-</v>
      </c>
      <c r="G33" s="15" t="str">
        <v>-</v>
      </c>
      <c r="H33" s="15" t="str">
        <v>-</v>
      </c>
      <c r="I33" s="15" t="str">
        <v>-</v>
      </c>
      <c r="J33" s="15" t="str">
        <v>-</v>
      </c>
    </row>
    <row r="34" spans="1:10">
      <c r="A34" s="98">
        <v>44531</v>
      </c>
      <c r="B34" s="88" t="str">
        <v>-</v>
      </c>
      <c r="C34" s="15" t="str">
        <v>-</v>
      </c>
      <c r="D34" s="15" t="str">
        <v>-</v>
      </c>
      <c r="E34" s="15" t="str">
        <v>-</v>
      </c>
      <c r="F34" s="15" t="str">
        <v>-</v>
      </c>
      <c r="G34" s="15" t="str">
        <v>-</v>
      </c>
      <c r="H34" s="15" t="str">
        <v>-</v>
      </c>
      <c r="I34" s="15" t="str">
        <v>-</v>
      </c>
      <c r="J34" s="15" t="str">
        <v>-</v>
      </c>
    </row>
    <row r="35" spans="1:10">
      <c r="A35" s="98">
        <v>44562</v>
      </c>
      <c r="B35" s="88" t="str">
        <v>-</v>
      </c>
      <c r="C35" s="15" t="str">
        <v>-</v>
      </c>
      <c r="D35" s="15" t="str">
        <v>-</v>
      </c>
      <c r="E35" s="15" t="str">
        <v>-</v>
      </c>
      <c r="F35" s="15" t="str">
        <v>-</v>
      </c>
      <c r="G35" s="15" t="str">
        <v>-</v>
      </c>
      <c r="H35" s="15" t="str">
        <v>-</v>
      </c>
      <c r="I35" s="15" t="str">
        <v>-</v>
      </c>
      <c r="J35" s="15" t="str">
        <v>-</v>
      </c>
    </row>
    <row r="36" spans="1:10">
      <c r="A36" s="98">
        <v>44593</v>
      </c>
      <c r="B36" s="88" t="str">
        <v>-</v>
      </c>
      <c r="C36" s="15" t="str">
        <v>-</v>
      </c>
      <c r="D36" s="15" t="str">
        <v>-</v>
      </c>
      <c r="E36" s="15" t="str">
        <v>-</v>
      </c>
      <c r="F36" s="15" t="str">
        <v>-</v>
      </c>
      <c r="G36" s="15" t="str">
        <v>-</v>
      </c>
      <c r="H36" s="15" t="str">
        <v>-</v>
      </c>
      <c r="I36" s="15" t="str">
        <v>-</v>
      </c>
      <c r="J36" s="15" t="str">
        <v>-</v>
      </c>
    </row>
    <row r="37" spans="1:10">
      <c r="A37" s="98">
        <v>44621</v>
      </c>
      <c r="B37" s="88" t="str">
        <v>-</v>
      </c>
      <c r="C37" s="15" t="str">
        <v>-</v>
      </c>
      <c r="D37" s="15" t="str">
        <v>-</v>
      </c>
      <c r="E37" s="15" t="str">
        <v>-</v>
      </c>
      <c r="F37" s="15" t="str">
        <v>-</v>
      </c>
      <c r="G37" s="15" t="str">
        <v>-</v>
      </c>
      <c r="H37" s="15" t="str">
        <v>-</v>
      </c>
      <c r="I37" s="15" t="str">
        <v>-</v>
      </c>
      <c r="J37" s="15" t="str">
        <v>-</v>
      </c>
    </row>
    <row r="38" spans="1:10">
      <c r="A38" s="98">
        <v>44652</v>
      </c>
      <c r="B38" s="88" t="str">
        <v>-</v>
      </c>
      <c r="C38" s="15" t="str">
        <v>-</v>
      </c>
      <c r="D38" s="15" t="str">
        <v>-</v>
      </c>
      <c r="E38" s="15" t="str">
        <v>-</v>
      </c>
      <c r="F38" s="15" t="str">
        <v>-</v>
      </c>
      <c r="G38" s="15" t="str">
        <v>-</v>
      </c>
      <c r="H38" s="15" t="str">
        <v>-</v>
      </c>
      <c r="I38" s="15" t="str">
        <v>-</v>
      </c>
      <c r="J38" s="15" t="str">
        <v>-</v>
      </c>
    </row>
    <row r="39" spans="1:10">
      <c r="A39" s="98">
        <v>44682</v>
      </c>
      <c r="B39" s="88" t="str">
        <v>-</v>
      </c>
      <c r="C39" s="15" t="str">
        <v>-</v>
      </c>
      <c r="D39" s="15" t="str">
        <v>-</v>
      </c>
      <c r="E39" s="15" t="str">
        <v>-</v>
      </c>
      <c r="F39" s="15" t="str">
        <v>-</v>
      </c>
      <c r="G39" s="15" t="str">
        <v>-</v>
      </c>
      <c r="H39" s="15" t="str">
        <v>-</v>
      </c>
      <c r="I39" s="15" t="str">
        <v>-</v>
      </c>
      <c r="J39" s="15" t="str">
        <v>-</v>
      </c>
    </row>
    <row r="40" spans="1:10">
      <c r="A40" s="98">
        <v>44713</v>
      </c>
      <c r="B40" s="88" t="str">
        <v>-</v>
      </c>
      <c r="C40" s="15" t="str">
        <v>-</v>
      </c>
      <c r="D40" s="15" t="str">
        <v>-</v>
      </c>
      <c r="E40" s="15" t="str">
        <v>-</v>
      </c>
      <c r="F40" s="15" t="str">
        <v>-</v>
      </c>
      <c r="G40" s="15" t="str">
        <v>-</v>
      </c>
      <c r="H40" s="15" t="str">
        <v>-</v>
      </c>
      <c r="I40" s="15" t="str">
        <v>-</v>
      </c>
      <c r="J40" s="15" t="str">
        <v>-</v>
      </c>
    </row>
    <row r="41" spans="1:10">
      <c r="A41" s="98">
        <v>44743</v>
      </c>
      <c r="B41" s="88" t="str">
        <v>-</v>
      </c>
      <c r="C41" s="15" t="str">
        <v>-</v>
      </c>
      <c r="D41" s="15" t="str">
        <v>-</v>
      </c>
      <c r="E41" s="15" t="str">
        <v>-</v>
      </c>
      <c r="F41" s="15" t="str">
        <v>-</v>
      </c>
      <c r="G41" s="15" t="str">
        <v>-</v>
      </c>
      <c r="H41" s="15" t="str">
        <v>-</v>
      </c>
      <c r="I41" s="15" t="str">
        <v>-</v>
      </c>
      <c r="J41" s="15" t="str">
        <v>-</v>
      </c>
    </row>
    <row r="42" spans="1:10">
      <c r="A42" s="98">
        <v>44774</v>
      </c>
      <c r="B42" s="88" t="str">
        <v>-</v>
      </c>
      <c r="C42" s="15" t="str">
        <v>-</v>
      </c>
      <c r="D42" s="15" t="str">
        <v>-</v>
      </c>
      <c r="E42" s="15" t="str">
        <v>-</v>
      </c>
      <c r="F42" s="15" t="str">
        <v>-</v>
      </c>
      <c r="G42" s="15" t="str">
        <v>-</v>
      </c>
      <c r="H42" s="15" t="str">
        <v>-</v>
      </c>
      <c r="I42" s="15" t="str">
        <v>-</v>
      </c>
      <c r="J42" s="15" t="str">
        <v>-</v>
      </c>
    </row>
    <row r="43" spans="1:10">
      <c r="A43" s="98">
        <v>44805</v>
      </c>
      <c r="B43" s="88" t="str">
        <v>-</v>
      </c>
      <c r="C43" s="15" t="str">
        <v>-</v>
      </c>
      <c r="D43" s="15" t="str">
        <v>-</v>
      </c>
      <c r="E43" s="15" t="str">
        <v>-</v>
      </c>
      <c r="F43" s="15" t="str">
        <v>-</v>
      </c>
      <c r="G43" s="15" t="str">
        <v>-</v>
      </c>
      <c r="H43" s="15" t="str">
        <v>-</v>
      </c>
      <c r="I43" s="15" t="str">
        <v>-</v>
      </c>
      <c r="J43" s="15" t="str">
        <v>-</v>
      </c>
    </row>
    <row r="44" spans="1:10">
      <c r="A44" s="98">
        <v>44835</v>
      </c>
      <c r="B44" s="88" t="str">
        <v>-</v>
      </c>
      <c r="C44" s="15" t="str">
        <v>-</v>
      </c>
      <c r="D44" s="15" t="str">
        <v>-</v>
      </c>
      <c r="E44" s="15" t="str">
        <v>-</v>
      </c>
      <c r="F44" s="15" t="str">
        <v>-</v>
      </c>
      <c r="G44" s="15" t="str">
        <v>-</v>
      </c>
      <c r="H44" s="15" t="str">
        <v>-</v>
      </c>
      <c r="I44" s="15" t="str">
        <v>-</v>
      </c>
      <c r="J44" s="15" t="str">
        <v>-</v>
      </c>
    </row>
    <row r="45" spans="1:10">
      <c r="A45" s="98">
        <v>44866</v>
      </c>
      <c r="B45" s="88" t="str">
        <v>-</v>
      </c>
      <c r="C45" s="15" t="str">
        <v>-</v>
      </c>
      <c r="D45" s="15" t="str">
        <v>-</v>
      </c>
      <c r="E45" s="15" t="str">
        <v>-</v>
      </c>
      <c r="F45" s="15" t="str">
        <v>-</v>
      </c>
      <c r="G45" s="15" t="str">
        <v>-</v>
      </c>
      <c r="H45" s="15" t="str">
        <v>-</v>
      </c>
      <c r="I45" s="15" t="str">
        <v>-</v>
      </c>
      <c r="J45" s="15" t="str">
        <v>-</v>
      </c>
    </row>
    <row r="46" spans="1:10">
      <c r="A46" s="98">
        <v>44896</v>
      </c>
      <c r="B46" s="88" t="str">
        <v>-</v>
      </c>
      <c r="C46" s="15" t="str">
        <v>-</v>
      </c>
      <c r="D46" s="15" t="str">
        <v>-</v>
      </c>
      <c r="E46" s="15" t="str">
        <v>-</v>
      </c>
      <c r="F46" s="15" t="str">
        <v>-</v>
      </c>
      <c r="G46" s="15" t="str">
        <v>-</v>
      </c>
      <c r="H46" s="15" t="str">
        <v>-</v>
      </c>
      <c r="I46" s="15" t="str">
        <v>-</v>
      </c>
      <c r="J46" s="15" t="str">
        <v>-</v>
      </c>
    </row>
    <row r="47" spans="1:10">
      <c r="A47" s="98">
        <v>44927</v>
      </c>
      <c r="B47" s="88" t="str">
        <v>-</v>
      </c>
      <c r="C47" s="15" t="str">
        <v>-</v>
      </c>
      <c r="D47" s="15" t="str">
        <v>-</v>
      </c>
      <c r="E47" s="15" t="str">
        <v>-</v>
      </c>
      <c r="F47" s="15" t="str">
        <v>-</v>
      </c>
      <c r="G47" s="15" t="str">
        <v>-</v>
      </c>
      <c r="H47" s="15" t="str">
        <v>-</v>
      </c>
      <c r="I47" s="15" t="str">
        <v>-</v>
      </c>
      <c r="J47" s="15" t="str">
        <v>-</v>
      </c>
    </row>
    <row r="48" spans="1:10">
      <c r="A48" s="98">
        <v>44958</v>
      </c>
      <c r="B48" s="88" t="str">
        <v>-</v>
      </c>
      <c r="C48" s="15" t="str">
        <v>-</v>
      </c>
      <c r="D48" s="15" t="str">
        <v>-</v>
      </c>
      <c r="E48" s="15" t="str">
        <v>-</v>
      </c>
      <c r="F48" s="15" t="str">
        <v>-</v>
      </c>
      <c r="G48" s="15" t="str">
        <v>-</v>
      </c>
      <c r="H48" s="15" t="str">
        <v>-</v>
      </c>
      <c r="I48" s="15" t="str">
        <v>-</v>
      </c>
      <c r="J48" s="15" t="str">
        <v>-</v>
      </c>
    </row>
    <row r="49" spans="1:10">
      <c r="A49" s="98">
        <v>44986</v>
      </c>
      <c r="B49" s="88" t="str">
        <v>-</v>
      </c>
      <c r="C49" s="15" t="str">
        <v>-</v>
      </c>
      <c r="D49" s="15" t="str">
        <v>-</v>
      </c>
      <c r="E49" s="15" t="str">
        <v>-</v>
      </c>
      <c r="F49" s="15" t="str">
        <v>-</v>
      </c>
      <c r="G49" s="15" t="str">
        <v>-</v>
      </c>
      <c r="H49" s="15" t="str">
        <v>-</v>
      </c>
      <c r="I49" s="15" t="str">
        <v>-</v>
      </c>
      <c r="J49" s="15" t="str">
        <v>-</v>
      </c>
    </row>
    <row r="50" spans="1:10">
      <c r="A50" s="98">
        <v>45017</v>
      </c>
      <c r="B50" s="88" t="str">
        <v>-</v>
      </c>
      <c r="C50" s="15" t="str">
        <v>-</v>
      </c>
      <c r="D50" s="15" t="str">
        <v>-</v>
      </c>
      <c r="E50" s="15" t="str">
        <v>-</v>
      </c>
      <c r="F50" s="15" t="str">
        <v>-</v>
      </c>
      <c r="G50" s="15" t="str">
        <v>-</v>
      </c>
      <c r="H50" s="15" t="str">
        <v>-</v>
      </c>
      <c r="I50" s="15" t="str">
        <v>-</v>
      </c>
      <c r="J50" s="15" t="str">
        <v>-</v>
      </c>
    </row>
    <row r="51" spans="1:10">
      <c r="A51" s="98">
        <v>45047</v>
      </c>
      <c r="B51" s="88" t="str">
        <v>-</v>
      </c>
      <c r="C51" s="15" t="str">
        <v>-</v>
      </c>
      <c r="D51" s="15" t="str">
        <v>-</v>
      </c>
      <c r="E51" s="15" t="str">
        <v>-</v>
      </c>
      <c r="F51" s="15" t="str">
        <v>-</v>
      </c>
      <c r="G51" s="15" t="str">
        <v>-</v>
      </c>
      <c r="H51" s="15" t="str">
        <v>-</v>
      </c>
      <c r="I51" s="15" t="str">
        <v>-</v>
      </c>
      <c r="J51" s="15" t="str">
        <v>-</v>
      </c>
    </row>
    <row r="52" spans="1:10">
      <c r="A52" s="98">
        <v>45078</v>
      </c>
      <c r="B52" s="88" t="str">
        <v>-</v>
      </c>
      <c r="C52" s="15" t="str">
        <v>-</v>
      </c>
      <c r="D52" s="15" t="str">
        <v>-</v>
      </c>
      <c r="E52" s="15" t="str">
        <v>-</v>
      </c>
      <c r="F52" s="15" t="str">
        <v>-</v>
      </c>
      <c r="G52" s="15" t="str">
        <v>-</v>
      </c>
      <c r="H52" s="15" t="str">
        <v>-</v>
      </c>
      <c r="I52" s="15" t="str">
        <v>-</v>
      </c>
      <c r="J52" s="15" t="str">
        <v>-</v>
      </c>
    </row>
    <row r="53" spans="1:10">
      <c r="A53" s="98">
        <v>45108</v>
      </c>
      <c r="B53" s="88" t="str">
        <v>-</v>
      </c>
      <c r="C53" s="15" t="str">
        <v>-</v>
      </c>
      <c r="D53" s="15" t="str">
        <v>-</v>
      </c>
      <c r="E53" s="15" t="str">
        <v>-</v>
      </c>
      <c r="F53" s="15" t="str">
        <v>-</v>
      </c>
      <c r="G53" s="15" t="str">
        <v>-</v>
      </c>
      <c r="H53" s="15" t="str">
        <v>-</v>
      </c>
      <c r="I53" s="15" t="str">
        <v>-</v>
      </c>
      <c r="J53" s="15" t="str">
        <v>-</v>
      </c>
    </row>
    <row r="54" spans="1:10">
      <c r="A54" s="98">
        <v>45139</v>
      </c>
      <c r="B54" s="88" t="str">
        <v>-</v>
      </c>
      <c r="C54" s="15" t="str">
        <v>-</v>
      </c>
      <c r="D54" s="15" t="str">
        <v>-</v>
      </c>
      <c r="E54" s="15" t="str">
        <v>-</v>
      </c>
      <c r="F54" s="15" t="str">
        <v>-</v>
      </c>
      <c r="G54" s="15" t="str">
        <v>-</v>
      </c>
      <c r="H54" s="15" t="str">
        <v>-</v>
      </c>
      <c r="I54" s="15" t="str">
        <v>-</v>
      </c>
      <c r="J54" s="15" t="str">
        <v>-</v>
      </c>
    </row>
    <row r="55" spans="1:10">
      <c r="A55" s="98">
        <v>45170</v>
      </c>
      <c r="B55" s="88" t="str">
        <v>-</v>
      </c>
      <c r="C55" s="15" t="str">
        <v>-</v>
      </c>
      <c r="D55" s="15" t="str">
        <v>-</v>
      </c>
      <c r="E55" s="15" t="str">
        <v>-</v>
      </c>
      <c r="F55" s="15" t="str">
        <v>-</v>
      </c>
      <c r="G55" s="15" t="str">
        <v>-</v>
      </c>
      <c r="H55" s="15" t="str">
        <v>-</v>
      </c>
      <c r="I55" s="15" t="str">
        <v>-</v>
      </c>
      <c r="J55" s="15" t="str">
        <v>-</v>
      </c>
    </row>
    <row r="56" spans="1:10">
      <c r="A56" s="98">
        <v>45200</v>
      </c>
      <c r="B56" s="88" t="str">
        <v>-</v>
      </c>
      <c r="C56" s="15" t="str">
        <v>-</v>
      </c>
      <c r="D56" s="15" t="str">
        <v>-</v>
      </c>
      <c r="E56" s="15" t="str">
        <v>-</v>
      </c>
      <c r="F56" s="15" t="str">
        <v>-</v>
      </c>
      <c r="G56" s="15" t="str">
        <v>-</v>
      </c>
      <c r="H56" s="15" t="str">
        <v>-</v>
      </c>
      <c r="I56" s="15" t="str">
        <v>-</v>
      </c>
      <c r="J56" s="15" t="str">
        <v>-</v>
      </c>
    </row>
    <row r="57" spans="1:10">
      <c r="A57" s="98">
        <v>45231</v>
      </c>
      <c r="B57" s="88" t="str">
        <v>-</v>
      </c>
      <c r="C57" s="15" t="str">
        <v>-</v>
      </c>
      <c r="D57" s="15" t="str">
        <v>-</v>
      </c>
      <c r="E57" s="15" t="str">
        <v>-</v>
      </c>
      <c r="F57" s="15" t="str">
        <v>-</v>
      </c>
      <c r="G57" s="15" t="str">
        <v>-</v>
      </c>
      <c r="H57" s="15" t="str">
        <v>-</v>
      </c>
      <c r="I57" s="15" t="str">
        <v>-</v>
      </c>
      <c r="J57" s="15" t="str">
        <v>-</v>
      </c>
    </row>
    <row r="58" spans="1:10">
      <c r="A58" s="98">
        <v>45261</v>
      </c>
      <c r="B58" s="88" t="str">
        <v>-</v>
      </c>
      <c r="C58" s="15" t="str">
        <v>-</v>
      </c>
      <c r="D58" s="15" t="str">
        <v>-</v>
      </c>
      <c r="E58" s="15" t="str">
        <v>-</v>
      </c>
      <c r="F58" s="15" t="str">
        <v>-</v>
      </c>
      <c r="G58" s="15" t="str">
        <v>-</v>
      </c>
      <c r="H58" s="15" t="str">
        <v>-</v>
      </c>
      <c r="I58" s="15" t="str">
        <v>-</v>
      </c>
      <c r="J58" s="15" t="str">
        <v>-</v>
      </c>
    </row>
    <row r="59" spans="1:10">
      <c r="A59" s="98">
        <v>45292</v>
      </c>
      <c r="B59" s="88" t="str">
        <v>-</v>
      </c>
      <c r="C59" s="15" t="str">
        <v>-</v>
      </c>
      <c r="D59" s="15" t="str">
        <v>-</v>
      </c>
      <c r="E59" s="15" t="str">
        <v>-</v>
      </c>
      <c r="F59" s="15" t="str">
        <v>-</v>
      </c>
      <c r="G59" s="15" t="str">
        <v>-</v>
      </c>
      <c r="H59" s="15" t="str">
        <v>-</v>
      </c>
      <c r="I59" s="15" t="str">
        <v>-</v>
      </c>
      <c r="J59" s="15" t="str">
        <v>-</v>
      </c>
    </row>
    <row r="60" spans="1:10">
      <c r="A60" s="98">
        <v>45323</v>
      </c>
      <c r="B60" s="88" t="str">
        <v>-</v>
      </c>
      <c r="C60" s="15" t="str">
        <v>-</v>
      </c>
      <c r="D60" s="15" t="str">
        <v>-</v>
      </c>
      <c r="E60" s="15" t="str">
        <v>-</v>
      </c>
      <c r="F60" s="15" t="str">
        <v>-</v>
      </c>
      <c r="G60" s="15" t="str">
        <v>-</v>
      </c>
      <c r="H60" s="15" t="str">
        <v>-</v>
      </c>
      <c r="I60" s="15" t="str">
        <v>-</v>
      </c>
      <c r="J60" s="15" t="str">
        <v>-</v>
      </c>
    </row>
    <row r="61" spans="1:10">
      <c r="A61" s="98">
        <v>45352</v>
      </c>
      <c r="B61" s="88" t="str">
        <v>-</v>
      </c>
      <c r="C61" s="15" t="str">
        <v>-</v>
      </c>
      <c r="D61" s="15" t="str">
        <v>-</v>
      </c>
      <c r="E61" s="15" t="str">
        <v>-</v>
      </c>
      <c r="F61" s="15" t="str">
        <v>-</v>
      </c>
      <c r="G61" s="15" t="str">
        <v>-</v>
      </c>
      <c r="H61" s="15" t="str">
        <v>-</v>
      </c>
      <c r="I61" s="15" t="str">
        <v>-</v>
      </c>
      <c r="J61" s="15" t="str">
        <v>-</v>
      </c>
    </row>
    <row r="62" spans="1:10">
      <c r="A62" s="98">
        <v>45383</v>
      </c>
      <c r="B62" s="88" t="str">
        <v>-</v>
      </c>
      <c r="C62" s="15" t="str">
        <v>-</v>
      </c>
      <c r="D62" s="15" t="str">
        <v>-</v>
      </c>
      <c r="E62" s="15" t="str">
        <v>-</v>
      </c>
      <c r="F62" s="15" t="str">
        <v>-</v>
      </c>
      <c r="G62" s="15" t="str">
        <v>-</v>
      </c>
      <c r="H62" s="15" t="str">
        <v>-</v>
      </c>
      <c r="I62" s="15" t="str">
        <v>-</v>
      </c>
      <c r="J62" s="15" t="str">
        <v>-</v>
      </c>
    </row>
    <row r="63" spans="1:10">
      <c r="A63" s="98">
        <v>45413</v>
      </c>
      <c r="B63" s="88" t="str">
        <v>-</v>
      </c>
      <c r="C63" s="15" t="str">
        <v>-</v>
      </c>
      <c r="D63" s="15" t="str">
        <v>-</v>
      </c>
      <c r="E63" s="15" t="str">
        <v>-</v>
      </c>
      <c r="F63" s="15" t="str">
        <v>-</v>
      </c>
      <c r="G63" s="15" t="str">
        <v>-</v>
      </c>
      <c r="H63" s="15" t="str">
        <v>-</v>
      </c>
      <c r="I63" s="15" t="str">
        <v>-</v>
      </c>
      <c r="J63" s="15" t="str">
        <v>-</v>
      </c>
    </row>
    <row r="64" spans="1:10">
      <c r="A64" s="98">
        <v>45444</v>
      </c>
      <c r="B64" s="88" t="str">
        <v>-</v>
      </c>
      <c r="C64" s="15" t="str">
        <v>-</v>
      </c>
      <c r="D64" s="15" t="str">
        <v>-</v>
      </c>
      <c r="E64" s="15" t="str">
        <v>-</v>
      </c>
      <c r="F64" s="15" t="str">
        <v>-</v>
      </c>
      <c r="G64" s="15" t="str">
        <v>-</v>
      </c>
      <c r="H64" s="15" t="str">
        <v>-</v>
      </c>
      <c r="I64" s="15" t="str">
        <v>-</v>
      </c>
      <c r="J64" s="15" t="str">
        <v>-</v>
      </c>
    </row>
    <row r="65" spans="1:10">
      <c r="A65" s="98">
        <v>45474</v>
      </c>
      <c r="B65" s="88" t="str">
        <v>-</v>
      </c>
      <c r="C65" s="15" t="str">
        <v>-</v>
      </c>
      <c r="D65" s="15" t="str">
        <v>-</v>
      </c>
      <c r="E65" s="15" t="str">
        <v>-</v>
      </c>
      <c r="F65" s="15" t="str">
        <v>-</v>
      </c>
      <c r="G65" s="15" t="str">
        <v>-</v>
      </c>
      <c r="H65" s="15" t="str">
        <v>-</v>
      </c>
      <c r="I65" s="15" t="str">
        <v>-</v>
      </c>
      <c r="J65" s="15" t="str">
        <v>-</v>
      </c>
    </row>
    <row r="66" spans="1:10">
      <c r="A66" s="98">
        <v>45505</v>
      </c>
      <c r="B66" s="88" t="str">
        <v>-</v>
      </c>
      <c r="C66" s="15" t="str">
        <v>-</v>
      </c>
      <c r="D66" s="15" t="str">
        <v>-</v>
      </c>
      <c r="E66" s="15" t="str">
        <v>-</v>
      </c>
      <c r="F66" s="15" t="str">
        <v>-</v>
      </c>
      <c r="G66" s="15" t="str">
        <v>-</v>
      </c>
      <c r="H66" s="15" t="str">
        <v>-</v>
      </c>
      <c r="I66" s="15" t="str">
        <v>-</v>
      </c>
      <c r="J66" s="15" t="str">
        <v>-</v>
      </c>
    </row>
    <row r="67" spans="1:10">
      <c r="A67" s="98">
        <v>45536</v>
      </c>
      <c r="B67" s="88" t="str">
        <v>-</v>
      </c>
      <c r="C67" s="15" t="str">
        <v>-</v>
      </c>
      <c r="D67" s="15" t="str">
        <v>-</v>
      </c>
      <c r="E67" s="15" t="str">
        <v>-</v>
      </c>
      <c r="F67" s="15" t="str">
        <v>-</v>
      </c>
      <c r="G67" s="15" t="str">
        <v>-</v>
      </c>
      <c r="H67" s="15" t="str">
        <v>-</v>
      </c>
      <c r="I67" s="15" t="str">
        <v>-</v>
      </c>
      <c r="J67" s="15" t="str">
        <v>-</v>
      </c>
    </row>
    <row r="68" spans="1:10">
      <c r="A68" s="98">
        <v>45566</v>
      </c>
      <c r="B68" s="88" t="str">
        <v>-</v>
      </c>
      <c r="C68" s="15" t="str">
        <v>-</v>
      </c>
      <c r="D68" s="15" t="str">
        <v>-</v>
      </c>
      <c r="E68" s="15" t="str">
        <v>-</v>
      </c>
      <c r="F68" s="15" t="str">
        <v>-</v>
      </c>
      <c r="G68" s="15" t="str">
        <v>-</v>
      </c>
      <c r="H68" s="15" t="str">
        <v>-</v>
      </c>
      <c r="I68" s="15" t="str">
        <v>-</v>
      </c>
      <c r="J68" s="15" t="str">
        <v>-</v>
      </c>
    </row>
    <row r="69" spans="1:10">
      <c r="A69" s="98">
        <v>45597</v>
      </c>
      <c r="B69" s="88" t="str">
        <v>-</v>
      </c>
      <c r="C69" s="15" t="str">
        <v>-</v>
      </c>
      <c r="D69" s="15" t="str">
        <v>-</v>
      </c>
      <c r="E69" s="15" t="str">
        <v>-</v>
      </c>
      <c r="F69" s="15" t="str">
        <v>-</v>
      </c>
      <c r="G69" s="15" t="str">
        <v>-</v>
      </c>
      <c r="H69" s="15" t="str">
        <v>-</v>
      </c>
      <c r="I69" s="15" t="str">
        <v>-</v>
      </c>
      <c r="J69" s="15" t="str">
        <v>-</v>
      </c>
    </row>
    <row r="70" spans="1:10">
      <c r="A70" s="98">
        <v>45627</v>
      </c>
      <c r="B70" s="88" t="str">
        <v>-</v>
      </c>
      <c r="C70" s="15" t="str">
        <v>-</v>
      </c>
      <c r="D70" s="15" t="str">
        <v>-</v>
      </c>
      <c r="E70" s="15" t="str">
        <v>-</v>
      </c>
      <c r="F70" s="15" t="str">
        <v>-</v>
      </c>
      <c r="G70" s="15" t="str">
        <v>-</v>
      </c>
      <c r="H70" s="15" t="str">
        <v>-</v>
      </c>
      <c r="I70" s="15" t="str">
        <v>-</v>
      </c>
      <c r="J70" s="15" t="str">
        <v>-</v>
      </c>
    </row>
    <row r="71" spans="1:10">
      <c r="A71" s="98">
        <v>45658</v>
      </c>
      <c r="B71" s="88" t="str">
        <v>-</v>
      </c>
      <c r="C71" s="15" t="str">
        <v>-</v>
      </c>
      <c r="D71" s="15" t="str">
        <v>-</v>
      </c>
      <c r="E71" s="15" t="str">
        <v>-</v>
      </c>
      <c r="F71" s="15" t="str">
        <v>-</v>
      </c>
      <c r="G71" s="15" t="str">
        <v>-</v>
      </c>
      <c r="H71" s="15" t="str">
        <v>-</v>
      </c>
      <c r="I71" s="15" t="str">
        <v>-</v>
      </c>
      <c r="J71" s="15" t="str">
        <v>-</v>
      </c>
    </row>
    <row r="72" spans="1:10">
      <c r="A72" s="98">
        <v>45689</v>
      </c>
      <c r="B72" s="88" t="str">
        <v>-</v>
      </c>
      <c r="C72" s="15" t="str">
        <v>-</v>
      </c>
      <c r="D72" s="15" t="str">
        <v>-</v>
      </c>
      <c r="E72" s="15" t="str">
        <v>-</v>
      </c>
      <c r="F72" s="15" t="str">
        <v>-</v>
      </c>
      <c r="G72" s="15" t="str">
        <v>-</v>
      </c>
      <c r="H72" s="15" t="str">
        <v>-</v>
      </c>
      <c r="I72" s="15" t="str">
        <v>-</v>
      </c>
      <c r="J72" s="15" t="str">
        <v>-</v>
      </c>
    </row>
    <row r="73" spans="1:10">
      <c r="A73" s="98">
        <v>45717</v>
      </c>
      <c r="B73" s="88" t="str">
        <v>-</v>
      </c>
      <c r="C73" s="15" t="str">
        <v>-</v>
      </c>
      <c r="D73" s="15" t="str">
        <v>-</v>
      </c>
      <c r="E73" s="15" t="str">
        <v>-</v>
      </c>
      <c r="F73" s="15" t="str">
        <v>-</v>
      </c>
      <c r="G73" s="15" t="str">
        <v>-</v>
      </c>
      <c r="H73" s="15" t="str">
        <v>-</v>
      </c>
      <c r="I73" s="15" t="str">
        <v>-</v>
      </c>
      <c r="J73" s="15" t="str">
        <v>-</v>
      </c>
    </row>
    <row r="74" spans="1:10">
      <c r="A74" s="98">
        <v>45748</v>
      </c>
      <c r="B74" s="88" t="str">
        <v>-</v>
      </c>
      <c r="C74" s="15" t="str">
        <v>-</v>
      </c>
      <c r="D74" s="15" t="str">
        <v>-</v>
      </c>
      <c r="E74" s="15" t="str">
        <v>-</v>
      </c>
      <c r="F74" s="15" t="str">
        <v>-</v>
      </c>
      <c r="G74" s="15" t="str">
        <v>-</v>
      </c>
      <c r="H74" s="15" t="str">
        <v>-</v>
      </c>
      <c r="I74" s="15" t="str">
        <v>-</v>
      </c>
      <c r="J74" s="15" t="str">
        <v>-</v>
      </c>
    </row>
    <row r="75" spans="1:10">
      <c r="A75" s="98">
        <v>45778</v>
      </c>
      <c r="B75" s="88" t="str">
        <v>-</v>
      </c>
      <c r="C75" s="15" t="str">
        <v>-</v>
      </c>
      <c r="D75" s="15" t="str">
        <v>-</v>
      </c>
      <c r="E75" s="15" t="str">
        <v>-</v>
      </c>
      <c r="F75" s="15" t="str">
        <v>-</v>
      </c>
      <c r="G75" s="15" t="str">
        <v>-</v>
      </c>
      <c r="H75" s="15" t="str">
        <v>-</v>
      </c>
      <c r="I75" s="15" t="str">
        <v>-</v>
      </c>
      <c r="J75" s="15" t="str">
        <v>-</v>
      </c>
    </row>
    <row r="76" spans="1:10">
      <c r="A76" s="98">
        <v>45809</v>
      </c>
      <c r="B76" s="88" t="str">
        <v>-</v>
      </c>
      <c r="C76" s="15" t="str">
        <v>-</v>
      </c>
      <c r="D76" s="15" t="str">
        <v>-</v>
      </c>
      <c r="E76" s="15" t="str">
        <v>-</v>
      </c>
      <c r="F76" s="15" t="str">
        <v>-</v>
      </c>
      <c r="G76" s="15" t="str">
        <v>-</v>
      </c>
      <c r="H76" s="15" t="str">
        <v>-</v>
      </c>
      <c r="I76" s="15" t="str">
        <v>-</v>
      </c>
      <c r="J76" s="15" t="str">
        <v>-</v>
      </c>
    </row>
    <row r="77" spans="1:10">
      <c r="A77" s="98">
        <v>45839</v>
      </c>
      <c r="B77" s="88" t="str">
        <v>-</v>
      </c>
      <c r="C77" s="15" t="str">
        <v>-</v>
      </c>
      <c r="D77" s="15" t="str">
        <v>-</v>
      </c>
      <c r="E77" s="15" t="str">
        <v>-</v>
      </c>
      <c r="F77" s="15" t="str">
        <v>-</v>
      </c>
      <c r="G77" s="15" t="str">
        <v>-</v>
      </c>
      <c r="H77" s="15" t="str">
        <v>-</v>
      </c>
      <c r="I77" s="15" t="str">
        <v>-</v>
      </c>
      <c r="J77" s="15" t="str">
        <v>-</v>
      </c>
    </row>
    <row r="78" spans="1:10">
      <c r="A78" s="98">
        <v>45870</v>
      </c>
      <c r="B78" s="88" t="str">
        <v>-</v>
      </c>
      <c r="C78" s="15" t="str">
        <v>-</v>
      </c>
      <c r="D78" s="15" t="str">
        <v>-</v>
      </c>
      <c r="E78" s="15" t="str">
        <v>-</v>
      </c>
      <c r="F78" s="15" t="str">
        <v>-</v>
      </c>
      <c r="G78" s="15" t="str">
        <v>-</v>
      </c>
      <c r="H78" s="15" t="str">
        <v>-</v>
      </c>
      <c r="I78" s="15" t="str">
        <v>-</v>
      </c>
      <c r="J78" s="15" t="str">
        <v>-</v>
      </c>
    </row>
    <row r="79" spans="1:10">
      <c r="A79" s="98">
        <v>45901</v>
      </c>
      <c r="B79" s="88" t="str">
        <v>-</v>
      </c>
      <c r="C79" s="15" t="str">
        <v>-</v>
      </c>
      <c r="D79" s="15" t="str">
        <v>-</v>
      </c>
      <c r="E79" s="15" t="str">
        <v>-</v>
      </c>
      <c r="F79" s="15" t="str">
        <v>-</v>
      </c>
      <c r="G79" s="15" t="str">
        <v>-</v>
      </c>
      <c r="H79" s="15" t="str">
        <v>-</v>
      </c>
      <c r="I79" s="15" t="str">
        <v>-</v>
      </c>
      <c r="J79" s="15" t="str">
        <v>-</v>
      </c>
    </row>
    <row r="80" spans="1:10">
      <c r="A80" s="98">
        <v>45931</v>
      </c>
      <c r="B80" s="88" t="str">
        <v>-</v>
      </c>
      <c r="C80" s="15" t="str">
        <v>-</v>
      </c>
      <c r="D80" s="15" t="str">
        <v>-</v>
      </c>
      <c r="E80" s="15" t="str">
        <v>-</v>
      </c>
      <c r="F80" s="15" t="str">
        <v>-</v>
      </c>
      <c r="G80" s="15" t="str">
        <v>-</v>
      </c>
      <c r="H80" s="15" t="str">
        <v>-</v>
      </c>
      <c r="I80" s="15" t="str">
        <v>-</v>
      </c>
      <c r="J80" s="15" t="str">
        <v>-</v>
      </c>
    </row>
    <row r="81" spans="1:10">
      <c r="A81" s="98"/>
      <c r="B81" s="88" t="str">
        <v>-</v>
      </c>
      <c r="C81" s="15" t="str">
        <v>-</v>
      </c>
      <c r="D81" s="15" t="str">
        <v>-</v>
      </c>
      <c r="E81" s="15" t="str">
        <v>-</v>
      </c>
      <c r="F81" s="15" t="str">
        <v>-</v>
      </c>
      <c r="G81" s="15" t="str">
        <v>-</v>
      </c>
      <c r="H81" s="15" t="str">
        <v>-</v>
      </c>
      <c r="I81" s="15" t="str">
        <v>-</v>
      </c>
      <c r="J81" s="15" t="str">
        <v>-</v>
      </c>
    </row>
    <row r="82" spans="1:10">
      <c r="A82" s="98"/>
      <c r="B82" s="88" t="str">
        <v>-</v>
      </c>
      <c r="C82" s="15" t="str">
        <v>-</v>
      </c>
      <c r="D82" s="15" t="str">
        <v>-</v>
      </c>
      <c r="E82" s="15" t="str">
        <v>-</v>
      </c>
      <c r="F82" s="15" t="str">
        <v>-</v>
      </c>
      <c r="G82" s="15" t="str">
        <v>-</v>
      </c>
      <c r="H82" s="15" t="str">
        <v>-</v>
      </c>
      <c r="I82" s="15" t="str">
        <v>-</v>
      </c>
      <c r="J82" s="15" t="str">
        <v>-</v>
      </c>
    </row>
    <row r="83" spans="1:10">
      <c r="A83" s="98"/>
      <c r="B83" s="88" t="str">
        <v>-</v>
      </c>
      <c r="C83" s="15" t="str">
        <v>-</v>
      </c>
      <c r="D83" s="15" t="str">
        <v>-</v>
      </c>
      <c r="E83" s="15" t="str">
        <v>-</v>
      </c>
      <c r="F83" s="15" t="str">
        <v>-</v>
      </c>
      <c r="G83" s="15" t="str">
        <v>-</v>
      </c>
      <c r="H83" s="15" t="str">
        <v>-</v>
      </c>
      <c r="I83" s="15" t="str">
        <v>-</v>
      </c>
      <c r="J83" s="15" t="str">
        <v>-</v>
      </c>
    </row>
    <row r="84" spans="1:10">
      <c r="A84" s="98"/>
      <c r="B84" s="88" t="str">
        <v>-</v>
      </c>
      <c r="C84" s="15" t="str">
        <v>-</v>
      </c>
      <c r="D84" s="15" t="str">
        <v>-</v>
      </c>
      <c r="E84" s="15" t="str">
        <v>-</v>
      </c>
      <c r="F84" s="15" t="str">
        <v>-</v>
      </c>
      <c r="G84" s="15" t="str">
        <v>-</v>
      </c>
      <c r="H84" s="15" t="str">
        <v>-</v>
      </c>
      <c r="I84" s="15" t="str">
        <v>-</v>
      </c>
      <c r="J84" s="15" t="str">
        <v>-</v>
      </c>
    </row>
    <row r="85" spans="1:10">
      <c r="A85" s="98"/>
      <c r="B85" s="88" t="str">
        <v>-</v>
      </c>
      <c r="C85" s="15" t="str">
        <v>-</v>
      </c>
      <c r="D85" s="15" t="str">
        <v>-</v>
      </c>
      <c r="E85" s="15" t="str">
        <v>-</v>
      </c>
      <c r="F85" s="15" t="str">
        <v>-</v>
      </c>
      <c r="G85" s="15" t="str">
        <v>-</v>
      </c>
      <c r="H85" s="15" t="str">
        <v>-</v>
      </c>
      <c r="I85" s="15" t="str">
        <v>-</v>
      </c>
      <c r="J85" s="15" t="str">
        <v>-</v>
      </c>
    </row>
    <row r="86" spans="1:10">
      <c r="A86" s="98"/>
      <c r="B86" s="88" t="str">
        <v>-</v>
      </c>
      <c r="C86" s="15" t="str">
        <v>-</v>
      </c>
      <c r="D86" s="15" t="str">
        <v>-</v>
      </c>
      <c r="E86" s="15" t="str">
        <v>-</v>
      </c>
      <c r="F86" s="15" t="str">
        <v>-</v>
      </c>
      <c r="G86" s="15" t="str">
        <v>-</v>
      </c>
      <c r="H86" s="15" t="str">
        <v>-</v>
      </c>
      <c r="I86" s="15" t="str">
        <v>-</v>
      </c>
      <c r="J86" s="15" t="str">
        <v>-</v>
      </c>
    </row>
    <row r="87" spans="1:10">
      <c r="A87" s="98"/>
      <c r="B87" s="88" t="str">
        <v>-</v>
      </c>
      <c r="C87" s="15" t="str">
        <v>-</v>
      </c>
      <c r="D87" s="15" t="str">
        <v>-</v>
      </c>
      <c r="E87" s="15" t="str">
        <v>-</v>
      </c>
      <c r="F87" s="15" t="str">
        <v>-</v>
      </c>
      <c r="G87" s="15" t="str">
        <v>-</v>
      </c>
      <c r="H87" s="15" t="str">
        <v>-</v>
      </c>
      <c r="I87" s="15" t="str">
        <v>-</v>
      </c>
      <c r="J87" s="15" t="str">
        <v>-</v>
      </c>
    </row>
    <row r="88" spans="1:10">
      <c r="A88" s="98"/>
      <c r="B88" s="88" t="str">
        <v>-</v>
      </c>
      <c r="C88" s="15" t="str">
        <v>-</v>
      </c>
      <c r="D88" s="15" t="str">
        <v>-</v>
      </c>
      <c r="E88" s="15" t="str">
        <v>-</v>
      </c>
      <c r="F88" s="15" t="str">
        <v>-</v>
      </c>
      <c r="G88" s="15" t="str">
        <v>-</v>
      </c>
      <c r="H88" s="15" t="str">
        <v>-</v>
      </c>
      <c r="I88" s="15" t="str">
        <v>-</v>
      </c>
      <c r="J88" s="15" t="str">
        <v>-</v>
      </c>
    </row>
    <row r="89" spans="1:10">
      <c r="A89" s="98"/>
      <c r="B89" s="88" t="str">
        <v>-</v>
      </c>
      <c r="C89" s="15" t="str">
        <v>-</v>
      </c>
      <c r="D89" s="15" t="str">
        <v>-</v>
      </c>
      <c r="E89" s="15" t="str">
        <v>-</v>
      </c>
      <c r="F89" s="15" t="str">
        <v>-</v>
      </c>
      <c r="G89" s="15" t="str">
        <v>-</v>
      </c>
      <c r="H89" s="15" t="str">
        <v>-</v>
      </c>
      <c r="I89" s="15" t="str">
        <v>-</v>
      </c>
      <c r="J89" s="15" t="str">
        <v>-</v>
      </c>
    </row>
    <row r="90" spans="1:10">
      <c r="A90" s="98"/>
      <c r="B90" s="88" t="str">
        <v>-</v>
      </c>
      <c r="C90" s="15" t="str">
        <v>-</v>
      </c>
      <c r="D90" s="15" t="str">
        <v>-</v>
      </c>
      <c r="E90" s="15" t="str">
        <v>-</v>
      </c>
      <c r="F90" s="15" t="str">
        <v>-</v>
      </c>
      <c r="G90" s="15" t="str">
        <v>-</v>
      </c>
      <c r="H90" s="15" t="str">
        <v>-</v>
      </c>
      <c r="I90" s="15" t="str">
        <v>-</v>
      </c>
      <c r="J90" s="15" t="str">
        <v>-</v>
      </c>
    </row>
    <row r="91" spans="1:10">
      <c r="A91" s="98"/>
      <c r="B91" s="88" t="str">
        <v>-</v>
      </c>
      <c r="C91" s="15" t="str">
        <v>-</v>
      </c>
      <c r="D91" s="15" t="str">
        <v>-</v>
      </c>
      <c r="E91" s="15" t="str">
        <v>-</v>
      </c>
      <c r="F91" s="15" t="str">
        <v>-</v>
      </c>
      <c r="G91" s="15" t="str">
        <v>-</v>
      </c>
      <c r="H91" s="15" t="str">
        <v>-</v>
      </c>
      <c r="I91" s="15" t="str">
        <v>-</v>
      </c>
      <c r="J91" s="15" t="str">
        <v>-</v>
      </c>
    </row>
    <row r="92" spans="1:10">
      <c r="A92" s="98"/>
      <c r="B92" s="88" t="str">
        <v>-</v>
      </c>
      <c r="C92" s="15" t="str">
        <v>-</v>
      </c>
      <c r="D92" s="15" t="str">
        <v>-</v>
      </c>
      <c r="E92" s="15" t="str">
        <v>-</v>
      </c>
      <c r="F92" s="15" t="str">
        <v>-</v>
      </c>
      <c r="G92" s="15" t="str">
        <v>-</v>
      </c>
      <c r="H92" s="15" t="str">
        <v>-</v>
      </c>
      <c r="I92" s="15" t="str">
        <v>-</v>
      </c>
      <c r="J92" s="15" t="str">
        <v>-</v>
      </c>
    </row>
    <row r="93" spans="1:10">
      <c r="A93" s="98"/>
      <c r="B93" s="88" t="str">
        <v>-</v>
      </c>
      <c r="C93" s="15" t="str">
        <v>-</v>
      </c>
      <c r="D93" s="15" t="str">
        <v>-</v>
      </c>
      <c r="E93" s="15" t="str">
        <v>-</v>
      </c>
      <c r="F93" s="15" t="str">
        <v>-</v>
      </c>
      <c r="G93" s="15" t="str">
        <v>-</v>
      </c>
      <c r="H93" s="15" t="str">
        <v>-</v>
      </c>
      <c r="I93" s="15" t="str">
        <v>-</v>
      </c>
      <c r="J93" s="15" t="str">
        <v>-</v>
      </c>
    </row>
    <row r="94" spans="1:10">
      <c r="A94" s="98"/>
      <c r="B94" s="88" t="str">
        <v>-</v>
      </c>
      <c r="C94" s="15" t="str">
        <v>-</v>
      </c>
      <c r="D94" s="15" t="str">
        <v>-</v>
      </c>
      <c r="E94" s="15" t="str">
        <v>-</v>
      </c>
      <c r="F94" s="15" t="str">
        <v>-</v>
      </c>
      <c r="G94" s="15" t="str">
        <v>-</v>
      </c>
      <c r="H94" s="15" t="str">
        <v>-</v>
      </c>
      <c r="I94" s="15" t="str">
        <v>-</v>
      </c>
      <c r="J94" s="15" t="str">
        <v>-</v>
      </c>
    </row>
    <row r="95" spans="1:10">
      <c r="A95" s="98"/>
      <c r="B95" s="88" t="str">
        <v>-</v>
      </c>
      <c r="C95" s="15" t="str">
        <v>-</v>
      </c>
      <c r="D95" s="15" t="str">
        <v>-</v>
      </c>
      <c r="E95" s="15" t="str">
        <v>-</v>
      </c>
      <c r="F95" s="15" t="str">
        <v>-</v>
      </c>
      <c r="G95" s="15" t="str">
        <v>-</v>
      </c>
      <c r="H95" s="15" t="str">
        <v>-</v>
      </c>
      <c r="I95" s="15" t="str">
        <v>-</v>
      </c>
      <c r="J95" s="15" t="str">
        <v>-</v>
      </c>
    </row>
    <row r="96" spans="1:10">
      <c r="A96" s="98"/>
      <c r="B96" s="88" t="str">
        <v>-</v>
      </c>
      <c r="C96" s="15" t="str">
        <v>-</v>
      </c>
      <c r="D96" s="15" t="str">
        <v>-</v>
      </c>
      <c r="E96" s="15" t="str">
        <v>-</v>
      </c>
      <c r="F96" s="15" t="str">
        <v>-</v>
      </c>
      <c r="G96" s="15" t="str">
        <v>-</v>
      </c>
      <c r="H96" s="15" t="str">
        <v>-</v>
      </c>
      <c r="I96" s="15" t="str">
        <v>-</v>
      </c>
      <c r="J96" s="15" t="str">
        <v>-</v>
      </c>
    </row>
    <row r="97" spans="1:10">
      <c r="A97" s="98"/>
      <c r="B97" s="88" t="str">
        <v>-</v>
      </c>
      <c r="C97" s="15" t="str">
        <v>-</v>
      </c>
      <c r="D97" s="15" t="str">
        <v>-</v>
      </c>
      <c r="E97" s="15" t="str">
        <v>-</v>
      </c>
      <c r="F97" s="15" t="str">
        <v>-</v>
      </c>
      <c r="G97" s="15" t="str">
        <v>-</v>
      </c>
      <c r="H97" s="15" t="str">
        <v>-</v>
      </c>
      <c r="I97" s="15" t="str">
        <v>-</v>
      </c>
      <c r="J97" s="15" t="str">
        <v>-</v>
      </c>
    </row>
    <row r="98" spans="1:10">
      <c r="A98" s="98"/>
      <c r="B98" s="88" t="str">
        <v>-</v>
      </c>
      <c r="C98" s="15" t="str">
        <v>-</v>
      </c>
      <c r="D98" s="15" t="str">
        <v>-</v>
      </c>
      <c r="E98" s="15" t="str">
        <v>-</v>
      </c>
      <c r="F98" s="15" t="str">
        <v>-</v>
      </c>
      <c r="G98" s="15" t="str">
        <v>-</v>
      </c>
      <c r="H98" s="15" t="str">
        <v>-</v>
      </c>
      <c r="I98" s="15" t="str">
        <v>-</v>
      </c>
      <c r="J98" s="15" t="str">
        <v>-</v>
      </c>
    </row>
    <row r="99" spans="1:10">
      <c r="A99" s="98"/>
      <c r="B99" s="88" t="str">
        <v>-</v>
      </c>
      <c r="C99" s="15" t="str">
        <v>-</v>
      </c>
      <c r="D99" s="15" t="str">
        <v>-</v>
      </c>
      <c r="E99" s="15" t="str">
        <v>-</v>
      </c>
      <c r="F99" s="15" t="str">
        <v>-</v>
      </c>
      <c r="G99" s="15" t="str">
        <v>-</v>
      </c>
      <c r="H99" s="15" t="str">
        <v>-</v>
      </c>
      <c r="I99" s="15" t="str">
        <v>-</v>
      </c>
      <c r="J99" s="15" t="str">
        <v>-</v>
      </c>
    </row>
    <row r="100" spans="1:10">
      <c r="A100" s="98"/>
      <c r="B100" s="88" t="str">
        <v>-</v>
      </c>
      <c r="C100" s="15" t="str">
        <v>-</v>
      </c>
      <c r="D100" s="15" t="str">
        <v>-</v>
      </c>
      <c r="E100" s="15" t="str">
        <v>-</v>
      </c>
      <c r="F100" s="15" t="str">
        <v>-</v>
      </c>
      <c r="G100" s="15" t="str">
        <v>-</v>
      </c>
      <c r="H100" s="15" t="str">
        <v>-</v>
      </c>
      <c r="I100" s="15" t="str">
        <v>-</v>
      </c>
      <c r="J100" s="15" t="str">
        <v>-</v>
      </c>
    </row>
    <row r="101" spans="1:10">
      <c r="A101" s="98"/>
      <c r="B101" s="88" t="str">
        <v>-</v>
      </c>
      <c r="C101" s="15" t="str">
        <v>-</v>
      </c>
      <c r="D101" s="15" t="str">
        <v>-</v>
      </c>
      <c r="E101" s="15" t="str">
        <v>-</v>
      </c>
      <c r="F101" s="15" t="str">
        <v>-</v>
      </c>
      <c r="G101" s="15" t="str">
        <v>-</v>
      </c>
      <c r="H101" s="15" t="str">
        <v>-</v>
      </c>
      <c r="I101" s="15" t="str">
        <v>-</v>
      </c>
      <c r="J101" s="15" t="str">
        <v>-</v>
      </c>
    </row>
    <row r="102" spans="1:10">
      <c r="A102" s="98"/>
      <c r="B102" s="88" t="str">
        <v>-</v>
      </c>
      <c r="C102" s="15" t="str">
        <v>-</v>
      </c>
      <c r="D102" s="15" t="str">
        <v>-</v>
      </c>
      <c r="E102" s="15" t="str">
        <v>-</v>
      </c>
      <c r="F102" s="15" t="str">
        <v>-</v>
      </c>
      <c r="G102" s="15" t="str">
        <v>-</v>
      </c>
      <c r="H102" s="15" t="str">
        <v>-</v>
      </c>
      <c r="I102" s="15" t="str">
        <v>-</v>
      </c>
      <c r="J102" s="15" t="str">
        <v>-</v>
      </c>
    </row>
    <row r="103" spans="1:10">
      <c r="A103" s="98"/>
      <c r="B103" s="88" t="str">
        <v>-</v>
      </c>
      <c r="C103" s="15" t="str">
        <v>-</v>
      </c>
      <c r="D103" s="15" t="str">
        <v>-</v>
      </c>
      <c r="E103" s="15" t="str">
        <v>-</v>
      </c>
      <c r="F103" s="15" t="str">
        <v>-</v>
      </c>
      <c r="G103" s="15" t="str">
        <v>-</v>
      </c>
      <c r="H103" s="15" t="str">
        <v>-</v>
      </c>
      <c r="I103" s="15" t="str">
        <v>-</v>
      </c>
      <c r="J103" s="15" t="str">
        <v>-</v>
      </c>
    </row>
    <row r="104" spans="1:10">
      <c r="A104" s="98"/>
      <c r="B104" s="88" t="str">
        <v>-</v>
      </c>
      <c r="C104" s="15" t="str">
        <v>-</v>
      </c>
      <c r="D104" s="15" t="str">
        <v>-</v>
      </c>
      <c r="E104" s="15" t="str">
        <v>-</v>
      </c>
      <c r="F104" s="15" t="str">
        <v>-</v>
      </c>
      <c r="G104" s="15" t="str">
        <v>-</v>
      </c>
      <c r="H104" s="15" t="str">
        <v>-</v>
      </c>
      <c r="I104" s="15" t="str">
        <v>-</v>
      </c>
      <c r="J104" s="15" t="str">
        <v>-</v>
      </c>
    </row>
    <row r="105" spans="1:10">
      <c r="A105" s="98"/>
      <c r="B105" s="88" t="str">
        <v>-</v>
      </c>
      <c r="C105" s="15" t="str">
        <v>-</v>
      </c>
      <c r="D105" s="15" t="str">
        <v>-</v>
      </c>
      <c r="E105" s="15" t="str">
        <v>-</v>
      </c>
      <c r="F105" s="15" t="str">
        <v>-</v>
      </c>
      <c r="G105" s="15" t="str">
        <v>-</v>
      </c>
      <c r="H105" s="15" t="str">
        <v>-</v>
      </c>
      <c r="I105" s="15" t="str">
        <v>-</v>
      </c>
      <c r="J105" s="15" t="str">
        <v>-</v>
      </c>
    </row>
    <row r="106" spans="1:10">
      <c r="A106" s="98"/>
      <c r="B106" s="88" t="str">
        <v>-</v>
      </c>
      <c r="C106" s="15" t="str">
        <v>-</v>
      </c>
      <c r="D106" s="15" t="str">
        <v>-</v>
      </c>
      <c r="E106" s="15" t="str">
        <v>-</v>
      </c>
      <c r="F106" s="15" t="str">
        <v>-</v>
      </c>
      <c r="G106" s="15" t="str">
        <v>-</v>
      </c>
      <c r="H106" s="15" t="str">
        <v>-</v>
      </c>
      <c r="I106" s="15" t="str">
        <v>-</v>
      </c>
      <c r="J106" s="15" t="str">
        <v>-</v>
      </c>
    </row>
    <row r="107" spans="1:10">
      <c r="A107" s="98"/>
      <c r="B107" s="88" t="str">
        <v>-</v>
      </c>
      <c r="C107" s="15" t="str">
        <v>-</v>
      </c>
      <c r="D107" s="15" t="str">
        <v>-</v>
      </c>
      <c r="E107" s="15" t="str">
        <v>-</v>
      </c>
      <c r="F107" s="15" t="str">
        <v>-</v>
      </c>
      <c r="G107" s="15" t="str">
        <v>-</v>
      </c>
      <c r="H107" s="15" t="str">
        <v>-</v>
      </c>
      <c r="I107" s="15" t="str">
        <v>-</v>
      </c>
      <c r="J107" s="15" t="str">
        <v>-</v>
      </c>
    </row>
    <row r="108" spans="1:10">
      <c r="A108" s="98"/>
      <c r="B108" s="88" t="str">
        <v>-</v>
      </c>
      <c r="C108" s="15" t="str">
        <v>-</v>
      </c>
      <c r="D108" s="15" t="str">
        <v>-</v>
      </c>
      <c r="E108" s="15" t="str">
        <v>-</v>
      </c>
      <c r="F108" s="15" t="str">
        <v>-</v>
      </c>
      <c r="G108" s="15" t="str">
        <v>-</v>
      </c>
      <c r="H108" s="15" t="str">
        <v>-</v>
      </c>
      <c r="I108" s="15" t="str">
        <v>-</v>
      </c>
      <c r="J108" s="15" t="str">
        <v>-</v>
      </c>
    </row>
    <row r="109" spans="1:10">
      <c r="A109" s="98"/>
      <c r="B109" s="88" t="str">
        <v>-</v>
      </c>
      <c r="C109" s="15" t="str">
        <v>-</v>
      </c>
      <c r="D109" s="15" t="str">
        <v>-</v>
      </c>
      <c r="E109" s="15" t="str">
        <v>-</v>
      </c>
      <c r="F109" s="15" t="str">
        <v>-</v>
      </c>
      <c r="G109" s="15" t="str">
        <v>-</v>
      </c>
      <c r="H109" s="15" t="str">
        <v>-</v>
      </c>
      <c r="I109" s="15" t="str">
        <v>-</v>
      </c>
      <c r="J109" s="15" t="str">
        <v>-</v>
      </c>
    </row>
    <row r="110" spans="1:10">
      <c r="A110" s="98"/>
      <c r="B110" s="88" t="str">
        <v>-</v>
      </c>
      <c r="C110" s="15" t="str">
        <v>-</v>
      </c>
      <c r="D110" s="15" t="str">
        <v>-</v>
      </c>
      <c r="E110" s="15" t="str">
        <v>-</v>
      </c>
      <c r="F110" s="15" t="str">
        <v>-</v>
      </c>
      <c r="G110" s="15" t="str">
        <v>-</v>
      </c>
      <c r="H110" s="15" t="str">
        <v>-</v>
      </c>
      <c r="I110" s="15" t="str">
        <v>-</v>
      </c>
      <c r="J110" s="15" t="str">
        <v>-</v>
      </c>
    </row>
    <row r="111" spans="1:10">
      <c r="A111" s="98"/>
      <c r="B111" s="88" t="str">
        <v>-</v>
      </c>
      <c r="C111" s="15" t="str">
        <v>-</v>
      </c>
      <c r="D111" s="15" t="str">
        <v>-</v>
      </c>
      <c r="E111" s="15" t="str">
        <v>-</v>
      </c>
      <c r="F111" s="15" t="str">
        <v>-</v>
      </c>
      <c r="G111" s="15" t="str">
        <v>-</v>
      </c>
      <c r="H111" s="15" t="str">
        <v>-</v>
      </c>
      <c r="I111" s="15" t="str">
        <v>-</v>
      </c>
      <c r="J111" s="15" t="str">
        <v>-</v>
      </c>
    </row>
    <row r="112" spans="1:10">
      <c r="A112" s="98"/>
      <c r="B112" s="88" t="str">
        <v>-</v>
      </c>
      <c r="C112" s="15" t="str">
        <v>-</v>
      </c>
      <c r="D112" s="15" t="str">
        <v>-</v>
      </c>
      <c r="E112" s="15" t="str">
        <v>-</v>
      </c>
      <c r="F112" s="15" t="str">
        <v>-</v>
      </c>
      <c r="G112" s="15" t="str">
        <v>-</v>
      </c>
      <c r="H112" s="15" t="str">
        <v>-</v>
      </c>
      <c r="I112" s="15" t="str">
        <v>-</v>
      </c>
      <c r="J112" s="15" t="str">
        <v>-</v>
      </c>
    </row>
    <row r="113" spans="1:10">
      <c r="A113" s="98"/>
      <c r="B113" s="88" t="str">
        <v>-</v>
      </c>
      <c r="C113" s="15" t="str">
        <v>-</v>
      </c>
      <c r="D113" s="15" t="str">
        <v>-</v>
      </c>
      <c r="E113" s="15" t="str">
        <v>-</v>
      </c>
      <c r="F113" s="15" t="str">
        <v>-</v>
      </c>
      <c r="G113" s="15" t="str">
        <v>-</v>
      </c>
      <c r="H113" s="15" t="str">
        <v>-</v>
      </c>
      <c r="I113" s="15" t="str">
        <v>-</v>
      </c>
      <c r="J113" s="15" t="str">
        <v>-</v>
      </c>
    </row>
    <row r="114" spans="1:10">
      <c r="A114" s="98"/>
      <c r="B114" s="88" t="str">
        <v>-</v>
      </c>
      <c r="C114" s="15" t="str">
        <v>-</v>
      </c>
      <c r="D114" s="15" t="str">
        <v>-</v>
      </c>
      <c r="E114" s="15" t="str">
        <v>-</v>
      </c>
      <c r="F114" s="15" t="str">
        <v>-</v>
      </c>
      <c r="G114" s="15" t="str">
        <v>-</v>
      </c>
      <c r="H114" s="15" t="str">
        <v>-</v>
      </c>
      <c r="I114" s="15" t="str">
        <v>-</v>
      </c>
      <c r="J114" s="15" t="str">
        <v>-</v>
      </c>
    </row>
    <row r="115" spans="1:10">
      <c r="A115" s="98"/>
      <c r="B115" s="88" t="str">
        <v>-</v>
      </c>
      <c r="C115" s="15" t="str">
        <v>-</v>
      </c>
      <c r="D115" s="15" t="str">
        <v>-</v>
      </c>
      <c r="E115" s="15" t="str">
        <v>-</v>
      </c>
      <c r="F115" s="15" t="str">
        <v>-</v>
      </c>
      <c r="G115" s="15" t="str">
        <v>-</v>
      </c>
      <c r="H115" s="15" t="str">
        <v>-</v>
      </c>
      <c r="I115" s="15" t="str">
        <v>-</v>
      </c>
      <c r="J115" s="15" t="str">
        <v>-</v>
      </c>
    </row>
    <row r="116" spans="1:10">
      <c r="A116" s="98"/>
      <c r="B116" s="88" t="str">
        <v>-</v>
      </c>
      <c r="C116" s="15" t="str">
        <v>-</v>
      </c>
      <c r="D116" s="15" t="str">
        <v>-</v>
      </c>
      <c r="E116" s="15" t="str">
        <v>-</v>
      </c>
      <c r="F116" s="15" t="str">
        <v>-</v>
      </c>
      <c r="G116" s="15" t="str">
        <v>-</v>
      </c>
      <c r="H116" s="15" t="str">
        <v>-</v>
      </c>
      <c r="I116" s="15" t="str">
        <v>-</v>
      </c>
      <c r="J116" s="15" t="str">
        <v>-</v>
      </c>
    </row>
    <row r="117" spans="1:10">
      <c r="A117" s="98"/>
      <c r="B117" s="88" t="str">
        <v>-</v>
      </c>
      <c r="C117" s="15" t="str">
        <v>-</v>
      </c>
      <c r="D117" s="15" t="str">
        <v>-</v>
      </c>
      <c r="E117" s="15" t="str">
        <v>-</v>
      </c>
      <c r="F117" s="15" t="str">
        <v>-</v>
      </c>
      <c r="G117" s="15" t="str">
        <v>-</v>
      </c>
      <c r="H117" s="15" t="str">
        <v>-</v>
      </c>
      <c r="I117" s="15" t="str">
        <v>-</v>
      </c>
      <c r="J117" s="15" t="str">
        <v>-</v>
      </c>
    </row>
    <row r="118" spans="1:10">
      <c r="A118" s="98"/>
      <c r="B118" s="88" t="str">
        <v>-</v>
      </c>
      <c r="C118" s="15" t="str">
        <v>-</v>
      </c>
      <c r="D118" s="15" t="str">
        <v>-</v>
      </c>
      <c r="E118" s="15" t="str">
        <v>-</v>
      </c>
      <c r="F118" s="15" t="str">
        <v>-</v>
      </c>
      <c r="G118" s="15" t="str">
        <v>-</v>
      </c>
      <c r="H118" s="15" t="str">
        <v>-</v>
      </c>
      <c r="I118" s="15" t="str">
        <v>-</v>
      </c>
      <c r="J118" s="15" t="str">
        <v>-</v>
      </c>
    </row>
    <row r="119" spans="1:10">
      <c r="A119" s="98"/>
      <c r="B119" s="88" t="str">
        <v>-</v>
      </c>
      <c r="C119" s="15" t="str">
        <v>-</v>
      </c>
      <c r="D119" s="15" t="str">
        <v>-</v>
      </c>
      <c r="E119" s="15" t="str">
        <v>-</v>
      </c>
      <c r="F119" s="15" t="str">
        <v>-</v>
      </c>
      <c r="G119" s="15" t="str">
        <v>-</v>
      </c>
      <c r="H119" s="15" t="str">
        <v>-</v>
      </c>
      <c r="I119" s="15" t="str">
        <v>-</v>
      </c>
      <c r="J119" s="15" t="str">
        <v>-</v>
      </c>
    </row>
    <row r="120" spans="1:10">
      <c r="A120" s="98"/>
      <c r="B120" s="88" t="str">
        <v>-</v>
      </c>
      <c r="C120" s="15" t="str">
        <v>-</v>
      </c>
      <c r="D120" s="15" t="str">
        <v>-</v>
      </c>
      <c r="E120" s="15" t="str">
        <v>-</v>
      </c>
      <c r="F120" s="15" t="str">
        <v>-</v>
      </c>
      <c r="G120" s="15" t="str">
        <v>-</v>
      </c>
      <c r="H120" s="15" t="str">
        <v>-</v>
      </c>
      <c r="I120" s="15" t="str">
        <v>-</v>
      </c>
      <c r="J120" s="15" t="str">
        <v>-</v>
      </c>
    </row>
    <row r="121" spans="1:10">
      <c r="A121" s="98"/>
      <c r="B121" s="88" t="str">
        <v>-</v>
      </c>
      <c r="C121" s="15" t="str">
        <v>-</v>
      </c>
      <c r="D121" s="15" t="str">
        <v>-</v>
      </c>
      <c r="E121" s="15" t="str">
        <v>-</v>
      </c>
      <c r="F121" s="15" t="str">
        <v>-</v>
      </c>
      <c r="G121" s="15" t="str">
        <v>-</v>
      </c>
      <c r="H121" s="15" t="str">
        <v>-</v>
      </c>
      <c r="I121" s="15" t="str">
        <v>-</v>
      </c>
      <c r="J121" s="15" t="str">
        <v>-</v>
      </c>
    </row>
    <row r="122" spans="1:10">
      <c r="A122" s="98"/>
      <c r="B122" s="88" t="str">
        <v>-</v>
      </c>
      <c r="C122" s="15" t="str">
        <v>-</v>
      </c>
      <c r="D122" s="15" t="str">
        <v>-</v>
      </c>
      <c r="E122" s="15" t="str">
        <v>-</v>
      </c>
      <c r="F122" s="15" t="str">
        <v>-</v>
      </c>
      <c r="G122" s="15" t="str">
        <v>-</v>
      </c>
      <c r="H122" s="15" t="str">
        <v>-</v>
      </c>
      <c r="I122" s="15" t="str">
        <v>-</v>
      </c>
      <c r="J122" s="15" t="str">
        <v>-</v>
      </c>
    </row>
    <row r="123" spans="1:10">
      <c r="A123" s="98"/>
      <c r="B123" s="88" t="str">
        <v>-</v>
      </c>
      <c r="C123" s="15" t="str">
        <v>-</v>
      </c>
      <c r="D123" s="15" t="str">
        <v>-</v>
      </c>
      <c r="E123" s="15" t="str">
        <v>-</v>
      </c>
      <c r="F123" s="15" t="str">
        <v>-</v>
      </c>
      <c r="G123" s="15" t="str">
        <v>-</v>
      </c>
      <c r="H123" s="15" t="str">
        <v>-</v>
      </c>
      <c r="I123" s="15" t="str">
        <v>-</v>
      </c>
      <c r="J123" s="15" t="str">
        <v>-</v>
      </c>
    </row>
    <row r="124" spans="1:10">
      <c r="A124" s="98"/>
      <c r="B124" s="88" t="str">
        <v>-</v>
      </c>
      <c r="C124" s="15" t="str">
        <v>-</v>
      </c>
      <c r="D124" s="15" t="str">
        <v>-</v>
      </c>
      <c r="E124" s="15" t="str">
        <v>-</v>
      </c>
      <c r="F124" s="15" t="str">
        <v>-</v>
      </c>
      <c r="G124" s="15" t="str">
        <v>-</v>
      </c>
      <c r="H124" s="15" t="str">
        <v>-</v>
      </c>
      <c r="I124" s="15" t="str">
        <v>-</v>
      </c>
      <c r="J124" s="15" t="str">
        <v>-</v>
      </c>
    </row>
    <row r="125" spans="1:10">
      <c r="A125" s="98"/>
      <c r="B125" s="88" t="str">
        <v>-</v>
      </c>
      <c r="C125" s="15" t="str">
        <v>-</v>
      </c>
      <c r="D125" s="15" t="str">
        <v>-</v>
      </c>
      <c r="E125" s="15" t="str">
        <v>-</v>
      </c>
      <c r="F125" s="15" t="str">
        <v>-</v>
      </c>
      <c r="G125" s="15" t="str">
        <v>-</v>
      </c>
      <c r="H125" s="15" t="str">
        <v>-</v>
      </c>
      <c r="I125" s="15" t="str">
        <v>-</v>
      </c>
      <c r="J125" s="15" t="str">
        <v>-</v>
      </c>
    </row>
    <row r="126" spans="1:10">
      <c r="A126" s="98"/>
      <c r="B126" s="88" t="str">
        <v>-</v>
      </c>
      <c r="C126" s="15" t="str">
        <v>-</v>
      </c>
      <c r="D126" s="15" t="str">
        <v>-</v>
      </c>
      <c r="E126" s="15" t="str">
        <v>-</v>
      </c>
      <c r="F126" s="15" t="str">
        <v>-</v>
      </c>
      <c r="G126" s="15" t="str">
        <v>-</v>
      </c>
      <c r="H126" s="15" t="str">
        <v>-</v>
      </c>
      <c r="I126" s="15" t="str">
        <v>-</v>
      </c>
      <c r="J126" s="15" t="str">
        <v>-</v>
      </c>
    </row>
    <row r="127" spans="1:10">
      <c r="A127" s="98"/>
      <c r="B127" s="88" t="str">
        <v>-</v>
      </c>
      <c r="C127" s="15" t="str">
        <v>-</v>
      </c>
      <c r="D127" s="15" t="str">
        <v>-</v>
      </c>
      <c r="E127" s="15" t="str">
        <v>-</v>
      </c>
      <c r="F127" s="15" t="str">
        <v>-</v>
      </c>
      <c r="G127" s="15" t="str">
        <v>-</v>
      </c>
      <c r="H127" s="15" t="str">
        <v>-</v>
      </c>
      <c r="I127" s="15" t="str">
        <v>-</v>
      </c>
      <c r="J127" s="15" t="str">
        <v>-</v>
      </c>
    </row>
    <row r="128" spans="1:10">
      <c r="A128" s="98"/>
      <c r="B128" s="88" t="str">
        <v>-</v>
      </c>
      <c r="C128" s="15" t="str">
        <v>-</v>
      </c>
      <c r="D128" s="15" t="str">
        <v>-</v>
      </c>
      <c r="E128" s="15" t="str">
        <v>-</v>
      </c>
      <c r="F128" s="15" t="str">
        <v>-</v>
      </c>
      <c r="G128" s="15" t="str">
        <v>-</v>
      </c>
      <c r="H128" s="15" t="str">
        <v>-</v>
      </c>
      <c r="I128" s="15" t="str">
        <v>-</v>
      </c>
      <c r="J128" s="15" t="str">
        <v>-</v>
      </c>
    </row>
    <row r="129" spans="1:10">
      <c r="A129" s="98"/>
      <c r="B129" s="88" t="str">
        <v>-</v>
      </c>
      <c r="C129" s="15" t="str">
        <v>-</v>
      </c>
      <c r="D129" s="15" t="str">
        <v>-</v>
      </c>
      <c r="E129" s="15" t="str">
        <v>-</v>
      </c>
      <c r="F129" s="15" t="str">
        <v>-</v>
      </c>
      <c r="G129" s="15" t="str">
        <v>-</v>
      </c>
      <c r="H129" s="15" t="str">
        <v>-</v>
      </c>
      <c r="I129" s="15" t="str">
        <v>-</v>
      </c>
      <c r="J129" s="15" t="str">
        <v>-</v>
      </c>
    </row>
    <row r="130" spans="1:10">
      <c r="A130" s="98"/>
      <c r="B130" s="88" t="str">
        <v>-</v>
      </c>
      <c r="C130" s="15" t="str">
        <v>-</v>
      </c>
      <c r="D130" s="15" t="str">
        <v>-</v>
      </c>
      <c r="E130" s="15" t="str">
        <v>-</v>
      </c>
      <c r="F130" s="15" t="str">
        <v>-</v>
      </c>
      <c r="G130" s="15" t="str">
        <v>-</v>
      </c>
      <c r="H130" s="15" t="str">
        <v>-</v>
      </c>
      <c r="I130" s="15" t="str">
        <v>-</v>
      </c>
      <c r="J130" s="15" t="str">
        <v>-</v>
      </c>
    </row>
    <row r="131" spans="1:10">
      <c r="A131" s="98"/>
      <c r="B131" s="88" t="str">
        <v>-</v>
      </c>
      <c r="C131" s="15" t="str">
        <v>-</v>
      </c>
      <c r="D131" s="15" t="str">
        <v>-</v>
      </c>
      <c r="E131" s="15" t="str">
        <v>-</v>
      </c>
      <c r="F131" s="15" t="str">
        <v>-</v>
      </c>
      <c r="G131" s="15" t="str">
        <v>-</v>
      </c>
      <c r="H131" s="15" t="str">
        <v>-</v>
      </c>
      <c r="I131" s="15" t="str">
        <v>-</v>
      </c>
      <c r="J131" s="15" t="str">
        <v>-</v>
      </c>
    </row>
    <row r="132" spans="1:10">
      <c r="A132" s="98"/>
      <c r="B132" s="88" t="str">
        <v>-</v>
      </c>
      <c r="C132" s="15" t="str">
        <v>-</v>
      </c>
      <c r="D132" s="15" t="str">
        <v>-</v>
      </c>
      <c r="E132" s="15" t="str">
        <v>-</v>
      </c>
      <c r="F132" s="15" t="str">
        <v>-</v>
      </c>
      <c r="G132" s="15" t="str">
        <v>-</v>
      </c>
      <c r="H132" s="15" t="str">
        <v>-</v>
      </c>
      <c r="I132" s="15" t="str">
        <v>-</v>
      </c>
      <c r="J132" s="15" t="str">
        <v>-</v>
      </c>
    </row>
    <row r="133" spans="1:10">
      <c r="A133" s="98"/>
      <c r="B133" s="88" t="str">
        <v>-</v>
      </c>
      <c r="C133" s="15" t="str">
        <v>-</v>
      </c>
      <c r="D133" s="15" t="str">
        <v>-</v>
      </c>
      <c r="E133" s="15" t="str">
        <v>-</v>
      </c>
      <c r="F133" s="15" t="str">
        <v>-</v>
      </c>
      <c r="G133" s="15" t="str">
        <v>-</v>
      </c>
      <c r="H133" s="15" t="str">
        <v>-</v>
      </c>
      <c r="I133" s="15" t="str">
        <v>-</v>
      </c>
      <c r="J133" s="15" t="str">
        <v>-</v>
      </c>
    </row>
    <row r="134" spans="1:10">
      <c r="A134" s="98"/>
      <c r="B134" s="88" t="str">
        <v>-</v>
      </c>
      <c r="C134" s="15" t="str">
        <v>-</v>
      </c>
      <c r="D134" s="15" t="str">
        <v>-</v>
      </c>
      <c r="E134" s="15" t="str">
        <v>-</v>
      </c>
      <c r="F134" s="15" t="str">
        <v>-</v>
      </c>
      <c r="G134" s="15" t="str">
        <v>-</v>
      </c>
      <c r="H134" s="15" t="str">
        <v>-</v>
      </c>
      <c r="I134" s="15" t="str">
        <v>-</v>
      </c>
      <c r="J134" s="15" t="str">
        <v>-</v>
      </c>
    </row>
    <row r="135" spans="1:10">
      <c r="A135" s="98"/>
      <c r="B135" s="88" t="str">
        <v>-</v>
      </c>
      <c r="C135" s="15" t="str">
        <v>-</v>
      </c>
      <c r="D135" s="15" t="str">
        <v>-</v>
      </c>
      <c r="E135" s="15" t="str">
        <v>-</v>
      </c>
      <c r="F135" s="15" t="str">
        <v>-</v>
      </c>
      <c r="G135" s="15" t="str">
        <v>-</v>
      </c>
      <c r="H135" s="15" t="str">
        <v>-</v>
      </c>
      <c r="I135" s="15" t="str">
        <v>-</v>
      </c>
      <c r="J135" s="15" t="str">
        <v>-</v>
      </c>
    </row>
    <row r="136" spans="1:10">
      <c r="A136" s="98"/>
      <c r="B136" s="88" t="str">
        <v>-</v>
      </c>
      <c r="C136" s="15" t="str">
        <v>-</v>
      </c>
      <c r="D136" s="15" t="str">
        <v>-</v>
      </c>
      <c r="E136" s="15" t="str">
        <v>-</v>
      </c>
      <c r="F136" s="15" t="str">
        <v>-</v>
      </c>
      <c r="G136" s="15" t="str">
        <v>-</v>
      </c>
      <c r="H136" s="15" t="str">
        <v>-</v>
      </c>
      <c r="I136" s="15" t="str">
        <v>-</v>
      </c>
      <c r="J136" s="15" t="str">
        <v>-</v>
      </c>
    </row>
    <row r="137" spans="1:10">
      <c r="A137" s="98"/>
      <c r="B137" s="88" t="str">
        <v>-</v>
      </c>
      <c r="C137" s="15" t="str">
        <v>-</v>
      </c>
      <c r="D137" s="15" t="str">
        <v>-</v>
      </c>
      <c r="E137" s="15" t="str">
        <v>-</v>
      </c>
      <c r="F137" s="15" t="str">
        <v>-</v>
      </c>
      <c r="G137" s="15" t="str">
        <v>-</v>
      </c>
      <c r="H137" s="15" t="str">
        <v>-</v>
      </c>
      <c r="I137" s="15" t="str">
        <v>-</v>
      </c>
      <c r="J137" s="15" t="str">
        <v>-</v>
      </c>
    </row>
    <row r="138" spans="1:10">
      <c r="A138" s="98"/>
      <c r="B138" s="88" t="str">
        <v>-</v>
      </c>
      <c r="C138" s="15" t="str">
        <v>-</v>
      </c>
      <c r="D138" s="15" t="str">
        <v>-</v>
      </c>
      <c r="E138" s="15" t="str">
        <v>-</v>
      </c>
      <c r="F138" s="15" t="str">
        <v>-</v>
      </c>
      <c r="G138" s="15" t="str">
        <v>-</v>
      </c>
      <c r="H138" s="15" t="str">
        <v>-</v>
      </c>
      <c r="I138" s="15" t="str">
        <v>-</v>
      </c>
      <c r="J138" s="15" t="str">
        <v>-</v>
      </c>
    </row>
    <row r="139" spans="1:10">
      <c r="A139" s="98"/>
      <c r="B139" s="88" t="str">
        <v>-</v>
      </c>
      <c r="C139" s="15" t="str">
        <v>-</v>
      </c>
      <c r="D139" s="15" t="str">
        <v>-</v>
      </c>
      <c r="E139" s="15" t="str">
        <v>-</v>
      </c>
      <c r="F139" s="15" t="str">
        <v>-</v>
      </c>
      <c r="G139" s="15" t="str">
        <v>-</v>
      </c>
      <c r="H139" s="15" t="str">
        <v>-</v>
      </c>
      <c r="I139" s="15" t="str">
        <v>-</v>
      </c>
      <c r="J139" s="15" t="str">
        <v>-</v>
      </c>
    </row>
    <row r="140" spans="1:10">
      <c r="A140" s="98"/>
      <c r="B140" s="88" t="str">
        <v>-</v>
      </c>
      <c r="C140" s="15" t="str">
        <v>-</v>
      </c>
      <c r="D140" s="15" t="str">
        <v>-</v>
      </c>
      <c r="E140" s="15" t="str">
        <v>-</v>
      </c>
      <c r="F140" s="15" t="str">
        <v>-</v>
      </c>
      <c r="G140" s="15" t="str">
        <v>-</v>
      </c>
      <c r="H140" s="15" t="str">
        <v>-</v>
      </c>
      <c r="I140" s="15" t="str">
        <v>-</v>
      </c>
      <c r="J140" s="15" t="str">
        <v>-</v>
      </c>
    </row>
    <row r="141" spans="1:10">
      <c r="A141" s="98"/>
      <c r="B141" s="88" t="str">
        <v>-</v>
      </c>
      <c r="C141" s="15" t="str">
        <v>-</v>
      </c>
      <c r="D141" s="15" t="str">
        <v>-</v>
      </c>
      <c r="E141" s="15" t="str">
        <v>-</v>
      </c>
      <c r="F141" s="15" t="str">
        <v>-</v>
      </c>
      <c r="G141" s="15" t="str">
        <v>-</v>
      </c>
      <c r="H141" s="15" t="str">
        <v>-</v>
      </c>
      <c r="I141" s="15" t="str">
        <v>-</v>
      </c>
      <c r="J141" s="15" t="str">
        <v>-</v>
      </c>
    </row>
    <row r="142" spans="1:10">
      <c r="A142" s="98"/>
      <c r="B142" s="88" t="str">
        <v>-</v>
      </c>
      <c r="C142" s="15" t="str">
        <v>-</v>
      </c>
      <c r="D142" s="15" t="str">
        <v>-</v>
      </c>
      <c r="E142" s="15" t="str">
        <v>-</v>
      </c>
      <c r="F142" s="15" t="str">
        <v>-</v>
      </c>
      <c r="G142" s="15" t="str">
        <v>-</v>
      </c>
      <c r="H142" s="15" t="str">
        <v>-</v>
      </c>
      <c r="I142" s="15" t="str">
        <v>-</v>
      </c>
      <c r="J142" s="15" t="str">
        <v>-</v>
      </c>
    </row>
    <row r="143" spans="1:10">
      <c r="A143" s="98"/>
      <c r="B143" s="88" t="str">
        <v>-</v>
      </c>
      <c r="C143" s="15" t="str">
        <v>-</v>
      </c>
      <c r="D143" s="15" t="str">
        <v>-</v>
      </c>
      <c r="E143" s="15" t="str">
        <v>-</v>
      </c>
      <c r="F143" s="15" t="str">
        <v>-</v>
      </c>
      <c r="G143" s="15" t="str">
        <v>-</v>
      </c>
      <c r="H143" s="15" t="str">
        <v>-</v>
      </c>
      <c r="I143" s="15" t="str">
        <v>-</v>
      </c>
      <c r="J143" s="15" t="str">
        <v>-</v>
      </c>
    </row>
    <row r="144" spans="1:10">
      <c r="A144" s="98"/>
      <c r="B144" s="88" t="str">
        <v>-</v>
      </c>
      <c r="C144" s="15" t="str">
        <v>-</v>
      </c>
      <c r="D144" s="15" t="str">
        <v>-</v>
      </c>
      <c r="E144" s="15" t="str">
        <v>-</v>
      </c>
      <c r="F144" s="15" t="str">
        <v>-</v>
      </c>
      <c r="G144" s="15" t="str">
        <v>-</v>
      </c>
      <c r="H144" s="15" t="str">
        <v>-</v>
      </c>
      <c r="I144" s="15" t="str">
        <v>-</v>
      </c>
      <c r="J144" s="15" t="str">
        <v>-</v>
      </c>
    </row>
    <row r="145" spans="1:10">
      <c r="A145" s="98"/>
      <c r="B145" s="88" t="str">
        <v>-</v>
      </c>
      <c r="C145" s="15" t="str">
        <v>-</v>
      </c>
      <c r="D145" s="15" t="str">
        <v>-</v>
      </c>
      <c r="E145" s="15" t="str">
        <v>-</v>
      </c>
      <c r="F145" s="15" t="str">
        <v>-</v>
      </c>
      <c r="G145" s="15" t="str">
        <v>-</v>
      </c>
      <c r="H145" s="15" t="str">
        <v>-</v>
      </c>
      <c r="I145" s="15" t="str">
        <v>-</v>
      </c>
      <c r="J145" s="15" t="str">
        <v>-</v>
      </c>
    </row>
    <row r="146" spans="1:10">
      <c r="A146" s="98"/>
      <c r="B146" s="88" t="str">
        <v>-</v>
      </c>
      <c r="C146" s="15" t="str">
        <v>-</v>
      </c>
      <c r="D146" s="15" t="str">
        <v>-</v>
      </c>
      <c r="E146" s="15" t="str">
        <v>-</v>
      </c>
      <c r="F146" s="15" t="str">
        <v>-</v>
      </c>
      <c r="G146" s="15" t="str">
        <v>-</v>
      </c>
      <c r="H146" s="15" t="str">
        <v>-</v>
      </c>
      <c r="I146" s="15" t="str">
        <v>-</v>
      </c>
      <c r="J146" s="15" t="str">
        <v>-</v>
      </c>
    </row>
    <row r="147" spans="1:10">
      <c r="A147" s="98"/>
      <c r="B147" s="88" t="str">
        <v>-</v>
      </c>
      <c r="C147" s="15" t="str">
        <v>-</v>
      </c>
      <c r="D147" s="15" t="str">
        <v>-</v>
      </c>
      <c r="E147" s="15" t="str">
        <v>-</v>
      </c>
      <c r="F147" s="15" t="str">
        <v>-</v>
      </c>
      <c r="G147" s="15" t="str">
        <v>-</v>
      </c>
      <c r="H147" s="15" t="str">
        <v>-</v>
      </c>
      <c r="I147" s="15" t="str">
        <v>-</v>
      </c>
      <c r="J147" s="15" t="str">
        <v>-</v>
      </c>
    </row>
    <row r="148" spans="1:10">
      <c r="A148" s="98"/>
      <c r="B148" s="88" t="str">
        <v>-</v>
      </c>
      <c r="C148" s="15" t="str">
        <v>-</v>
      </c>
      <c r="D148" s="15" t="str">
        <v>-</v>
      </c>
      <c r="E148" s="15" t="str">
        <v>-</v>
      </c>
      <c r="F148" s="15" t="str">
        <v>-</v>
      </c>
      <c r="G148" s="15" t="str">
        <v>-</v>
      </c>
      <c r="H148" s="15" t="str">
        <v>-</v>
      </c>
      <c r="I148" s="15" t="str">
        <v>-</v>
      </c>
      <c r="J148" s="15" t="str">
        <v>-</v>
      </c>
    </row>
    <row r="149" spans="1:10">
      <c r="A149" s="98"/>
      <c r="B149" s="88" t="str">
        <v>-</v>
      </c>
      <c r="C149" s="15" t="str">
        <v>-</v>
      </c>
      <c r="D149" s="15" t="str">
        <v>-</v>
      </c>
      <c r="E149" s="15" t="str">
        <v>-</v>
      </c>
      <c r="F149" s="15" t="str">
        <v>-</v>
      </c>
      <c r="G149" s="15" t="str">
        <v>-</v>
      </c>
      <c r="H149" s="15" t="str">
        <v>-</v>
      </c>
      <c r="I149" s="15" t="str">
        <v>-</v>
      </c>
      <c r="J149" s="15" t="str">
        <v>-</v>
      </c>
    </row>
    <row r="150" spans="1:10">
      <c r="A150" s="98"/>
      <c r="B150" s="88" t="str">
        <v>-</v>
      </c>
      <c r="C150" s="15" t="str">
        <v>-</v>
      </c>
      <c r="D150" s="15" t="str">
        <v>-</v>
      </c>
      <c r="E150" s="15" t="str">
        <v>-</v>
      </c>
      <c r="F150" s="15" t="str">
        <v>-</v>
      </c>
      <c r="G150" s="15" t="str">
        <v>-</v>
      </c>
      <c r="H150" s="15" t="str">
        <v>-</v>
      </c>
      <c r="I150" s="15" t="str">
        <v>-</v>
      </c>
      <c r="J150" s="15" t="str">
        <v>-</v>
      </c>
    </row>
    <row r="151" spans="1:10">
      <c r="A151" s="98"/>
      <c r="B151" s="88" t="str">
        <v>-</v>
      </c>
      <c r="C151" s="15" t="str">
        <v>-</v>
      </c>
      <c r="D151" s="15" t="str">
        <v>-</v>
      </c>
      <c r="E151" s="15" t="str">
        <v>-</v>
      </c>
      <c r="F151" s="15" t="str">
        <v>-</v>
      </c>
      <c r="G151" s="15" t="str">
        <v>-</v>
      </c>
      <c r="H151" s="15" t="str">
        <v>-</v>
      </c>
      <c r="I151" s="15" t="str">
        <v>-</v>
      </c>
      <c r="J151" s="15" t="str">
        <v>-</v>
      </c>
    </row>
    <row r="152" spans="1:10">
      <c r="A152" s="98"/>
      <c r="B152" s="88" t="str">
        <v>-</v>
      </c>
      <c r="C152" s="15" t="str">
        <v>-</v>
      </c>
      <c r="D152" s="15" t="str">
        <v>-</v>
      </c>
      <c r="E152" s="15" t="str">
        <v>-</v>
      </c>
      <c r="F152" s="15" t="str">
        <v>-</v>
      </c>
      <c r="G152" s="15" t="str">
        <v>-</v>
      </c>
      <c r="H152" s="15" t="str">
        <v>-</v>
      </c>
      <c r="I152" s="15" t="str">
        <v>-</v>
      </c>
      <c r="J152" s="15" t="str">
        <v>-</v>
      </c>
    </row>
    <row r="153" spans="1:10">
      <c r="A153" s="98"/>
      <c r="B153" s="88" t="str">
        <v>-</v>
      </c>
      <c r="C153" s="15" t="str">
        <v>-</v>
      </c>
      <c r="D153" s="15" t="str">
        <v>-</v>
      </c>
      <c r="E153" s="15" t="str">
        <v>-</v>
      </c>
      <c r="F153" s="15" t="str">
        <v>-</v>
      </c>
      <c r="G153" s="15" t="str">
        <v>-</v>
      </c>
      <c r="H153" s="15" t="str">
        <v>-</v>
      </c>
      <c r="I153" s="15" t="str">
        <v>-</v>
      </c>
      <c r="J153" s="15" t="str">
        <v>-</v>
      </c>
    </row>
    <row r="154" spans="1:10">
      <c r="A154" s="98"/>
      <c r="B154" s="88" t="str">
        <v>-</v>
      </c>
      <c r="C154" s="15" t="str">
        <v>-</v>
      </c>
      <c r="D154" s="15" t="str">
        <v>-</v>
      </c>
      <c r="E154" s="15" t="str">
        <v>-</v>
      </c>
      <c r="F154" s="15" t="str">
        <v>-</v>
      </c>
      <c r="G154" s="15" t="str">
        <v>-</v>
      </c>
      <c r="H154" s="15" t="str">
        <v>-</v>
      </c>
      <c r="I154" s="15" t="str">
        <v>-</v>
      </c>
      <c r="J154" s="15" t="str">
        <v>-</v>
      </c>
    </row>
    <row r="155" spans="1:10">
      <c r="A155" s="98"/>
      <c r="B155" s="88" t="str">
        <v>-</v>
      </c>
      <c r="C155" s="15" t="str">
        <v>-</v>
      </c>
      <c r="D155" s="15" t="str">
        <v>-</v>
      </c>
      <c r="E155" s="15" t="str">
        <v>-</v>
      </c>
      <c r="F155" s="15" t="str">
        <v>-</v>
      </c>
      <c r="G155" s="15" t="str">
        <v>-</v>
      </c>
      <c r="H155" s="15" t="str">
        <v>-</v>
      </c>
      <c r="I155" s="15" t="str">
        <v>-</v>
      </c>
      <c r="J155" s="15" t="str">
        <v>-</v>
      </c>
    </row>
    <row r="156" spans="1:10">
      <c r="A156" s="98"/>
      <c r="B156" s="88" t="str">
        <v>-</v>
      </c>
      <c r="C156" s="15" t="str">
        <v>-</v>
      </c>
      <c r="D156" s="15" t="str">
        <v>-</v>
      </c>
      <c r="E156" s="15" t="str">
        <v>-</v>
      </c>
      <c r="F156" s="15" t="str">
        <v>-</v>
      </c>
      <c r="G156" s="15" t="str">
        <v>-</v>
      </c>
      <c r="H156" s="15" t="str">
        <v>-</v>
      </c>
      <c r="I156" s="15" t="str">
        <v>-</v>
      </c>
      <c r="J156" s="15" t="str">
        <v>-</v>
      </c>
    </row>
    <row r="157" spans="1:10">
      <c r="A157" s="98"/>
      <c r="B157" s="88" t="str">
        <v>-</v>
      </c>
      <c r="C157" s="15" t="str">
        <v>-</v>
      </c>
      <c r="D157" s="15" t="str">
        <v>-</v>
      </c>
      <c r="E157" s="15" t="str">
        <v>-</v>
      </c>
      <c r="F157" s="15" t="str">
        <v>-</v>
      </c>
      <c r="G157" s="15" t="str">
        <v>-</v>
      </c>
      <c r="H157" s="15" t="str">
        <v>-</v>
      </c>
      <c r="I157" s="15" t="str">
        <v>-</v>
      </c>
      <c r="J157" s="15" t="str">
        <v>-</v>
      </c>
    </row>
    <row r="158" spans="1:10">
      <c r="A158" s="98"/>
      <c r="B158" s="88" t="str">
        <v>-</v>
      </c>
      <c r="C158" s="15" t="str">
        <v>-</v>
      </c>
      <c r="D158" s="15" t="str">
        <v>-</v>
      </c>
      <c r="E158" s="15" t="str">
        <v>-</v>
      </c>
      <c r="F158" s="15" t="str">
        <v>-</v>
      </c>
      <c r="G158" s="15" t="str">
        <v>-</v>
      </c>
      <c r="H158" s="15" t="str">
        <v>-</v>
      </c>
      <c r="I158" s="15" t="str">
        <v>-</v>
      </c>
      <c r="J158" s="15" t="str">
        <v>-</v>
      </c>
    </row>
    <row r="159" spans="1:10">
      <c r="A159" s="98"/>
      <c r="B159" s="88" t="str">
        <v>-</v>
      </c>
      <c r="C159" s="15" t="str">
        <v>-</v>
      </c>
      <c r="D159" s="15" t="str">
        <v>-</v>
      </c>
      <c r="E159" s="15" t="str">
        <v>-</v>
      </c>
      <c r="F159" s="15" t="str">
        <v>-</v>
      </c>
      <c r="G159" s="15" t="str">
        <v>-</v>
      </c>
      <c r="H159" s="15" t="str">
        <v>-</v>
      </c>
      <c r="I159" s="15" t="str">
        <v>-</v>
      </c>
      <c r="J159" s="15" t="str">
        <v>-</v>
      </c>
    </row>
    <row r="160" spans="1:10">
      <c r="A160" s="98"/>
      <c r="B160" s="88" t="str">
        <v>-</v>
      </c>
      <c r="C160" s="15" t="str">
        <v>-</v>
      </c>
      <c r="D160" s="15" t="str">
        <v>-</v>
      </c>
      <c r="E160" s="15" t="str">
        <v>-</v>
      </c>
      <c r="F160" s="15" t="str">
        <v>-</v>
      </c>
      <c r="G160" s="15" t="str">
        <v>-</v>
      </c>
      <c r="H160" s="15" t="str">
        <v>-</v>
      </c>
      <c r="I160" s="15" t="str">
        <v>-</v>
      </c>
      <c r="J160" s="15" t="str">
        <v>-</v>
      </c>
    </row>
    <row r="161" spans="1:10">
      <c r="A161" s="98"/>
      <c r="B161" s="88" t="str">
        <v>-</v>
      </c>
      <c r="C161" s="15" t="str">
        <v>-</v>
      </c>
      <c r="D161" s="15" t="str">
        <v>-</v>
      </c>
      <c r="E161" s="15" t="str">
        <v>-</v>
      </c>
      <c r="F161" s="15" t="str">
        <v>-</v>
      </c>
      <c r="G161" s="15" t="str">
        <v>-</v>
      </c>
      <c r="H161" s="15" t="str">
        <v>-</v>
      </c>
      <c r="I161" s="15" t="str">
        <v>-</v>
      </c>
      <c r="J161" s="15" t="str">
        <v>-</v>
      </c>
    </row>
    <row r="162" spans="1:10">
      <c r="A162" s="98"/>
      <c r="B162" s="88" t="str">
        <v>-</v>
      </c>
      <c r="C162" s="15" t="str">
        <v>-</v>
      </c>
      <c r="D162" s="15" t="str">
        <v>-</v>
      </c>
      <c r="E162" s="15" t="str">
        <v>-</v>
      </c>
      <c r="F162" s="15" t="str">
        <v>-</v>
      </c>
      <c r="G162" s="15" t="str">
        <v>-</v>
      </c>
      <c r="H162" s="15" t="str">
        <v>-</v>
      </c>
      <c r="I162" s="15" t="str">
        <v>-</v>
      </c>
      <c r="J162" s="15" t="str">
        <v>-</v>
      </c>
    </row>
    <row r="163" spans="1:10">
      <c r="A163" s="98"/>
      <c r="B163" s="88" t="str">
        <v>-</v>
      </c>
      <c r="C163" s="15" t="str">
        <v>-</v>
      </c>
      <c r="D163" s="15" t="str">
        <v>-</v>
      </c>
      <c r="E163" s="15" t="str">
        <v>-</v>
      </c>
      <c r="F163" s="15" t="str">
        <v>-</v>
      </c>
      <c r="G163" s="15" t="str">
        <v>-</v>
      </c>
      <c r="H163" s="15" t="str">
        <v>-</v>
      </c>
      <c r="I163" s="15" t="str">
        <v>-</v>
      </c>
      <c r="J163" s="15" t="str">
        <v>-</v>
      </c>
    </row>
    <row r="164" spans="1:10">
      <c r="A164" s="98"/>
      <c r="B164" s="88" t="str">
        <v>-</v>
      </c>
      <c r="C164" s="15" t="str">
        <v>-</v>
      </c>
      <c r="D164" s="15" t="str">
        <v>-</v>
      </c>
      <c r="E164" s="15" t="str">
        <v>-</v>
      </c>
      <c r="F164" s="15" t="str">
        <v>-</v>
      </c>
      <c r="G164" s="15" t="str">
        <v>-</v>
      </c>
      <c r="H164" s="15" t="str">
        <v>-</v>
      </c>
      <c r="I164" s="15" t="str">
        <v>-</v>
      </c>
      <c r="J164" s="15" t="str">
        <v>-</v>
      </c>
    </row>
    <row r="165" spans="1:10">
      <c r="A165" s="98"/>
      <c r="B165" s="88" t="str">
        <v>-</v>
      </c>
      <c r="C165" s="15" t="str">
        <v>-</v>
      </c>
      <c r="D165" s="15" t="str">
        <v>-</v>
      </c>
      <c r="E165" s="15" t="str">
        <v>-</v>
      </c>
      <c r="F165" s="15" t="str">
        <v>-</v>
      </c>
      <c r="G165" s="15" t="str">
        <v>-</v>
      </c>
      <c r="H165" s="15" t="str">
        <v>-</v>
      </c>
      <c r="I165" s="15" t="str">
        <v>-</v>
      </c>
      <c r="J165" s="15" t="str">
        <v>-</v>
      </c>
    </row>
    <row r="166" spans="1:10">
      <c r="A166" s="98"/>
      <c r="B166" s="88" t="str">
        <v>-</v>
      </c>
      <c r="C166" s="15" t="str">
        <v>-</v>
      </c>
      <c r="D166" s="15" t="str">
        <v>-</v>
      </c>
      <c r="E166" s="15" t="str">
        <v>-</v>
      </c>
      <c r="F166" s="15" t="str">
        <v>-</v>
      </c>
      <c r="G166" s="15" t="str">
        <v>-</v>
      </c>
      <c r="H166" s="15" t="str">
        <v>-</v>
      </c>
      <c r="I166" s="15" t="str">
        <v>-</v>
      </c>
      <c r="J166" s="15" t="str">
        <v>-</v>
      </c>
    </row>
    <row r="167" spans="1:10">
      <c r="A167" s="98"/>
      <c r="B167" s="88" t="str">
        <v>-</v>
      </c>
      <c r="C167" s="15" t="str">
        <v>-</v>
      </c>
      <c r="D167" s="15" t="str">
        <v>-</v>
      </c>
      <c r="E167" s="15" t="str">
        <v>-</v>
      </c>
      <c r="F167" s="15" t="str">
        <v>-</v>
      </c>
      <c r="G167" s="15" t="str">
        <v>-</v>
      </c>
      <c r="H167" s="15" t="str">
        <v>-</v>
      </c>
      <c r="I167" s="15" t="str">
        <v>-</v>
      </c>
      <c r="J167" s="15" t="str">
        <v>-</v>
      </c>
    </row>
    <row r="168" spans="1:10">
      <c r="A168" s="98"/>
      <c r="B168" s="88" t="str">
        <v>-</v>
      </c>
      <c r="C168" s="15" t="str">
        <v>-</v>
      </c>
      <c r="D168" s="15" t="str">
        <v>-</v>
      </c>
      <c r="E168" s="15" t="str">
        <v>-</v>
      </c>
      <c r="F168" s="15" t="str">
        <v>-</v>
      </c>
      <c r="G168" s="15" t="str">
        <v>-</v>
      </c>
      <c r="H168" s="15" t="str">
        <v>-</v>
      </c>
      <c r="I168" s="15" t="str">
        <v>-</v>
      </c>
      <c r="J168" s="15" t="str">
        <v>-</v>
      </c>
    </row>
    <row r="169" spans="1:10">
      <c r="A169" s="98"/>
      <c r="B169" s="88" t="str">
        <v>-</v>
      </c>
      <c r="C169" s="15" t="str">
        <v>-</v>
      </c>
      <c r="D169" s="15" t="str">
        <v>-</v>
      </c>
      <c r="E169" s="15" t="str">
        <v>-</v>
      </c>
      <c r="F169" s="15" t="str">
        <v>-</v>
      </c>
      <c r="G169" s="15" t="str">
        <v>-</v>
      </c>
      <c r="H169" s="15" t="str">
        <v>-</v>
      </c>
      <c r="I169" s="15" t="str">
        <v>-</v>
      </c>
      <c r="J169" s="15" t="str">
        <v>-</v>
      </c>
    </row>
    <row r="170" spans="1:10">
      <c r="A170" s="98"/>
      <c r="B170" s="88" t="str">
        <v>-</v>
      </c>
      <c r="C170" s="15" t="str">
        <v>-</v>
      </c>
      <c r="D170" s="15" t="str">
        <v>-</v>
      </c>
      <c r="E170" s="15" t="str">
        <v>-</v>
      </c>
      <c r="F170" s="15" t="str">
        <v>-</v>
      </c>
      <c r="G170" s="15" t="str">
        <v>-</v>
      </c>
      <c r="H170" s="15" t="str">
        <v>-</v>
      </c>
      <c r="I170" s="15" t="str">
        <v>-</v>
      </c>
      <c r="J170" s="15" t="str">
        <v>-</v>
      </c>
    </row>
    <row r="171" spans="1:10">
      <c r="A171" s="98"/>
      <c r="B171" s="88" t="str">
        <v>-</v>
      </c>
      <c r="C171" s="15" t="str">
        <v>-</v>
      </c>
      <c r="D171" s="15" t="str">
        <v>-</v>
      </c>
      <c r="E171" s="15" t="str">
        <v>-</v>
      </c>
      <c r="F171" s="15" t="str">
        <v>-</v>
      </c>
      <c r="G171" s="15" t="str">
        <v>-</v>
      </c>
      <c r="H171" s="15" t="str">
        <v>-</v>
      </c>
      <c r="I171" s="15" t="str">
        <v>-</v>
      </c>
      <c r="J171" s="15" t="str">
        <v>-</v>
      </c>
    </row>
    <row r="172" spans="1:10">
      <c r="A172" s="98"/>
      <c r="B172" s="88" t="str">
        <v>-</v>
      </c>
      <c r="C172" s="15" t="str">
        <v>-</v>
      </c>
      <c r="D172" s="15" t="str">
        <v>-</v>
      </c>
      <c r="E172" s="15" t="str">
        <v>-</v>
      </c>
      <c r="F172" s="15" t="str">
        <v>-</v>
      </c>
      <c r="G172" s="15" t="str">
        <v>-</v>
      </c>
      <c r="H172" s="15" t="str">
        <v>-</v>
      </c>
      <c r="I172" s="15" t="str">
        <v>-</v>
      </c>
      <c r="J172" s="15" t="str">
        <v>-</v>
      </c>
    </row>
    <row r="173" spans="1:10">
      <c r="A173" s="98"/>
      <c r="B173" s="88" t="str">
        <v>-</v>
      </c>
      <c r="C173" s="15" t="str">
        <v>-</v>
      </c>
      <c r="D173" s="15" t="str">
        <v>-</v>
      </c>
      <c r="E173" s="15" t="str">
        <v>-</v>
      </c>
      <c r="F173" s="15" t="str">
        <v>-</v>
      </c>
      <c r="G173" s="15" t="str">
        <v>-</v>
      </c>
      <c r="H173" s="15" t="str">
        <v>-</v>
      </c>
      <c r="I173" s="15" t="str">
        <v>-</v>
      </c>
      <c r="J173" s="15" t="str">
        <v>-</v>
      </c>
    </row>
    <row r="174" spans="1:10">
      <c r="A174" s="98"/>
      <c r="B174" s="88" t="str">
        <v>-</v>
      </c>
      <c r="C174" s="15" t="str">
        <v>-</v>
      </c>
      <c r="D174" s="15" t="str">
        <v>-</v>
      </c>
      <c r="E174" s="15" t="str">
        <v>-</v>
      </c>
      <c r="F174" s="15" t="str">
        <v>-</v>
      </c>
      <c r="G174" s="15" t="str">
        <v>-</v>
      </c>
      <c r="H174" s="15" t="str">
        <v>-</v>
      </c>
      <c r="I174" s="15" t="str">
        <v>-</v>
      </c>
      <c r="J174" s="15" t="str">
        <v>-</v>
      </c>
    </row>
    <row r="175" spans="1:10">
      <c r="A175" s="98"/>
      <c r="B175" s="88" t="str">
        <v>-</v>
      </c>
      <c r="C175" s="15" t="str">
        <v>-</v>
      </c>
      <c r="D175" s="15" t="str">
        <v>-</v>
      </c>
      <c r="E175" s="15" t="str">
        <v>-</v>
      </c>
      <c r="F175" s="15" t="str">
        <v>-</v>
      </c>
      <c r="G175" s="15" t="str">
        <v>-</v>
      </c>
      <c r="H175" s="15" t="str">
        <v>-</v>
      </c>
      <c r="I175" s="15" t="str">
        <v>-</v>
      </c>
      <c r="J175" s="15" t="str">
        <v>-</v>
      </c>
    </row>
    <row r="176" spans="1:10">
      <c r="A176" s="98"/>
      <c r="B176" s="88" t="str">
        <v>-</v>
      </c>
      <c r="C176" s="15" t="str">
        <v>-</v>
      </c>
      <c r="D176" s="15" t="str">
        <v>-</v>
      </c>
      <c r="E176" s="15" t="str">
        <v>-</v>
      </c>
      <c r="F176" s="15" t="str">
        <v>-</v>
      </c>
      <c r="G176" s="15" t="str">
        <v>-</v>
      </c>
      <c r="H176" s="15" t="str">
        <v>-</v>
      </c>
      <c r="I176" s="15" t="str">
        <v>-</v>
      </c>
      <c r="J176" s="15" t="str">
        <v>-</v>
      </c>
    </row>
    <row r="177" spans="1:10">
      <c r="A177" s="98"/>
      <c r="B177" s="88" t="str">
        <v>-</v>
      </c>
      <c r="C177" s="15" t="str">
        <v>-</v>
      </c>
      <c r="D177" s="15" t="str">
        <v>-</v>
      </c>
      <c r="E177" s="15" t="str">
        <v>-</v>
      </c>
      <c r="F177" s="15" t="str">
        <v>-</v>
      </c>
      <c r="G177" s="15" t="str">
        <v>-</v>
      </c>
      <c r="H177" s="15" t="str">
        <v>-</v>
      </c>
      <c r="I177" s="15" t="str">
        <v>-</v>
      </c>
      <c r="J177" s="15" t="str">
        <v>-</v>
      </c>
    </row>
    <row r="178" spans="1:10">
      <c r="A178" s="98"/>
      <c r="B178" s="88" t="str">
        <v>-</v>
      </c>
      <c r="C178" s="15" t="str">
        <v>-</v>
      </c>
      <c r="D178" s="15" t="str">
        <v>-</v>
      </c>
      <c r="E178" s="15" t="str">
        <v>-</v>
      </c>
      <c r="F178" s="15" t="str">
        <v>-</v>
      </c>
      <c r="G178" s="15" t="str">
        <v>-</v>
      </c>
      <c r="H178" s="15" t="str">
        <v>-</v>
      </c>
      <c r="I178" s="15" t="str">
        <v>-</v>
      </c>
      <c r="J178" s="15" t="str">
        <v>-</v>
      </c>
    </row>
    <row r="179" spans="1:10">
      <c r="A179" s="98"/>
      <c r="B179" s="88" t="str">
        <v>-</v>
      </c>
      <c r="C179" s="15" t="str">
        <v>-</v>
      </c>
      <c r="D179" s="15" t="str">
        <v>-</v>
      </c>
      <c r="E179" s="15" t="str">
        <v>-</v>
      </c>
      <c r="F179" s="15" t="str">
        <v>-</v>
      </c>
      <c r="G179" s="15" t="str">
        <v>-</v>
      </c>
      <c r="H179" s="15" t="str">
        <v>-</v>
      </c>
      <c r="I179" s="15" t="str">
        <v>-</v>
      </c>
      <c r="J179" s="15" t="str">
        <v>-</v>
      </c>
    </row>
    <row r="180" spans="1:10">
      <c r="A180" s="98"/>
      <c r="B180" s="88" t="str">
        <v>-</v>
      </c>
      <c r="C180" s="15" t="str">
        <v>-</v>
      </c>
      <c r="D180" s="15" t="str">
        <v>-</v>
      </c>
      <c r="E180" s="15" t="str">
        <v>-</v>
      </c>
      <c r="F180" s="15" t="str">
        <v>-</v>
      </c>
      <c r="G180" s="15" t="str">
        <v>-</v>
      </c>
      <c r="H180" s="15" t="str">
        <v>-</v>
      </c>
      <c r="I180" s="15" t="str">
        <v>-</v>
      </c>
      <c r="J180" s="15" t="str">
        <v>-</v>
      </c>
    </row>
    <row r="181" spans="1:10">
      <c r="A181" s="98"/>
      <c r="B181" s="88" t="str">
        <v>-</v>
      </c>
      <c r="C181" s="15" t="str">
        <v>-</v>
      </c>
      <c r="D181" s="15" t="str">
        <v>-</v>
      </c>
      <c r="E181" s="15" t="str">
        <v>-</v>
      </c>
      <c r="F181" s="15" t="str">
        <v>-</v>
      </c>
      <c r="G181" s="15" t="str">
        <v>-</v>
      </c>
      <c r="H181" s="15" t="str">
        <v>-</v>
      </c>
      <c r="I181" s="15" t="str">
        <v>-</v>
      </c>
      <c r="J181" s="15" t="str">
        <v>-</v>
      </c>
    </row>
    <row r="182" spans="1:10">
      <c r="A182" s="98"/>
      <c r="B182" s="88" t="str">
        <v>-</v>
      </c>
      <c r="C182" s="15" t="str">
        <v>-</v>
      </c>
      <c r="D182" s="15" t="str">
        <v>-</v>
      </c>
      <c r="E182" s="15" t="str">
        <v>-</v>
      </c>
      <c r="F182" s="15" t="str">
        <v>-</v>
      </c>
      <c r="G182" s="15" t="str">
        <v>-</v>
      </c>
      <c r="H182" s="15" t="str">
        <v>-</v>
      </c>
      <c r="I182" s="15" t="str">
        <v>-</v>
      </c>
      <c r="J182" s="15" t="str">
        <v>-</v>
      </c>
    </row>
    <row r="183" spans="1:10">
      <c r="A183" s="98"/>
      <c r="B183" s="88" t="str">
        <v>-</v>
      </c>
      <c r="C183" s="15" t="str">
        <v>-</v>
      </c>
      <c r="D183" s="15" t="str">
        <v>-</v>
      </c>
      <c r="E183" s="15" t="str">
        <v>-</v>
      </c>
      <c r="F183" s="15" t="str">
        <v>-</v>
      </c>
      <c r="G183" s="15" t="str">
        <v>-</v>
      </c>
      <c r="H183" s="15" t="str">
        <v>-</v>
      </c>
      <c r="I183" s="15" t="str">
        <v>-</v>
      </c>
      <c r="J183" s="15" t="str">
        <v>-</v>
      </c>
    </row>
    <row r="184" spans="1:10">
      <c r="A184" s="98"/>
      <c r="B184" s="88" t="str">
        <v>-</v>
      </c>
      <c r="C184" s="15" t="str">
        <v>-</v>
      </c>
      <c r="D184" s="15" t="str">
        <v>-</v>
      </c>
      <c r="E184" s="15" t="str">
        <v>-</v>
      </c>
      <c r="F184" s="15" t="str">
        <v>-</v>
      </c>
      <c r="G184" s="15" t="str">
        <v>-</v>
      </c>
      <c r="H184" s="15" t="str">
        <v>-</v>
      </c>
      <c r="I184" s="15" t="str">
        <v>-</v>
      </c>
      <c r="J184" s="15" t="str">
        <v>-</v>
      </c>
    </row>
    <row r="185" spans="1:10">
      <c r="A185" s="98"/>
      <c r="B185" s="88" t="str">
        <v>-</v>
      </c>
      <c r="C185" s="15" t="str">
        <v>-</v>
      </c>
      <c r="D185" s="15" t="str">
        <v>-</v>
      </c>
      <c r="E185" s="15" t="str">
        <v>-</v>
      </c>
      <c r="F185" s="15" t="str">
        <v>-</v>
      </c>
      <c r="G185" s="15" t="str">
        <v>-</v>
      </c>
      <c r="H185" s="15" t="str">
        <v>-</v>
      </c>
      <c r="I185" s="15" t="str">
        <v>-</v>
      </c>
      <c r="J185" s="15" t="str">
        <v>-</v>
      </c>
    </row>
    <row r="186" spans="1:10">
      <c r="A186" s="98"/>
      <c r="B186" s="88" t="str">
        <v>-</v>
      </c>
      <c r="C186" s="15" t="str">
        <v>-</v>
      </c>
      <c r="D186" s="15" t="str">
        <v>-</v>
      </c>
      <c r="E186" s="15" t="str">
        <v>-</v>
      </c>
      <c r="F186" s="15" t="str">
        <v>-</v>
      </c>
      <c r="G186" s="15" t="str">
        <v>-</v>
      </c>
      <c r="H186" s="15" t="str">
        <v>-</v>
      </c>
      <c r="I186" s="15" t="str">
        <v>-</v>
      </c>
      <c r="J186" s="15" t="str">
        <v>-</v>
      </c>
    </row>
    <row r="187" spans="1:10">
      <c r="A187" s="98"/>
      <c r="B187" s="88" t="str">
        <v>-</v>
      </c>
      <c r="C187" s="15" t="str">
        <v>-</v>
      </c>
      <c r="D187" s="15" t="str">
        <v>-</v>
      </c>
      <c r="E187" s="15" t="str">
        <v>-</v>
      </c>
      <c r="F187" s="15" t="str">
        <v>-</v>
      </c>
      <c r="G187" s="15" t="str">
        <v>-</v>
      </c>
      <c r="H187" s="15" t="str">
        <v>-</v>
      </c>
      <c r="I187" s="15" t="str">
        <v>-</v>
      </c>
      <c r="J187" s="15" t="str">
        <v>-</v>
      </c>
    </row>
    <row r="188" spans="1:10">
      <c r="A188" s="98"/>
      <c r="B188" s="88" t="str">
        <v>-</v>
      </c>
      <c r="C188" s="15" t="str">
        <v>-</v>
      </c>
      <c r="D188" s="15" t="str">
        <v>-</v>
      </c>
      <c r="E188" s="15" t="str">
        <v>-</v>
      </c>
      <c r="F188" s="15" t="str">
        <v>-</v>
      </c>
      <c r="G188" s="15" t="str">
        <v>-</v>
      </c>
      <c r="H188" s="15" t="str">
        <v>-</v>
      </c>
      <c r="I188" s="15" t="str">
        <v>-</v>
      </c>
      <c r="J188" s="15" t="str">
        <v>-</v>
      </c>
    </row>
    <row r="189" spans="1:10">
      <c r="A189" s="98"/>
      <c r="B189" s="88" t="str">
        <v>-</v>
      </c>
      <c r="C189" s="15" t="str">
        <v>-</v>
      </c>
      <c r="D189" s="15" t="str">
        <v>-</v>
      </c>
      <c r="E189" s="15" t="str">
        <v>-</v>
      </c>
      <c r="F189" s="15" t="str">
        <v>-</v>
      </c>
      <c r="G189" s="15" t="str">
        <v>-</v>
      </c>
      <c r="H189" s="15" t="str">
        <v>-</v>
      </c>
      <c r="I189" s="15" t="str">
        <v>-</v>
      </c>
      <c r="J189" s="15" t="str">
        <v>-</v>
      </c>
    </row>
    <row r="190" spans="1:10">
      <c r="A190" s="98"/>
      <c r="B190" s="88" t="str">
        <v>-</v>
      </c>
      <c r="C190" s="15" t="str">
        <v>-</v>
      </c>
      <c r="D190" s="15" t="str">
        <v>-</v>
      </c>
      <c r="E190" s="15" t="str">
        <v>-</v>
      </c>
      <c r="F190" s="15" t="str">
        <v>-</v>
      </c>
      <c r="G190" s="15" t="str">
        <v>-</v>
      </c>
      <c r="H190" s="15" t="str">
        <v>-</v>
      </c>
      <c r="I190" s="15" t="str">
        <v>-</v>
      </c>
      <c r="J190" s="15" t="str">
        <v>-</v>
      </c>
    </row>
    <row r="191" spans="1:10">
      <c r="A191" s="98"/>
      <c r="B191" s="88" t="str">
        <v>-</v>
      </c>
      <c r="C191" s="15" t="str">
        <v>-</v>
      </c>
      <c r="D191" s="15" t="str">
        <v>-</v>
      </c>
      <c r="E191" s="15" t="str">
        <v>-</v>
      </c>
      <c r="F191" s="15" t="str">
        <v>-</v>
      </c>
      <c r="G191" s="15" t="str">
        <v>-</v>
      </c>
      <c r="H191" s="15" t="str">
        <v>-</v>
      </c>
      <c r="I191" s="15" t="str">
        <v>-</v>
      </c>
      <c r="J191" s="15" t="str">
        <v>-</v>
      </c>
    </row>
    <row r="192" spans="1:10">
      <c r="A192" s="98"/>
      <c r="B192" s="88" t="str">
        <v>-</v>
      </c>
      <c r="C192" s="15" t="str">
        <v>-</v>
      </c>
      <c r="D192" s="15" t="str">
        <v>-</v>
      </c>
      <c r="E192" s="15" t="str">
        <v>-</v>
      </c>
      <c r="F192" s="15" t="str">
        <v>-</v>
      </c>
      <c r="G192" s="15" t="str">
        <v>-</v>
      </c>
      <c r="H192" s="15" t="str">
        <v>-</v>
      </c>
      <c r="I192" s="15" t="str">
        <v>-</v>
      </c>
      <c r="J192" s="15" t="str">
        <v>-</v>
      </c>
    </row>
    <row r="193" spans="1:10">
      <c r="A193" s="98"/>
      <c r="B193" s="88" t="str">
        <v>-</v>
      </c>
      <c r="C193" s="15" t="str">
        <v>-</v>
      </c>
      <c r="D193" s="15" t="str">
        <v>-</v>
      </c>
      <c r="E193" s="15" t="str">
        <v>-</v>
      </c>
      <c r="F193" s="15" t="str">
        <v>-</v>
      </c>
      <c r="G193" s="15" t="str">
        <v>-</v>
      </c>
      <c r="H193" s="15" t="str">
        <v>-</v>
      </c>
      <c r="I193" s="15" t="str">
        <v>-</v>
      </c>
      <c r="J193" s="15" t="str">
        <v>-</v>
      </c>
    </row>
    <row r="194" spans="1:10">
      <c r="A194" s="98"/>
      <c r="B194" s="88" t="str">
        <v>-</v>
      </c>
      <c r="C194" s="15" t="str">
        <v>-</v>
      </c>
      <c r="D194" s="15" t="str">
        <v>-</v>
      </c>
      <c r="E194" s="15" t="str">
        <v>-</v>
      </c>
      <c r="F194" s="15" t="str">
        <v>-</v>
      </c>
      <c r="G194" s="15" t="str">
        <v>-</v>
      </c>
      <c r="H194" s="15" t="str">
        <v>-</v>
      </c>
      <c r="I194" s="15" t="str">
        <v>-</v>
      </c>
      <c r="J194" s="15" t="str">
        <v>-</v>
      </c>
    </row>
    <row r="195" spans="1:10">
      <c r="A195" s="98"/>
      <c r="B195" s="88" t="str">
        <v>-</v>
      </c>
      <c r="C195" s="15" t="str">
        <v>-</v>
      </c>
      <c r="D195" s="15" t="str">
        <v>-</v>
      </c>
      <c r="E195" s="15" t="str">
        <v>-</v>
      </c>
      <c r="F195" s="15" t="str">
        <v>-</v>
      </c>
      <c r="G195" s="15" t="str">
        <v>-</v>
      </c>
      <c r="H195" s="15" t="str">
        <v>-</v>
      </c>
      <c r="I195" s="15" t="str">
        <v>-</v>
      </c>
      <c r="J195" s="15" t="str">
        <v>-</v>
      </c>
    </row>
    <row r="196" spans="1:10">
      <c r="A196" s="98"/>
      <c r="B196" s="88" t="str">
        <v>-</v>
      </c>
      <c r="C196" s="15" t="str">
        <v>-</v>
      </c>
      <c r="D196" s="15" t="str">
        <v>-</v>
      </c>
      <c r="E196" s="15" t="str">
        <v>-</v>
      </c>
      <c r="F196" s="15" t="str">
        <v>-</v>
      </c>
      <c r="G196" s="15" t="str">
        <v>-</v>
      </c>
      <c r="H196" s="15" t="str">
        <v>-</v>
      </c>
      <c r="I196" s="15" t="str">
        <v>-</v>
      </c>
      <c r="J196" s="15" t="str">
        <v>-</v>
      </c>
    </row>
    <row r="197" spans="1:10">
      <c r="A197" s="98"/>
      <c r="B197" s="88" t="str">
        <v>-</v>
      </c>
      <c r="C197" s="15" t="str">
        <v>-</v>
      </c>
      <c r="D197" s="15" t="str">
        <v>-</v>
      </c>
      <c r="E197" s="15" t="str">
        <v>-</v>
      </c>
      <c r="F197" s="15" t="str">
        <v>-</v>
      </c>
      <c r="G197" s="15" t="str">
        <v>-</v>
      </c>
      <c r="H197" s="15" t="str">
        <v>-</v>
      </c>
      <c r="I197" s="15" t="str">
        <v>-</v>
      </c>
      <c r="J197" s="15" t="str">
        <v>-</v>
      </c>
    </row>
    <row r="198" spans="1:10">
      <c r="A198" s="98"/>
      <c r="B198" s="88" t="str">
        <v>-</v>
      </c>
      <c r="C198" s="15" t="str">
        <v>-</v>
      </c>
      <c r="D198" s="15" t="str">
        <v>-</v>
      </c>
      <c r="E198" s="15" t="str">
        <v>-</v>
      </c>
      <c r="F198" s="15" t="str">
        <v>-</v>
      </c>
      <c r="G198" s="15" t="str">
        <v>-</v>
      </c>
      <c r="H198" s="15" t="str">
        <v>-</v>
      </c>
      <c r="I198" s="15" t="str">
        <v>-</v>
      </c>
      <c r="J198" s="15" t="str">
        <v>-</v>
      </c>
    </row>
    <row r="199" spans="1:10">
      <c r="A199" s="98"/>
      <c r="B199" s="88" t="str">
        <v>-</v>
      </c>
      <c r="C199" s="15" t="str">
        <v>-</v>
      </c>
      <c r="D199" s="15" t="str">
        <v>-</v>
      </c>
      <c r="E199" s="15" t="str">
        <v>-</v>
      </c>
      <c r="F199" s="15" t="str">
        <v>-</v>
      </c>
      <c r="G199" s="15" t="str">
        <v>-</v>
      </c>
      <c r="H199" s="15" t="str">
        <v>-</v>
      </c>
      <c r="I199" s="15" t="str">
        <v>-</v>
      </c>
      <c r="J199" s="15" t="str">
        <v>-</v>
      </c>
    </row>
    <row r="200" spans="1:10">
      <c r="A200" s="98"/>
      <c r="B200" s="88" t="str">
        <v>-</v>
      </c>
      <c r="C200" s="15" t="str">
        <v>-</v>
      </c>
      <c r="D200" s="15" t="str">
        <v>-</v>
      </c>
      <c r="E200" s="15" t="str">
        <v>-</v>
      </c>
      <c r="F200" s="15" t="str">
        <v>-</v>
      </c>
      <c r="G200" s="15" t="str">
        <v>-</v>
      </c>
      <c r="H200" s="15" t="str">
        <v>-</v>
      </c>
      <c r="I200" s="15" t="str">
        <v>-</v>
      </c>
      <c r="J200" s="15" t="str">
        <v>-</v>
      </c>
    </row>
    <row r="201" spans="1:10">
      <c r="A201" s="98"/>
      <c r="B201" s="88" t="str">
        <v>-</v>
      </c>
      <c r="C201" s="15" t="str">
        <v>-</v>
      </c>
      <c r="D201" s="15" t="str">
        <v>-</v>
      </c>
      <c r="E201" s="15" t="str">
        <v>-</v>
      </c>
      <c r="F201" s="15" t="str">
        <v>-</v>
      </c>
      <c r="G201" s="15" t="str">
        <v>-</v>
      </c>
      <c r="H201" s="15" t="str">
        <v>-</v>
      </c>
      <c r="I201" s="15" t="str">
        <v>-</v>
      </c>
      <c r="J201" s="15" t="str">
        <v>-</v>
      </c>
    </row>
    <row r="202" spans="1:10">
      <c r="A202" s="98"/>
      <c r="B202" s="88" t="str">
        <v>-</v>
      </c>
      <c r="C202" s="15" t="str">
        <v>-</v>
      </c>
      <c r="D202" s="15" t="str">
        <v>-</v>
      </c>
      <c r="E202" s="15" t="str">
        <v>-</v>
      </c>
      <c r="F202" s="15" t="str">
        <v>-</v>
      </c>
      <c r="G202" s="15" t="str">
        <v>-</v>
      </c>
      <c r="H202" s="15" t="str">
        <v>-</v>
      </c>
      <c r="I202" s="15" t="str">
        <v>-</v>
      </c>
      <c r="J202" s="15" t="str">
        <v>-</v>
      </c>
    </row>
    <row r="203" spans="1:10">
      <c r="A203" s="98"/>
      <c r="B203" s="88" t="str">
        <v>-</v>
      </c>
      <c r="C203" s="15" t="str">
        <v>-</v>
      </c>
      <c r="D203" s="15" t="str">
        <v>-</v>
      </c>
      <c r="E203" s="15" t="str">
        <v>-</v>
      </c>
      <c r="F203" s="15" t="str">
        <v>-</v>
      </c>
      <c r="G203" s="15" t="str">
        <v>-</v>
      </c>
      <c r="H203" s="15" t="str">
        <v>-</v>
      </c>
      <c r="I203" s="15" t="str">
        <v>-</v>
      </c>
      <c r="J203" s="15" t="str">
        <v>-</v>
      </c>
    </row>
    <row r="204" spans="1:10">
      <c r="A204" s="98"/>
      <c r="B204" s="88" t="str">
        <v>-</v>
      </c>
      <c r="C204" s="15" t="str">
        <v>-</v>
      </c>
      <c r="D204" s="15" t="str">
        <v>-</v>
      </c>
      <c r="E204" s="15" t="str">
        <v>-</v>
      </c>
      <c r="F204" s="15" t="str">
        <v>-</v>
      </c>
      <c r="G204" s="15" t="str">
        <v>-</v>
      </c>
      <c r="H204" s="15" t="str">
        <v>-</v>
      </c>
      <c r="I204" s="15" t="str">
        <v>-</v>
      </c>
      <c r="J204" s="15" t="str">
        <v>-</v>
      </c>
    </row>
    <row r="205" spans="1:10">
      <c r="A205" s="98"/>
      <c r="B205" s="88" t="str">
        <v>-</v>
      </c>
      <c r="C205" s="15" t="str">
        <v>-</v>
      </c>
      <c r="D205" s="15" t="str">
        <v>-</v>
      </c>
      <c r="E205" s="15" t="str">
        <v>-</v>
      </c>
      <c r="F205" s="15" t="str">
        <v>-</v>
      </c>
      <c r="G205" s="15" t="str">
        <v>-</v>
      </c>
      <c r="H205" s="15" t="str">
        <v>-</v>
      </c>
      <c r="I205" s="15" t="str">
        <v>-</v>
      </c>
      <c r="J205" s="15" t="str">
        <v>-</v>
      </c>
    </row>
    <row r="206" spans="1:10">
      <c r="A206" s="98"/>
      <c r="B206" s="88" t="str">
        <v>-</v>
      </c>
      <c r="C206" s="15" t="str">
        <v>-</v>
      </c>
      <c r="D206" s="15" t="str">
        <v>-</v>
      </c>
      <c r="E206" s="15" t="str">
        <v>-</v>
      </c>
      <c r="F206" s="15" t="str">
        <v>-</v>
      </c>
      <c r="G206" s="15" t="str">
        <v>-</v>
      </c>
      <c r="H206" s="15" t="str">
        <v>-</v>
      </c>
      <c r="I206" s="15" t="str">
        <v>-</v>
      </c>
      <c r="J206" s="15" t="str">
        <v>-</v>
      </c>
    </row>
    <row r="207" spans="1:10">
      <c r="A207" s="98"/>
      <c r="B207" s="88" t="str">
        <v>-</v>
      </c>
      <c r="C207" s="15" t="str">
        <v>-</v>
      </c>
      <c r="D207" s="15" t="str">
        <v>-</v>
      </c>
      <c r="E207" s="15" t="str">
        <v>-</v>
      </c>
      <c r="F207" s="15" t="str">
        <v>-</v>
      </c>
      <c r="G207" s="15" t="str">
        <v>-</v>
      </c>
      <c r="H207" s="15" t="str">
        <v>-</v>
      </c>
      <c r="I207" s="15" t="str">
        <v>-</v>
      </c>
      <c r="J207" s="15" t="str">
        <v>-</v>
      </c>
    </row>
    <row r="208" spans="1:10">
      <c r="A208" s="98"/>
      <c r="B208" s="88" t="str">
        <v>-</v>
      </c>
      <c r="C208" s="15" t="str">
        <v>-</v>
      </c>
      <c r="D208" s="15" t="str">
        <v>-</v>
      </c>
      <c r="E208" s="15" t="str">
        <v>-</v>
      </c>
      <c r="F208" s="15" t="str">
        <v>-</v>
      </c>
      <c r="G208" s="15" t="str">
        <v>-</v>
      </c>
      <c r="H208" s="15" t="str">
        <v>-</v>
      </c>
      <c r="I208" s="15" t="str">
        <v>-</v>
      </c>
      <c r="J208" s="15" t="str">
        <v>-</v>
      </c>
    </row>
    <row r="209" spans="1:10">
      <c r="A209" s="98"/>
      <c r="B209" s="88" t="str">
        <v>-</v>
      </c>
      <c r="C209" s="15" t="str">
        <v>-</v>
      </c>
      <c r="D209" s="15" t="str">
        <v>-</v>
      </c>
      <c r="E209" s="15" t="str">
        <v>-</v>
      </c>
      <c r="F209" s="15" t="str">
        <v>-</v>
      </c>
      <c r="G209" s="15" t="str">
        <v>-</v>
      </c>
      <c r="H209" s="15" t="str">
        <v>-</v>
      </c>
      <c r="I209" s="15" t="str">
        <v>-</v>
      </c>
      <c r="J209" s="15" t="str">
        <v>-</v>
      </c>
    </row>
    <row r="210" spans="1:10">
      <c r="A210" s="98"/>
      <c r="B210" s="88" t="str">
        <v>-</v>
      </c>
      <c r="C210" s="15" t="str">
        <v>-</v>
      </c>
      <c r="D210" s="15" t="str">
        <v>-</v>
      </c>
      <c r="E210" s="15" t="str">
        <v>-</v>
      </c>
      <c r="F210" s="15" t="str">
        <v>-</v>
      </c>
      <c r="G210" s="15" t="str">
        <v>-</v>
      </c>
      <c r="H210" s="15" t="str">
        <v>-</v>
      </c>
      <c r="I210" s="15" t="str">
        <v>-</v>
      </c>
      <c r="J210" s="15" t="str">
        <v>-</v>
      </c>
    </row>
    <row r="211" spans="1:10">
      <c r="A211" s="98"/>
      <c r="B211" s="88" t="str">
        <v>-</v>
      </c>
      <c r="C211" s="15" t="str">
        <v>-</v>
      </c>
      <c r="D211" s="15" t="str">
        <v>-</v>
      </c>
      <c r="E211" s="15" t="str">
        <v>-</v>
      </c>
      <c r="F211" s="15" t="str">
        <v>-</v>
      </c>
      <c r="G211" s="15" t="str">
        <v>-</v>
      </c>
      <c r="H211" s="15" t="str">
        <v>-</v>
      </c>
      <c r="I211" s="15" t="str">
        <v>-</v>
      </c>
      <c r="J211" s="15" t="str">
        <v>-</v>
      </c>
    </row>
    <row r="212" spans="1:10">
      <c r="A212" s="98"/>
      <c r="B212" s="88" t="str">
        <v>-</v>
      </c>
      <c r="C212" s="15" t="str">
        <v>-</v>
      </c>
      <c r="D212" s="15" t="str">
        <v>-</v>
      </c>
      <c r="E212" s="15" t="str">
        <v>-</v>
      </c>
      <c r="F212" s="15" t="str">
        <v>-</v>
      </c>
      <c r="G212" s="15" t="str">
        <v>-</v>
      </c>
      <c r="H212" s="15" t="str">
        <v>-</v>
      </c>
      <c r="I212" s="15" t="str">
        <v>-</v>
      </c>
      <c r="J212" s="15" t="str">
        <v>-</v>
      </c>
    </row>
    <row r="213" spans="1:10">
      <c r="A213" s="98"/>
      <c r="B213" s="88" t="str">
        <v>-</v>
      </c>
      <c r="C213" s="15" t="str">
        <v>-</v>
      </c>
      <c r="D213" s="15" t="str">
        <v>-</v>
      </c>
      <c r="E213" s="15" t="str">
        <v>-</v>
      </c>
      <c r="F213" s="15" t="str">
        <v>-</v>
      </c>
      <c r="G213" s="15" t="str">
        <v>-</v>
      </c>
      <c r="H213" s="15" t="str">
        <v>-</v>
      </c>
      <c r="I213" s="15" t="str">
        <v>-</v>
      </c>
      <c r="J213" s="15" t="str">
        <v>-</v>
      </c>
    </row>
    <row r="214" spans="1:10">
      <c r="A214" s="98"/>
      <c r="B214" s="88" t="str">
        <v>-</v>
      </c>
      <c r="C214" s="15" t="str">
        <v>-</v>
      </c>
      <c r="D214" s="15" t="str">
        <v>-</v>
      </c>
      <c r="E214" s="15" t="str">
        <v>-</v>
      </c>
      <c r="F214" s="15" t="str">
        <v>-</v>
      </c>
      <c r="G214" s="15" t="str">
        <v>-</v>
      </c>
      <c r="H214" s="15" t="str">
        <v>-</v>
      </c>
      <c r="I214" s="15" t="str">
        <v>-</v>
      </c>
      <c r="J214" s="15" t="str">
        <v>-</v>
      </c>
    </row>
    <row r="215" spans="1:10">
      <c r="A215" s="98"/>
      <c r="B215" s="88" t="str">
        <v>-</v>
      </c>
      <c r="C215" s="15" t="str">
        <v>-</v>
      </c>
      <c r="D215" s="15" t="str">
        <v>-</v>
      </c>
      <c r="E215" s="15" t="str">
        <v>-</v>
      </c>
      <c r="F215" s="15" t="str">
        <v>-</v>
      </c>
      <c r="G215" s="15" t="str">
        <v>-</v>
      </c>
      <c r="H215" s="15" t="str">
        <v>-</v>
      </c>
      <c r="I215" s="15" t="str">
        <v>-</v>
      </c>
      <c r="J215" s="15" t="str">
        <v>-</v>
      </c>
    </row>
    <row r="216" spans="1:10">
      <c r="A216" s="98"/>
      <c r="B216" s="88" t="str">
        <v>-</v>
      </c>
      <c r="C216" s="15" t="str">
        <v>-</v>
      </c>
      <c r="D216" s="15" t="str">
        <v>-</v>
      </c>
      <c r="E216" s="15" t="str">
        <v>-</v>
      </c>
      <c r="F216" s="15" t="str">
        <v>-</v>
      </c>
      <c r="G216" s="15" t="str">
        <v>-</v>
      </c>
      <c r="H216" s="15" t="str">
        <v>-</v>
      </c>
      <c r="I216" s="15" t="str">
        <v>-</v>
      </c>
      <c r="J216" s="15" t="str">
        <v>-</v>
      </c>
    </row>
    <row r="217" spans="1:10">
      <c r="A217" s="98"/>
      <c r="B217" s="88" t="str">
        <v>-</v>
      </c>
      <c r="C217" s="15" t="str">
        <v>-</v>
      </c>
      <c r="D217" s="15" t="str">
        <v>-</v>
      </c>
      <c r="E217" s="15" t="str">
        <v>-</v>
      </c>
      <c r="F217" s="15" t="str">
        <v>-</v>
      </c>
      <c r="G217" s="15" t="str">
        <v>-</v>
      </c>
      <c r="H217" s="15" t="str">
        <v>-</v>
      </c>
      <c r="I217" s="15" t="str">
        <v>-</v>
      </c>
      <c r="J217" s="15" t="str">
        <v>-</v>
      </c>
    </row>
    <row r="218" spans="1:10">
      <c r="A218" s="98"/>
      <c r="B218" s="88" t="str">
        <v>-</v>
      </c>
      <c r="C218" s="15" t="str">
        <v>-</v>
      </c>
      <c r="D218" s="15" t="str">
        <v>-</v>
      </c>
      <c r="E218" s="15" t="str">
        <v>-</v>
      </c>
      <c r="F218" s="15" t="str">
        <v>-</v>
      </c>
      <c r="G218" s="15" t="str">
        <v>-</v>
      </c>
      <c r="H218" s="15" t="str">
        <v>-</v>
      </c>
      <c r="I218" s="15" t="str">
        <v>-</v>
      </c>
      <c r="J218" s="15" t="str">
        <v>-</v>
      </c>
    </row>
    <row r="219" spans="1:10">
      <c r="A219" s="98"/>
      <c r="B219" s="88" t="str">
        <v>-</v>
      </c>
      <c r="C219" s="15" t="str">
        <v>-</v>
      </c>
      <c r="D219" s="15" t="str">
        <v>-</v>
      </c>
      <c r="E219" s="15" t="str">
        <v>-</v>
      </c>
      <c r="F219" s="15" t="str">
        <v>-</v>
      </c>
      <c r="G219" s="15" t="str">
        <v>-</v>
      </c>
      <c r="H219" s="15" t="str">
        <v>-</v>
      </c>
      <c r="I219" s="15" t="str">
        <v>-</v>
      </c>
      <c r="J219" s="15" t="str">
        <v>-</v>
      </c>
    </row>
    <row r="220" spans="1:10">
      <c r="A220" s="98"/>
      <c r="B220" s="88" t="str">
        <v>-</v>
      </c>
      <c r="C220" s="15" t="str">
        <v>-</v>
      </c>
      <c r="D220" s="15" t="str">
        <v>-</v>
      </c>
      <c r="E220" s="15" t="str">
        <v>-</v>
      </c>
      <c r="F220" s="15" t="str">
        <v>-</v>
      </c>
      <c r="G220" s="15" t="str">
        <v>-</v>
      </c>
      <c r="H220" s="15" t="str">
        <v>-</v>
      </c>
      <c r="I220" s="15" t="str">
        <v>-</v>
      </c>
      <c r="J220" s="15" t="str">
        <v>-</v>
      </c>
    </row>
    <row r="221" spans="1:10">
      <c r="A221" s="98"/>
      <c r="B221" s="88" t="str">
        <v>-</v>
      </c>
      <c r="C221" s="15" t="str">
        <v>-</v>
      </c>
      <c r="D221" s="15" t="str">
        <v>-</v>
      </c>
      <c r="E221" s="15" t="str">
        <v>-</v>
      </c>
      <c r="F221" s="15" t="str">
        <v>-</v>
      </c>
      <c r="G221" s="15" t="str">
        <v>-</v>
      </c>
      <c r="H221" s="15" t="str">
        <v>-</v>
      </c>
      <c r="I221" s="15" t="str">
        <v>-</v>
      </c>
      <c r="J221" s="15" t="str">
        <v>-</v>
      </c>
    </row>
    <row r="222" spans="1:10">
      <c r="A222" s="98"/>
      <c r="B222" s="88" t="str">
        <v>-</v>
      </c>
      <c r="C222" s="15" t="str">
        <v>-</v>
      </c>
      <c r="D222" s="15" t="str">
        <v>-</v>
      </c>
      <c r="E222" s="15" t="str">
        <v>-</v>
      </c>
      <c r="F222" s="15" t="str">
        <v>-</v>
      </c>
      <c r="G222" s="15" t="str">
        <v>-</v>
      </c>
      <c r="H222" s="15" t="str">
        <v>-</v>
      </c>
      <c r="I222" s="15" t="str">
        <v>-</v>
      </c>
      <c r="J222" s="15" t="str">
        <v>-</v>
      </c>
    </row>
    <row r="223" spans="1:10">
      <c r="A223" s="98"/>
      <c r="B223" s="88" t="str">
        <v>-</v>
      </c>
      <c r="C223" s="15" t="str">
        <v>-</v>
      </c>
      <c r="D223" s="15" t="str">
        <v>-</v>
      </c>
      <c r="E223" s="15" t="str">
        <v>-</v>
      </c>
      <c r="F223" s="15" t="str">
        <v>-</v>
      </c>
      <c r="G223" s="15" t="str">
        <v>-</v>
      </c>
      <c r="H223" s="15" t="str">
        <v>-</v>
      </c>
      <c r="I223" s="15" t="str">
        <v>-</v>
      </c>
      <c r="J223" s="15" t="str">
        <v>-</v>
      </c>
    </row>
    <row r="224" spans="1:10">
      <c r="A224" s="98"/>
      <c r="B224" s="88" t="str">
        <v>-</v>
      </c>
      <c r="C224" s="15" t="str">
        <v>-</v>
      </c>
      <c r="D224" s="15" t="str">
        <v>-</v>
      </c>
      <c r="E224" s="15" t="str">
        <v>-</v>
      </c>
      <c r="F224" s="15" t="str">
        <v>-</v>
      </c>
      <c r="G224" s="15" t="str">
        <v>-</v>
      </c>
      <c r="H224" s="15" t="str">
        <v>-</v>
      </c>
      <c r="I224" s="15" t="str">
        <v>-</v>
      </c>
      <c r="J224" s="15" t="str">
        <v>-</v>
      </c>
    </row>
    <row r="225" spans="1:10">
      <c r="A225" s="98"/>
      <c r="B225" s="88" t="str">
        <v>-</v>
      </c>
      <c r="C225" s="15" t="str">
        <v>-</v>
      </c>
      <c r="D225" s="15" t="str">
        <v>-</v>
      </c>
      <c r="E225" s="15" t="str">
        <v>-</v>
      </c>
      <c r="F225" s="15" t="str">
        <v>-</v>
      </c>
      <c r="G225" s="15" t="str">
        <v>-</v>
      </c>
      <c r="H225" s="15" t="str">
        <v>-</v>
      </c>
      <c r="I225" s="15" t="str">
        <v>-</v>
      </c>
      <c r="J225" s="15" t="str">
        <v>-</v>
      </c>
    </row>
    <row r="226" spans="1:10">
      <c r="A226" s="98"/>
      <c r="B226" s="88" t="str">
        <v>-</v>
      </c>
      <c r="C226" s="15" t="str">
        <v>-</v>
      </c>
      <c r="D226" s="15" t="str">
        <v>-</v>
      </c>
      <c r="E226" s="15" t="str">
        <v>-</v>
      </c>
      <c r="F226" s="15" t="str">
        <v>-</v>
      </c>
      <c r="G226" s="15" t="str">
        <v>-</v>
      </c>
      <c r="H226" s="15" t="str">
        <v>-</v>
      </c>
      <c r="I226" s="15" t="str">
        <v>-</v>
      </c>
      <c r="J226" s="15" t="str">
        <v>-</v>
      </c>
    </row>
    <row r="227" spans="1:10">
      <c r="A227" s="98"/>
      <c r="B227" s="88" t="str">
        <v>-</v>
      </c>
      <c r="C227" s="15" t="str">
        <v>-</v>
      </c>
      <c r="D227" s="15" t="str">
        <v>-</v>
      </c>
      <c r="E227" s="15" t="str">
        <v>-</v>
      </c>
      <c r="F227" s="15" t="str">
        <v>-</v>
      </c>
      <c r="G227" s="15" t="str">
        <v>-</v>
      </c>
      <c r="H227" s="15" t="str">
        <v>-</v>
      </c>
      <c r="I227" s="15" t="str">
        <v>-</v>
      </c>
      <c r="J227" s="15" t="str">
        <v>-</v>
      </c>
    </row>
    <row r="228" spans="1:10">
      <c r="A228" s="98"/>
      <c r="B228" s="88" t="str">
        <v>-</v>
      </c>
      <c r="C228" s="15" t="str">
        <v>-</v>
      </c>
      <c r="D228" s="15" t="str">
        <v>-</v>
      </c>
      <c r="E228" s="15" t="str">
        <v>-</v>
      </c>
      <c r="F228" s="15" t="str">
        <v>-</v>
      </c>
      <c r="G228" s="15" t="str">
        <v>-</v>
      </c>
      <c r="H228" s="15" t="str">
        <v>-</v>
      </c>
      <c r="I228" s="15" t="str">
        <v>-</v>
      </c>
      <c r="J228" s="15" t="str">
        <v>-</v>
      </c>
    </row>
    <row r="229" spans="1:10">
      <c r="A229" s="98"/>
      <c r="B229" s="88" t="str">
        <v>-</v>
      </c>
      <c r="C229" s="15" t="str">
        <v>-</v>
      </c>
      <c r="D229" s="15" t="str">
        <v>-</v>
      </c>
      <c r="E229" s="15" t="str">
        <v>-</v>
      </c>
      <c r="F229" s="15" t="str">
        <v>-</v>
      </c>
      <c r="G229" s="15" t="str">
        <v>-</v>
      </c>
      <c r="H229" s="15" t="str">
        <v>-</v>
      </c>
      <c r="I229" s="15" t="str">
        <v>-</v>
      </c>
      <c r="J229" s="15" t="str">
        <v>-</v>
      </c>
    </row>
    <row r="230" spans="1:10">
      <c r="A230" s="98"/>
      <c r="B230" s="88" t="str">
        <v>-</v>
      </c>
      <c r="C230" s="15" t="str">
        <v>-</v>
      </c>
      <c r="D230" s="15" t="str">
        <v>-</v>
      </c>
      <c r="E230" s="15" t="str">
        <v>-</v>
      </c>
      <c r="F230" s="15" t="str">
        <v>-</v>
      </c>
      <c r="G230" s="15" t="str">
        <v>-</v>
      </c>
      <c r="H230" s="15" t="str">
        <v>-</v>
      </c>
      <c r="I230" s="15" t="str">
        <v>-</v>
      </c>
      <c r="J230" s="15" t="str">
        <v>-</v>
      </c>
    </row>
    <row r="231" spans="1:10">
      <c r="A231" s="98"/>
      <c r="B231" s="88" t="str">
        <v>-</v>
      </c>
      <c r="C231" s="15" t="str">
        <v>-</v>
      </c>
      <c r="D231" s="15" t="str">
        <v>-</v>
      </c>
      <c r="E231" s="15" t="str">
        <v>-</v>
      </c>
      <c r="F231" s="15" t="str">
        <v>-</v>
      </c>
      <c r="G231" s="15" t="str">
        <v>-</v>
      </c>
      <c r="H231" s="15" t="str">
        <v>-</v>
      </c>
      <c r="I231" s="15" t="str">
        <v>-</v>
      </c>
      <c r="J231" s="15" t="str">
        <v>-</v>
      </c>
    </row>
    <row r="232" spans="1:10">
      <c r="A232" s="98"/>
      <c r="B232" s="88" t="str">
        <v>-</v>
      </c>
      <c r="C232" s="15" t="str">
        <v>-</v>
      </c>
      <c r="D232" s="15" t="str">
        <v>-</v>
      </c>
      <c r="E232" s="15" t="str">
        <v>-</v>
      </c>
      <c r="F232" s="15" t="str">
        <v>-</v>
      </c>
      <c r="G232" s="15" t="str">
        <v>-</v>
      </c>
      <c r="H232" s="15" t="str">
        <v>-</v>
      </c>
      <c r="I232" s="15" t="str">
        <v>-</v>
      </c>
      <c r="J232" s="15" t="str">
        <v>-</v>
      </c>
    </row>
    <row r="233" spans="1:10">
      <c r="A233" s="98"/>
      <c r="B233" s="88" t="str">
        <v>-</v>
      </c>
      <c r="C233" s="15" t="str">
        <v>-</v>
      </c>
      <c r="D233" s="15" t="str">
        <v>-</v>
      </c>
      <c r="E233" s="15" t="str">
        <v>-</v>
      </c>
      <c r="F233" s="15" t="str">
        <v>-</v>
      </c>
      <c r="G233" s="15" t="str">
        <v>-</v>
      </c>
      <c r="H233" s="15" t="str">
        <v>-</v>
      </c>
      <c r="I233" s="15" t="str">
        <v>-</v>
      </c>
      <c r="J233" s="15" t="str">
        <v>-</v>
      </c>
    </row>
    <row r="234" spans="1:10">
      <c r="A234" s="98"/>
      <c r="B234" s="88" t="str">
        <v>-</v>
      </c>
      <c r="C234" s="15" t="str">
        <v>-</v>
      </c>
      <c r="D234" s="15" t="str">
        <v>-</v>
      </c>
      <c r="E234" s="15" t="str">
        <v>-</v>
      </c>
      <c r="F234" s="15" t="str">
        <v>-</v>
      </c>
      <c r="G234" s="15" t="str">
        <v>-</v>
      </c>
      <c r="H234" s="15" t="str">
        <v>-</v>
      </c>
      <c r="I234" s="15" t="str">
        <v>-</v>
      </c>
      <c r="J234" s="15" t="str">
        <v>-</v>
      </c>
    </row>
    <row r="235" spans="1:10">
      <c r="A235" s="98"/>
      <c r="B235" s="88" t="str">
        <v>-</v>
      </c>
      <c r="C235" s="15" t="str">
        <v>-</v>
      </c>
      <c r="D235" s="15" t="str">
        <v>-</v>
      </c>
      <c r="E235" s="15" t="str">
        <v>-</v>
      </c>
      <c r="F235" s="15" t="str">
        <v>-</v>
      </c>
      <c r="G235" s="15" t="str">
        <v>-</v>
      </c>
      <c r="H235" s="15" t="str">
        <v>-</v>
      </c>
      <c r="I235" s="15" t="str">
        <v>-</v>
      </c>
      <c r="J235" s="15" t="str">
        <v>-</v>
      </c>
    </row>
    <row r="236" spans="1:10">
      <c r="A236" s="98"/>
      <c r="B236" s="88" t="str">
        <v>-</v>
      </c>
      <c r="C236" s="15" t="str">
        <v>-</v>
      </c>
      <c r="D236" s="15" t="str">
        <v>-</v>
      </c>
      <c r="E236" s="15" t="str">
        <v>-</v>
      </c>
      <c r="F236" s="15" t="str">
        <v>-</v>
      </c>
      <c r="G236" s="15" t="str">
        <v>-</v>
      </c>
      <c r="H236" s="15" t="str">
        <v>-</v>
      </c>
      <c r="I236" s="15" t="str">
        <v>-</v>
      </c>
      <c r="J236" s="15" t="str">
        <v>-</v>
      </c>
    </row>
    <row r="237" spans="1:10">
      <c r="A237" s="98"/>
      <c r="B237" s="88" t="str">
        <v>-</v>
      </c>
      <c r="C237" s="15" t="str">
        <v>-</v>
      </c>
      <c r="D237" s="15" t="str">
        <v>-</v>
      </c>
      <c r="E237" s="15" t="str">
        <v>-</v>
      </c>
      <c r="F237" s="15" t="str">
        <v>-</v>
      </c>
      <c r="G237" s="15" t="str">
        <v>-</v>
      </c>
      <c r="H237" s="15" t="str">
        <v>-</v>
      </c>
      <c r="I237" s="15" t="str">
        <v>-</v>
      </c>
      <c r="J237" s="15" t="str">
        <v>-</v>
      </c>
    </row>
    <row r="238" spans="1:10">
      <c r="A238" s="98"/>
      <c r="B238" s="88" t="str">
        <v>-</v>
      </c>
      <c r="C238" s="15" t="str">
        <v>-</v>
      </c>
      <c r="D238" s="15" t="str">
        <v>-</v>
      </c>
      <c r="E238" s="15" t="str">
        <v>-</v>
      </c>
      <c r="F238" s="15" t="str">
        <v>-</v>
      </c>
      <c r="G238" s="15" t="str">
        <v>-</v>
      </c>
      <c r="H238" s="15" t="str">
        <v>-</v>
      </c>
      <c r="I238" s="15" t="str">
        <v>-</v>
      </c>
      <c r="J238" s="15" t="str">
        <v>-</v>
      </c>
    </row>
    <row r="239" spans="1:10">
      <c r="A239" s="98"/>
      <c r="B239" s="88" t="str">
        <v>-</v>
      </c>
      <c r="C239" s="15" t="str">
        <v>-</v>
      </c>
      <c r="D239" s="15" t="str">
        <v>-</v>
      </c>
      <c r="E239" s="15" t="str">
        <v>-</v>
      </c>
      <c r="F239" s="15" t="str">
        <v>-</v>
      </c>
      <c r="G239" s="15" t="str">
        <v>-</v>
      </c>
      <c r="H239" s="15" t="str">
        <v>-</v>
      </c>
      <c r="I239" s="15" t="str">
        <v>-</v>
      </c>
      <c r="J239" s="15" t="str">
        <v>-</v>
      </c>
    </row>
    <row r="240" spans="1:10">
      <c r="A240" s="98"/>
      <c r="B240" s="88" t="str">
        <v>-</v>
      </c>
      <c r="C240" s="15" t="str">
        <v>-</v>
      </c>
      <c r="D240" s="15" t="str">
        <v>-</v>
      </c>
      <c r="E240" s="15" t="str">
        <v>-</v>
      </c>
      <c r="F240" s="15" t="str">
        <v>-</v>
      </c>
      <c r="G240" s="15" t="str">
        <v>-</v>
      </c>
      <c r="H240" s="15" t="str">
        <v>-</v>
      </c>
      <c r="I240" s="15" t="str">
        <v>-</v>
      </c>
      <c r="J240" s="15" t="str">
        <v>-</v>
      </c>
    </row>
    <row r="241" spans="1:10">
      <c r="A241" s="98"/>
      <c r="B241" s="88" t="str">
        <v>-</v>
      </c>
      <c r="C241" s="15" t="str">
        <v>-</v>
      </c>
      <c r="D241" s="15" t="str">
        <v>-</v>
      </c>
      <c r="E241" s="15" t="str">
        <v>-</v>
      </c>
      <c r="F241" s="15" t="str">
        <v>-</v>
      </c>
      <c r="G241" s="15" t="str">
        <v>-</v>
      </c>
      <c r="H241" s="15" t="str">
        <v>-</v>
      </c>
      <c r="I241" s="15" t="str">
        <v>-</v>
      </c>
      <c r="J241" s="15" t="str">
        <v>-</v>
      </c>
    </row>
    <row r="242" spans="1:10">
      <c r="A242" s="98"/>
      <c r="B242" s="88" t="str">
        <v>-</v>
      </c>
      <c r="C242" s="15" t="str">
        <v>-</v>
      </c>
      <c r="D242" s="15" t="str">
        <v>-</v>
      </c>
      <c r="E242" s="15" t="str">
        <v>-</v>
      </c>
      <c r="F242" s="15" t="str">
        <v>-</v>
      </c>
      <c r="G242" s="15" t="str">
        <v>-</v>
      </c>
      <c r="H242" s="15" t="str">
        <v>-</v>
      </c>
      <c r="I242" s="15" t="str">
        <v>-</v>
      </c>
      <c r="J242" s="15" t="str">
        <v>-</v>
      </c>
    </row>
    <row r="243" spans="1:10">
      <c r="A243" s="98"/>
      <c r="B243" s="88" t="str">
        <v>-</v>
      </c>
      <c r="C243" s="15" t="str">
        <v>-</v>
      </c>
      <c r="D243" s="15" t="str">
        <v>-</v>
      </c>
      <c r="E243" s="15" t="str">
        <v>-</v>
      </c>
      <c r="F243" s="15" t="str">
        <v>-</v>
      </c>
      <c r="G243" s="15" t="str">
        <v>-</v>
      </c>
      <c r="H243" s="15" t="str">
        <v>-</v>
      </c>
      <c r="I243" s="15" t="str">
        <v>-</v>
      </c>
      <c r="J243" s="15" t="str">
        <v>-</v>
      </c>
    </row>
    <row r="244" spans="1:10">
      <c r="A244" s="98"/>
      <c r="B244" s="88" t="str">
        <v>-</v>
      </c>
      <c r="C244" s="15" t="str">
        <v>-</v>
      </c>
      <c r="D244" s="15" t="str">
        <v>-</v>
      </c>
      <c r="E244" s="15" t="str">
        <v>-</v>
      </c>
      <c r="F244" s="15" t="str">
        <v>-</v>
      </c>
      <c r="G244" s="15" t="str">
        <v>-</v>
      </c>
      <c r="H244" s="15" t="str">
        <v>-</v>
      </c>
      <c r="I244" s="15" t="str">
        <v>-</v>
      </c>
      <c r="J244" s="15" t="str">
        <v>-</v>
      </c>
    </row>
    <row r="245" spans="1:10">
      <c r="A245" s="98"/>
      <c r="B245" s="88" t="str">
        <v>-</v>
      </c>
      <c r="C245" s="15" t="str">
        <v>-</v>
      </c>
      <c r="D245" s="15" t="str">
        <v>-</v>
      </c>
      <c r="E245" s="15" t="str">
        <v>-</v>
      </c>
      <c r="F245" s="15" t="str">
        <v>-</v>
      </c>
      <c r="G245" s="15" t="str">
        <v>-</v>
      </c>
      <c r="H245" s="15" t="str">
        <v>-</v>
      </c>
      <c r="I245" s="15" t="str">
        <v>-</v>
      </c>
      <c r="J245" s="15" t="str">
        <v>-</v>
      </c>
    </row>
    <row r="246" spans="1:10">
      <c r="A246" s="98"/>
      <c r="B246" s="88" t="str">
        <v>-</v>
      </c>
      <c r="C246" s="15" t="str">
        <v>-</v>
      </c>
      <c r="D246" s="15" t="str">
        <v>-</v>
      </c>
      <c r="E246" s="15" t="str">
        <v>-</v>
      </c>
      <c r="F246" s="15" t="str">
        <v>-</v>
      </c>
      <c r="G246" s="15" t="str">
        <v>-</v>
      </c>
      <c r="H246" s="15" t="str">
        <v>-</v>
      </c>
      <c r="I246" s="15" t="str">
        <v>-</v>
      </c>
      <c r="J246" s="15" t="str">
        <v>-</v>
      </c>
    </row>
    <row r="247" spans="1:10">
      <c r="A247" s="98"/>
      <c r="B247" s="88" t="str">
        <v>-</v>
      </c>
      <c r="C247" s="15" t="str">
        <v>-</v>
      </c>
      <c r="D247" s="15" t="str">
        <v>-</v>
      </c>
      <c r="E247" s="15" t="str">
        <v>-</v>
      </c>
      <c r="F247" s="15" t="str">
        <v>-</v>
      </c>
      <c r="G247" s="15" t="str">
        <v>-</v>
      </c>
      <c r="H247" s="15" t="str">
        <v>-</v>
      </c>
      <c r="I247" s="15" t="str">
        <v>-</v>
      </c>
      <c r="J247" s="15" t="str">
        <v>-</v>
      </c>
    </row>
    <row r="248" spans="1:10">
      <c r="A248" s="98"/>
      <c r="B248" s="88" t="str">
        <v>-</v>
      </c>
      <c r="C248" s="15" t="str">
        <v>-</v>
      </c>
      <c r="D248" s="15" t="str">
        <v>-</v>
      </c>
      <c r="E248" s="15" t="str">
        <v>-</v>
      </c>
      <c r="F248" s="15" t="str">
        <v>-</v>
      </c>
      <c r="G248" s="15" t="str">
        <v>-</v>
      </c>
      <c r="H248" s="15" t="str">
        <v>-</v>
      </c>
      <c r="I248" s="15" t="str">
        <v>-</v>
      </c>
      <c r="J248" s="15" t="str">
        <v>-</v>
      </c>
    </row>
    <row r="249" spans="1:10">
      <c r="A249" s="98"/>
      <c r="B249" s="88" t="str">
        <v>-</v>
      </c>
      <c r="C249" s="15" t="str">
        <v>-</v>
      </c>
      <c r="D249" s="15" t="str">
        <v>-</v>
      </c>
      <c r="E249" s="15" t="str">
        <v>-</v>
      </c>
      <c r="F249" s="15" t="str">
        <v>-</v>
      </c>
      <c r="G249" s="15" t="str">
        <v>-</v>
      </c>
      <c r="H249" s="15" t="str">
        <v>-</v>
      </c>
      <c r="I249" s="15" t="str">
        <v>-</v>
      </c>
      <c r="J249" s="15" t="str">
        <v>-</v>
      </c>
    </row>
    <row r="250" spans="1:10">
      <c r="A250" s="98"/>
      <c r="B250" s="88" t="str">
        <v>-</v>
      </c>
      <c r="C250" s="15" t="str">
        <v>-</v>
      </c>
      <c r="D250" s="15" t="str">
        <v>-</v>
      </c>
      <c r="E250" s="15" t="str">
        <v>-</v>
      </c>
      <c r="F250" s="15" t="str">
        <v>-</v>
      </c>
      <c r="G250" s="15" t="str">
        <v>-</v>
      </c>
      <c r="H250" s="15" t="str">
        <v>-</v>
      </c>
      <c r="I250" s="15" t="str">
        <v>-</v>
      </c>
      <c r="J250" s="15" t="str">
        <v>-</v>
      </c>
    </row>
    <row r="251" spans="1:10">
      <c r="A251" s="98"/>
      <c r="B251" s="88" t="str">
        <v>-</v>
      </c>
      <c r="C251" s="15" t="str">
        <v>-</v>
      </c>
      <c r="D251" s="15" t="str">
        <v>-</v>
      </c>
      <c r="E251" s="15" t="str">
        <v>-</v>
      </c>
      <c r="F251" s="15" t="str">
        <v>-</v>
      </c>
      <c r="G251" s="15" t="str">
        <v>-</v>
      </c>
      <c r="H251" s="15" t="str">
        <v>-</v>
      </c>
      <c r="I251" s="15" t="str">
        <v>-</v>
      </c>
      <c r="J251" s="15" t="str">
        <v>-</v>
      </c>
    </row>
    <row r="252" spans="1:10">
      <c r="A252" s="98"/>
      <c r="B252" s="88" t="str">
        <v>-</v>
      </c>
      <c r="C252" s="15" t="str">
        <v>-</v>
      </c>
      <c r="D252" s="15" t="str">
        <v>-</v>
      </c>
      <c r="E252" s="15" t="str">
        <v>-</v>
      </c>
      <c r="F252" s="15" t="str">
        <v>-</v>
      </c>
      <c r="G252" s="15" t="str">
        <v>-</v>
      </c>
      <c r="H252" s="15" t="str">
        <v>-</v>
      </c>
      <c r="I252" s="15" t="str">
        <v>-</v>
      </c>
      <c r="J252" s="15" t="str">
        <v>-</v>
      </c>
    </row>
    <row r="253" spans="1:10">
      <c r="A253" s="98"/>
      <c r="B253" s="88" t="str">
        <v>-</v>
      </c>
      <c r="C253" s="15" t="str">
        <v>-</v>
      </c>
      <c r="D253" s="15" t="str">
        <v>-</v>
      </c>
      <c r="E253" s="15" t="str">
        <v>-</v>
      </c>
      <c r="F253" s="15" t="str">
        <v>-</v>
      </c>
      <c r="G253" s="15" t="str">
        <v>-</v>
      </c>
      <c r="H253" s="15" t="str">
        <v>-</v>
      </c>
      <c r="I253" s="15" t="str">
        <v>-</v>
      </c>
      <c r="J253" s="15" t="str">
        <v>-</v>
      </c>
    </row>
    <row r="254" spans="1:10">
      <c r="A254" s="98"/>
      <c r="B254" s="88" t="str">
        <v>-</v>
      </c>
      <c r="C254" s="15" t="str">
        <v>-</v>
      </c>
      <c r="D254" s="15" t="str">
        <v>-</v>
      </c>
      <c r="E254" s="15" t="str">
        <v>-</v>
      </c>
      <c r="F254" s="15" t="str">
        <v>-</v>
      </c>
      <c r="G254" s="15" t="str">
        <v>-</v>
      </c>
      <c r="H254" s="15" t="str">
        <v>-</v>
      </c>
      <c r="I254" s="15" t="str">
        <v>-</v>
      </c>
      <c r="J254" s="15" t="str">
        <v>-</v>
      </c>
    </row>
    <row r="255" spans="1:10">
      <c r="A255" s="98"/>
      <c r="B255" s="88" t="str">
        <v>-</v>
      </c>
      <c r="C255" s="15" t="str">
        <v>-</v>
      </c>
      <c r="D255" s="15" t="str">
        <v>-</v>
      </c>
      <c r="E255" s="15" t="str">
        <v>-</v>
      </c>
      <c r="F255" s="15" t="str">
        <v>-</v>
      </c>
      <c r="G255" s="15" t="str">
        <v>-</v>
      </c>
      <c r="H255" s="15" t="str">
        <v>-</v>
      </c>
      <c r="I255" s="15" t="str">
        <v>-</v>
      </c>
      <c r="J255" s="15" t="str">
        <v>-</v>
      </c>
    </row>
    <row r="256" spans="1:10">
      <c r="A256" s="98"/>
      <c r="B256" s="88" t="str">
        <v>-</v>
      </c>
      <c r="C256" s="15" t="str">
        <v>-</v>
      </c>
      <c r="D256" s="15" t="str">
        <v>-</v>
      </c>
      <c r="E256" s="15" t="str">
        <v>-</v>
      </c>
      <c r="F256" s="15" t="str">
        <v>-</v>
      </c>
      <c r="G256" s="15" t="str">
        <v>-</v>
      </c>
      <c r="H256" s="15" t="str">
        <v>-</v>
      </c>
      <c r="I256" s="15" t="str">
        <v>-</v>
      </c>
      <c r="J256" s="15" t="str">
        <v>-</v>
      </c>
    </row>
    <row r="257" spans="1:10">
      <c r="A257" s="98"/>
      <c r="B257" s="88" t="str">
        <v>-</v>
      </c>
      <c r="C257" s="15" t="str">
        <v>-</v>
      </c>
      <c r="D257" s="15" t="str">
        <v>-</v>
      </c>
      <c r="E257" s="15" t="str">
        <v>-</v>
      </c>
      <c r="F257" s="15" t="str">
        <v>-</v>
      </c>
      <c r="G257" s="15" t="str">
        <v>-</v>
      </c>
      <c r="H257" s="15" t="str">
        <v>-</v>
      </c>
      <c r="I257" s="15" t="str">
        <v>-</v>
      </c>
      <c r="J257" s="15" t="str">
        <v>-</v>
      </c>
    </row>
    <row r="258" spans="1:10">
      <c r="A258" s="98"/>
      <c r="B258" s="88" t="str">
        <v>-</v>
      </c>
      <c r="C258" s="15" t="str">
        <v>-</v>
      </c>
      <c r="D258" s="15" t="str">
        <v>-</v>
      </c>
      <c r="E258" s="15" t="str">
        <v>-</v>
      </c>
      <c r="F258" s="15" t="str">
        <v>-</v>
      </c>
      <c r="G258" s="15" t="str">
        <v>-</v>
      </c>
      <c r="H258" s="15" t="str">
        <v>-</v>
      </c>
      <c r="I258" s="15" t="str">
        <v>-</v>
      </c>
      <c r="J258" s="15" t="str">
        <v>-</v>
      </c>
    </row>
    <row r="259" spans="1:10">
      <c r="A259" s="98"/>
      <c r="B259" s="88" t="str">
        <v>-</v>
      </c>
      <c r="C259" s="15" t="str">
        <v>-</v>
      </c>
      <c r="D259" s="15" t="str">
        <v>-</v>
      </c>
      <c r="E259" s="15" t="str">
        <v>-</v>
      </c>
      <c r="F259" s="15" t="str">
        <v>-</v>
      </c>
      <c r="G259" s="15" t="str">
        <v>-</v>
      </c>
      <c r="H259" s="15" t="str">
        <v>-</v>
      </c>
      <c r="I259" s="15" t="str">
        <v>-</v>
      </c>
      <c r="J259" s="15" t="str">
        <v>-</v>
      </c>
    </row>
    <row r="260" spans="1:10">
      <c r="A260" s="98"/>
      <c r="B260" s="88" t="str">
        <v>-</v>
      </c>
      <c r="C260" s="15" t="str">
        <v>-</v>
      </c>
      <c r="D260" s="15" t="str">
        <v>-</v>
      </c>
      <c r="E260" s="15" t="str">
        <v>-</v>
      </c>
      <c r="F260" s="15" t="str">
        <v>-</v>
      </c>
      <c r="G260" s="15" t="str">
        <v>-</v>
      </c>
      <c r="H260" s="15" t="str">
        <v>-</v>
      </c>
      <c r="I260" s="15" t="str">
        <v>-</v>
      </c>
      <c r="J260" s="15" t="str">
        <v>-</v>
      </c>
    </row>
    <row r="261" spans="1:10">
      <c r="A261" s="98"/>
      <c r="B261" s="88" t="str">
        <v>-</v>
      </c>
      <c r="C261" s="15" t="str">
        <v>-</v>
      </c>
      <c r="D261" s="15" t="str">
        <v>-</v>
      </c>
      <c r="E261" s="15" t="str">
        <v>-</v>
      </c>
      <c r="F261" s="15" t="str">
        <v>-</v>
      </c>
      <c r="G261" s="15" t="str">
        <v>-</v>
      </c>
      <c r="H261" s="15" t="str">
        <v>-</v>
      </c>
      <c r="I261" s="15" t="str">
        <v>-</v>
      </c>
      <c r="J261" s="15" t="str">
        <v>-</v>
      </c>
    </row>
    <row r="262" spans="1:10">
      <c r="A262" s="98"/>
      <c r="B262" s="88" t="str">
        <v>-</v>
      </c>
      <c r="C262" s="15" t="str">
        <v>-</v>
      </c>
      <c r="D262" s="15" t="str">
        <v>-</v>
      </c>
      <c r="E262" s="15" t="str">
        <v>-</v>
      </c>
      <c r="F262" s="15" t="str">
        <v>-</v>
      </c>
      <c r="G262" s="15" t="str">
        <v>-</v>
      </c>
      <c r="H262" s="15" t="str">
        <v>-</v>
      </c>
      <c r="I262" s="15" t="str">
        <v>-</v>
      </c>
      <c r="J262" s="15" t="str">
        <v>-</v>
      </c>
    </row>
    <row r="263" spans="1:10">
      <c r="A263" s="98"/>
      <c r="B263" s="88" t="str">
        <v>-</v>
      </c>
      <c r="C263" s="15" t="str">
        <v>-</v>
      </c>
      <c r="D263" s="15" t="str">
        <v>-</v>
      </c>
      <c r="E263" s="15" t="str">
        <v>-</v>
      </c>
      <c r="F263" s="15" t="str">
        <v>-</v>
      </c>
      <c r="G263" s="15" t="str">
        <v>-</v>
      </c>
      <c r="H263" s="15" t="str">
        <v>-</v>
      </c>
      <c r="I263" s="15" t="str">
        <v>-</v>
      </c>
      <c r="J263" s="15" t="str">
        <v>-</v>
      </c>
    </row>
    <row r="264" spans="1:10">
      <c r="A264" s="98"/>
      <c r="B264" s="88" t="str">
        <v>-</v>
      </c>
      <c r="C264" s="15" t="str">
        <v>-</v>
      </c>
      <c r="D264" s="15" t="str">
        <v>-</v>
      </c>
      <c r="E264" s="15" t="str">
        <v>-</v>
      </c>
      <c r="F264" s="15" t="str">
        <v>-</v>
      </c>
      <c r="G264" s="15" t="str">
        <v>-</v>
      </c>
      <c r="H264" s="15" t="str">
        <v>-</v>
      </c>
      <c r="I264" s="15" t="str">
        <v>-</v>
      </c>
      <c r="J264" s="15" t="str">
        <v>-</v>
      </c>
    </row>
    <row r="265" spans="1:10">
      <c r="A265" s="98"/>
      <c r="B265" s="88" t="str">
        <v>-</v>
      </c>
      <c r="C265" s="15" t="str">
        <v>-</v>
      </c>
      <c r="D265" s="15" t="str">
        <v>-</v>
      </c>
      <c r="E265" s="15" t="str">
        <v>-</v>
      </c>
      <c r="F265" s="15" t="str">
        <v>-</v>
      </c>
      <c r="G265" s="15" t="str">
        <v>-</v>
      </c>
      <c r="H265" s="15" t="str">
        <v>-</v>
      </c>
      <c r="I265" s="15" t="str">
        <v>-</v>
      </c>
      <c r="J265" s="15" t="str">
        <v>-</v>
      </c>
    </row>
    <row r="266" spans="1:10">
      <c r="A266" s="98"/>
      <c r="B266" s="88" t="str">
        <v>-</v>
      </c>
      <c r="C266" s="15" t="str">
        <v>-</v>
      </c>
      <c r="D266" s="15" t="str">
        <v>-</v>
      </c>
      <c r="E266" s="15" t="str">
        <v>-</v>
      </c>
      <c r="F266" s="15" t="str">
        <v>-</v>
      </c>
      <c r="G266" s="15" t="str">
        <v>-</v>
      </c>
      <c r="H266" s="15" t="str">
        <v>-</v>
      </c>
      <c r="I266" s="15" t="str">
        <v>-</v>
      </c>
      <c r="J266" s="15" t="str">
        <v>-</v>
      </c>
    </row>
    <row r="267" spans="1:10">
      <c r="A267" s="98"/>
      <c r="B267" s="88" t="str">
        <v>-</v>
      </c>
      <c r="C267" s="15" t="str">
        <v>-</v>
      </c>
      <c r="D267" s="15" t="str">
        <v>-</v>
      </c>
      <c r="E267" s="15" t="str">
        <v>-</v>
      </c>
      <c r="F267" s="15" t="str">
        <v>-</v>
      </c>
      <c r="G267" s="15" t="str">
        <v>-</v>
      </c>
      <c r="H267" s="15" t="str">
        <v>-</v>
      </c>
      <c r="I267" s="15" t="str">
        <v>-</v>
      </c>
      <c r="J267" s="15" t="str">
        <v>-</v>
      </c>
    </row>
    <row r="268" spans="1:10">
      <c r="A268" s="98"/>
      <c r="B268" s="88" t="str">
        <v>-</v>
      </c>
      <c r="C268" s="15" t="str">
        <v>-</v>
      </c>
      <c r="D268" s="15" t="str">
        <v>-</v>
      </c>
      <c r="E268" s="15" t="str">
        <v>-</v>
      </c>
      <c r="F268" s="15" t="str">
        <v>-</v>
      </c>
      <c r="G268" s="15" t="str">
        <v>-</v>
      </c>
      <c r="H268" s="15" t="str">
        <v>-</v>
      </c>
      <c r="I268" s="15" t="str">
        <v>-</v>
      </c>
      <c r="J268" s="15" t="str">
        <v>-</v>
      </c>
    </row>
    <row r="269" spans="1:10">
      <c r="A269" s="98"/>
      <c r="B269" s="88" t="str">
        <v>-</v>
      </c>
      <c r="C269" s="15" t="str">
        <v>-</v>
      </c>
      <c r="D269" s="15" t="str">
        <v>-</v>
      </c>
      <c r="E269" s="15" t="str">
        <v>-</v>
      </c>
      <c r="F269" s="15" t="str">
        <v>-</v>
      </c>
      <c r="G269" s="15" t="str">
        <v>-</v>
      </c>
      <c r="H269" s="15" t="str">
        <v>-</v>
      </c>
      <c r="I269" s="15" t="str">
        <v>-</v>
      </c>
      <c r="J269" s="15" t="str">
        <v>-</v>
      </c>
    </row>
    <row r="270" spans="1:10">
      <c r="A270" s="98"/>
      <c r="B270" s="88" t="str">
        <v>-</v>
      </c>
      <c r="C270" s="15" t="str">
        <v>-</v>
      </c>
      <c r="D270" s="15" t="str">
        <v>-</v>
      </c>
      <c r="E270" s="15" t="str">
        <v>-</v>
      </c>
      <c r="F270" s="15" t="str">
        <v>-</v>
      </c>
      <c r="G270" s="15" t="str">
        <v>-</v>
      </c>
      <c r="H270" s="15" t="str">
        <v>-</v>
      </c>
      <c r="I270" s="15" t="str">
        <v>-</v>
      </c>
      <c r="J270" s="15" t="str">
        <v>-</v>
      </c>
    </row>
    <row r="271" spans="1:10">
      <c r="A271" s="98"/>
      <c r="B271" s="88" t="str">
        <v>-</v>
      </c>
      <c r="C271" s="15" t="str">
        <v>-</v>
      </c>
      <c r="D271" s="15" t="str">
        <v>-</v>
      </c>
      <c r="E271" s="15" t="str">
        <v>-</v>
      </c>
      <c r="F271" s="15" t="str">
        <v>-</v>
      </c>
      <c r="G271" s="15" t="str">
        <v>-</v>
      </c>
      <c r="H271" s="15" t="str">
        <v>-</v>
      </c>
      <c r="I271" s="15" t="str">
        <v>-</v>
      </c>
      <c r="J271" s="15" t="str">
        <v>-</v>
      </c>
    </row>
    <row r="272" spans="1:10">
      <c r="A272" s="98"/>
      <c r="B272" s="88" t="str">
        <v>-</v>
      </c>
      <c r="C272" s="15" t="str">
        <v>-</v>
      </c>
      <c r="D272" s="15" t="str">
        <v>-</v>
      </c>
      <c r="E272" s="15" t="str">
        <v>-</v>
      </c>
      <c r="F272" s="15" t="str">
        <v>-</v>
      </c>
      <c r="G272" s="15" t="str">
        <v>-</v>
      </c>
      <c r="H272" s="15" t="str">
        <v>-</v>
      </c>
      <c r="I272" s="15" t="str">
        <v>-</v>
      </c>
      <c r="J272" s="15" t="str">
        <v>-</v>
      </c>
    </row>
    <row r="273" spans="1:10">
      <c r="A273" s="98"/>
      <c r="B273" s="88" t="str">
        <v>-</v>
      </c>
      <c r="C273" s="15" t="str">
        <v>-</v>
      </c>
      <c r="D273" s="15" t="str">
        <v>-</v>
      </c>
      <c r="E273" s="15" t="str">
        <v>-</v>
      </c>
      <c r="F273" s="15" t="str">
        <v>-</v>
      </c>
      <c r="G273" s="15" t="str">
        <v>-</v>
      </c>
      <c r="H273" s="15" t="str">
        <v>-</v>
      </c>
      <c r="I273" s="15" t="str">
        <v>-</v>
      </c>
      <c r="J273" s="15" t="str">
        <v>-</v>
      </c>
    </row>
    <row r="274" spans="1:10">
      <c r="A274" s="98"/>
      <c r="B274" s="88" t="str">
        <v>-</v>
      </c>
      <c r="C274" s="15" t="str">
        <v>-</v>
      </c>
      <c r="D274" s="15" t="str">
        <v>-</v>
      </c>
      <c r="E274" s="15" t="str">
        <v>-</v>
      </c>
      <c r="F274" s="15" t="str">
        <v>-</v>
      </c>
      <c r="G274" s="15" t="str">
        <v>-</v>
      </c>
      <c r="H274" s="15" t="str">
        <v>-</v>
      </c>
      <c r="I274" s="15" t="str">
        <v>-</v>
      </c>
      <c r="J274" s="15" t="str">
        <v>-</v>
      </c>
    </row>
    <row r="275" spans="1:10">
      <c r="A275" s="98"/>
      <c r="B275" s="88" t="str">
        <v>-</v>
      </c>
      <c r="C275" s="15" t="str">
        <v>-</v>
      </c>
      <c r="D275" s="15" t="str">
        <v>-</v>
      </c>
      <c r="E275" s="15" t="str">
        <v>-</v>
      </c>
      <c r="F275" s="15" t="str">
        <v>-</v>
      </c>
      <c r="G275" s="15" t="str">
        <v>-</v>
      </c>
      <c r="H275" s="15" t="str">
        <v>-</v>
      </c>
      <c r="I275" s="15" t="str">
        <v>-</v>
      </c>
      <c r="J275" s="15" t="str">
        <v>-</v>
      </c>
    </row>
    <row r="276" spans="1:10">
      <c r="A276" s="98"/>
      <c r="B276" s="88" t="str">
        <v>-</v>
      </c>
      <c r="C276" s="15" t="str">
        <v>-</v>
      </c>
      <c r="D276" s="15" t="str">
        <v>-</v>
      </c>
      <c r="E276" s="15" t="str">
        <v>-</v>
      </c>
      <c r="F276" s="15" t="str">
        <v>-</v>
      </c>
      <c r="G276" s="15" t="str">
        <v>-</v>
      </c>
      <c r="H276" s="15" t="str">
        <v>-</v>
      </c>
      <c r="I276" s="15" t="str">
        <v>-</v>
      </c>
      <c r="J276" s="15" t="str">
        <v>-</v>
      </c>
    </row>
    <row r="277" spans="1:10">
      <c r="A277" s="98"/>
      <c r="B277" s="88" t="str">
        <v>-</v>
      </c>
      <c r="C277" s="15" t="str">
        <v>-</v>
      </c>
      <c r="D277" s="15" t="str">
        <v>-</v>
      </c>
      <c r="E277" s="15" t="str">
        <v>-</v>
      </c>
      <c r="F277" s="15" t="str">
        <v>-</v>
      </c>
      <c r="G277" s="15" t="str">
        <v>-</v>
      </c>
      <c r="H277" s="15" t="str">
        <v>-</v>
      </c>
      <c r="I277" s="15" t="str">
        <v>-</v>
      </c>
      <c r="J277" s="15" t="str">
        <v>-</v>
      </c>
    </row>
    <row r="278" spans="1:10">
      <c r="A278" s="98"/>
      <c r="B278" s="88" t="str">
        <v>-</v>
      </c>
      <c r="C278" s="15" t="str">
        <v>-</v>
      </c>
      <c r="D278" s="15" t="str">
        <v>-</v>
      </c>
      <c r="E278" s="15" t="str">
        <v>-</v>
      </c>
      <c r="F278" s="15" t="str">
        <v>-</v>
      </c>
      <c r="G278" s="15" t="str">
        <v>-</v>
      </c>
      <c r="H278" s="15" t="str">
        <v>-</v>
      </c>
      <c r="I278" s="15" t="str">
        <v>-</v>
      </c>
      <c r="J278" s="15" t="str">
        <v>-</v>
      </c>
    </row>
    <row r="279" spans="1:10">
      <c r="A279" s="98"/>
      <c r="B279" s="88" t="str">
        <v>-</v>
      </c>
      <c r="C279" s="15" t="str">
        <v>-</v>
      </c>
      <c r="D279" s="15" t="str">
        <v>-</v>
      </c>
      <c r="E279" s="15" t="str">
        <v>-</v>
      </c>
      <c r="F279" s="15" t="str">
        <v>-</v>
      </c>
      <c r="G279" s="15" t="str">
        <v>-</v>
      </c>
      <c r="H279" s="15" t="str">
        <v>-</v>
      </c>
      <c r="I279" s="15" t="str">
        <v>-</v>
      </c>
      <c r="J279" s="15" t="str">
        <v>-</v>
      </c>
    </row>
    <row r="280" spans="1:10">
      <c r="A280" s="98"/>
      <c r="B280" s="88" t="str">
        <v>-</v>
      </c>
      <c r="C280" s="15" t="str">
        <v>-</v>
      </c>
      <c r="D280" s="15" t="str">
        <v>-</v>
      </c>
      <c r="E280" s="15" t="str">
        <v>-</v>
      </c>
      <c r="F280" s="15" t="str">
        <v>-</v>
      </c>
      <c r="G280" s="15" t="str">
        <v>-</v>
      </c>
      <c r="H280" s="15" t="str">
        <v>-</v>
      </c>
      <c r="I280" s="15" t="str">
        <v>-</v>
      </c>
      <c r="J280" s="15" t="str">
        <v>-</v>
      </c>
    </row>
    <row r="281" spans="1:10">
      <c r="A281" s="98"/>
      <c r="B281" s="88" t="str">
        <v>-</v>
      </c>
      <c r="C281" s="15" t="str">
        <v>-</v>
      </c>
      <c r="D281" s="15" t="str">
        <v>-</v>
      </c>
      <c r="E281" s="15" t="str">
        <v>-</v>
      </c>
      <c r="F281" s="15" t="str">
        <v>-</v>
      </c>
      <c r="G281" s="15" t="str">
        <v>-</v>
      </c>
      <c r="H281" s="15" t="str">
        <v>-</v>
      </c>
      <c r="I281" s="15" t="str">
        <v>-</v>
      </c>
      <c r="J281" s="15" t="str">
        <v>-</v>
      </c>
    </row>
    <row r="282" spans="1:10">
      <c r="A282" s="98"/>
      <c r="B282" s="88" t="str">
        <v>-</v>
      </c>
      <c r="C282" s="15" t="str">
        <v>-</v>
      </c>
      <c r="D282" s="15" t="str">
        <v>-</v>
      </c>
      <c r="E282" s="15" t="str">
        <v>-</v>
      </c>
      <c r="F282" s="15" t="str">
        <v>-</v>
      </c>
      <c r="G282" s="15" t="str">
        <v>-</v>
      </c>
      <c r="H282" s="15" t="str">
        <v>-</v>
      </c>
      <c r="I282" s="15" t="str">
        <v>-</v>
      </c>
      <c r="J282" s="15" t="str">
        <v>-</v>
      </c>
    </row>
    <row r="283" spans="1:10">
      <c r="A283" s="98"/>
      <c r="B283" s="88" t="str">
        <v>-</v>
      </c>
      <c r="C283" s="15" t="str">
        <v>-</v>
      </c>
      <c r="D283" s="15" t="str">
        <v>-</v>
      </c>
      <c r="E283" s="15" t="str">
        <v>-</v>
      </c>
      <c r="F283" s="15" t="str">
        <v>-</v>
      </c>
      <c r="G283" s="15" t="str">
        <v>-</v>
      </c>
      <c r="H283" s="15" t="str">
        <v>-</v>
      </c>
      <c r="I283" s="15" t="str">
        <v>-</v>
      </c>
      <c r="J283" s="15" t="str">
        <v>-</v>
      </c>
    </row>
    <row r="284" spans="1:10">
      <c r="A284" s="98"/>
      <c r="B284" s="88" t="str">
        <v>-</v>
      </c>
      <c r="C284" s="15" t="str">
        <v>-</v>
      </c>
      <c r="D284" s="15" t="str">
        <v>-</v>
      </c>
      <c r="E284" s="15" t="str">
        <v>-</v>
      </c>
      <c r="F284" s="15" t="str">
        <v>-</v>
      </c>
      <c r="G284" s="15" t="str">
        <v>-</v>
      </c>
      <c r="H284" s="15" t="str">
        <v>-</v>
      </c>
      <c r="I284" s="15" t="str">
        <v>-</v>
      </c>
      <c r="J284" s="15" t="str">
        <v>-</v>
      </c>
    </row>
    <row r="285" spans="1:10">
      <c r="A285" s="98"/>
      <c r="B285" s="88" t="str">
        <v>-</v>
      </c>
      <c r="C285" s="15" t="str">
        <v>-</v>
      </c>
      <c r="D285" s="15" t="str">
        <v>-</v>
      </c>
      <c r="E285" s="15" t="str">
        <v>-</v>
      </c>
      <c r="F285" s="15" t="str">
        <v>-</v>
      </c>
      <c r="G285" s="15" t="str">
        <v>-</v>
      </c>
      <c r="H285" s="15" t="str">
        <v>-</v>
      </c>
      <c r="I285" s="15" t="str">
        <v>-</v>
      </c>
      <c r="J285" s="15" t="str">
        <v>-</v>
      </c>
    </row>
    <row r="286" spans="1:10">
      <c r="A286" s="98"/>
      <c r="B286" s="88" t="str">
        <v>-</v>
      </c>
      <c r="C286" s="15" t="str">
        <v>-</v>
      </c>
      <c r="D286" s="15" t="str">
        <v>-</v>
      </c>
      <c r="E286" s="15" t="str">
        <v>-</v>
      </c>
      <c r="F286" s="15" t="str">
        <v>-</v>
      </c>
      <c r="G286" s="15" t="str">
        <v>-</v>
      </c>
      <c r="H286" s="15" t="str">
        <v>-</v>
      </c>
      <c r="I286" s="15" t="str">
        <v>-</v>
      </c>
      <c r="J286" s="15" t="str">
        <v>-</v>
      </c>
    </row>
    <row r="287" spans="1:10">
      <c r="A287" s="98"/>
      <c r="B287" s="88" t="str">
        <v>-</v>
      </c>
      <c r="C287" s="15" t="str">
        <v>-</v>
      </c>
      <c r="D287" s="15" t="str">
        <v>-</v>
      </c>
      <c r="E287" s="15" t="str">
        <v>-</v>
      </c>
      <c r="F287" s="15" t="str">
        <v>-</v>
      </c>
      <c r="G287" s="15" t="str">
        <v>-</v>
      </c>
      <c r="H287" s="15" t="str">
        <v>-</v>
      </c>
      <c r="I287" s="15" t="str">
        <v>-</v>
      </c>
      <c r="J287" s="15" t="str">
        <v>-</v>
      </c>
    </row>
    <row r="288" spans="1:10">
      <c r="A288" s="98"/>
      <c r="B288" s="88" t="str">
        <v>-</v>
      </c>
      <c r="C288" s="15" t="str">
        <v>-</v>
      </c>
      <c r="D288" s="15" t="str">
        <v>-</v>
      </c>
      <c r="E288" s="15" t="str">
        <v>-</v>
      </c>
      <c r="F288" s="15" t="str">
        <v>-</v>
      </c>
      <c r="G288" s="15" t="str">
        <v>-</v>
      </c>
      <c r="H288" s="15" t="str">
        <v>-</v>
      </c>
      <c r="I288" s="15" t="str">
        <v>-</v>
      </c>
      <c r="J288" s="15" t="str">
        <v>-</v>
      </c>
    </row>
    <row r="289" spans="1:10">
      <c r="A289" s="98"/>
      <c r="B289" s="88" t="str">
        <v>-</v>
      </c>
      <c r="C289" s="15" t="str">
        <v>-</v>
      </c>
      <c r="D289" s="15" t="str">
        <v>-</v>
      </c>
      <c r="E289" s="15" t="str">
        <v>-</v>
      </c>
      <c r="F289" s="15" t="str">
        <v>-</v>
      </c>
      <c r="G289" s="15" t="str">
        <v>-</v>
      </c>
      <c r="H289" s="15" t="str">
        <v>-</v>
      </c>
      <c r="I289" s="15" t="str">
        <v>-</v>
      </c>
      <c r="J289" s="15" t="str">
        <v>-</v>
      </c>
    </row>
    <row r="290" spans="1:10">
      <c r="A290" s="98"/>
      <c r="B290" s="88" t="str">
        <v>-</v>
      </c>
      <c r="C290" s="15" t="str">
        <v>-</v>
      </c>
      <c r="D290" s="15" t="str">
        <v>-</v>
      </c>
      <c r="E290" s="15" t="str">
        <v>-</v>
      </c>
      <c r="F290" s="15" t="str">
        <v>-</v>
      </c>
      <c r="G290" s="15" t="str">
        <v>-</v>
      </c>
      <c r="H290" s="15" t="str">
        <v>-</v>
      </c>
      <c r="I290" s="15" t="str">
        <v>-</v>
      </c>
      <c r="J290" s="15" t="str">
        <v>-</v>
      </c>
    </row>
    <row r="291" spans="1:10">
      <c r="A291" s="98"/>
      <c r="B291" s="88" t="str">
        <v>-</v>
      </c>
      <c r="C291" s="15" t="str">
        <v>-</v>
      </c>
      <c r="D291" s="15" t="str">
        <v>-</v>
      </c>
      <c r="E291" s="15" t="str">
        <v>-</v>
      </c>
      <c r="F291" s="15" t="str">
        <v>-</v>
      </c>
      <c r="G291" s="15" t="str">
        <v>-</v>
      </c>
      <c r="H291" s="15" t="str">
        <v>-</v>
      </c>
      <c r="I291" s="15" t="str">
        <v>-</v>
      </c>
      <c r="J291" s="15" t="str">
        <v>-</v>
      </c>
    </row>
    <row r="292" spans="1:10">
      <c r="A292" s="98"/>
      <c r="B292" s="88" t="str">
        <v>-</v>
      </c>
      <c r="C292" s="15" t="str">
        <v>-</v>
      </c>
      <c r="D292" s="15" t="str">
        <v>-</v>
      </c>
      <c r="E292" s="15" t="str">
        <v>-</v>
      </c>
      <c r="F292" s="15" t="str">
        <v>-</v>
      </c>
      <c r="G292" s="15" t="str">
        <v>-</v>
      </c>
      <c r="H292" s="15" t="str">
        <v>-</v>
      </c>
      <c r="I292" s="15" t="str">
        <v>-</v>
      </c>
      <c r="J292" s="15" t="str">
        <v>-</v>
      </c>
    </row>
    <row r="293" spans="1:10">
      <c r="A293" s="98"/>
      <c r="B293" s="88" t="str">
        <v>-</v>
      </c>
      <c r="C293" s="15" t="str">
        <v>-</v>
      </c>
      <c r="D293" s="15" t="str">
        <v>-</v>
      </c>
      <c r="E293" s="15" t="str">
        <v>-</v>
      </c>
      <c r="F293" s="15" t="str">
        <v>-</v>
      </c>
      <c r="G293" s="15" t="str">
        <v>-</v>
      </c>
      <c r="H293" s="15" t="str">
        <v>-</v>
      </c>
      <c r="I293" s="15" t="str">
        <v>-</v>
      </c>
      <c r="J293" s="15" t="str">
        <v>-</v>
      </c>
    </row>
    <row r="294" spans="1:10">
      <c r="A294" s="98"/>
      <c r="B294" s="88" t="str">
        <v>-</v>
      </c>
      <c r="C294" s="15" t="str">
        <v>-</v>
      </c>
      <c r="D294" s="15" t="str">
        <v>-</v>
      </c>
      <c r="E294" s="15" t="str">
        <v>-</v>
      </c>
      <c r="F294" s="15" t="str">
        <v>-</v>
      </c>
      <c r="G294" s="15" t="str">
        <v>-</v>
      </c>
      <c r="H294" s="15" t="str">
        <v>-</v>
      </c>
      <c r="I294" s="15" t="str">
        <v>-</v>
      </c>
      <c r="J294" s="15" t="str">
        <v>-</v>
      </c>
    </row>
    <row r="295" spans="1:10">
      <c r="A295" s="98"/>
      <c r="B295" s="88" t="str">
        <v>-</v>
      </c>
      <c r="C295" s="15" t="str">
        <v>-</v>
      </c>
      <c r="D295" s="15" t="str">
        <v>-</v>
      </c>
      <c r="E295" s="15" t="str">
        <v>-</v>
      </c>
      <c r="F295" s="15" t="str">
        <v>-</v>
      </c>
      <c r="G295" s="15" t="str">
        <v>-</v>
      </c>
      <c r="H295" s="15" t="str">
        <v>-</v>
      </c>
      <c r="I295" s="15" t="str">
        <v>-</v>
      </c>
      <c r="J295" s="15" t="str">
        <v>-</v>
      </c>
    </row>
    <row r="296" spans="1:10">
      <c r="A296" s="98"/>
      <c r="B296" s="88" t="str">
        <v>-</v>
      </c>
      <c r="C296" s="15" t="str">
        <v>-</v>
      </c>
      <c r="D296" s="15" t="str">
        <v>-</v>
      </c>
      <c r="E296" s="15" t="str">
        <v>-</v>
      </c>
      <c r="F296" s="15" t="str">
        <v>-</v>
      </c>
      <c r="G296" s="15" t="str">
        <v>-</v>
      </c>
      <c r="H296" s="15" t="str">
        <v>-</v>
      </c>
      <c r="I296" s="15" t="str">
        <v>-</v>
      </c>
      <c r="J296" s="15" t="str">
        <v>-</v>
      </c>
    </row>
    <row r="297" spans="1:10">
      <c r="A297" s="98"/>
      <c r="B297" s="88" t="str">
        <v>-</v>
      </c>
      <c r="C297" s="15" t="str">
        <v>-</v>
      </c>
      <c r="D297" s="15" t="str">
        <v>-</v>
      </c>
      <c r="E297" s="15" t="str">
        <v>-</v>
      </c>
      <c r="F297" s="15" t="str">
        <v>-</v>
      </c>
      <c r="G297" s="15" t="str">
        <v>-</v>
      </c>
      <c r="H297" s="15" t="str">
        <v>-</v>
      </c>
      <c r="I297" s="15" t="str">
        <v>-</v>
      </c>
      <c r="J297" s="15" t="str">
        <v>-</v>
      </c>
    </row>
    <row r="298" spans="1:10">
      <c r="A298" s="98"/>
      <c r="B298" s="88" t="str">
        <v>-</v>
      </c>
      <c r="C298" s="15" t="str">
        <v>-</v>
      </c>
      <c r="D298" s="15" t="str">
        <v>-</v>
      </c>
      <c r="E298" s="15" t="str">
        <v>-</v>
      </c>
      <c r="F298" s="15" t="str">
        <v>-</v>
      </c>
      <c r="G298" s="15" t="str">
        <v>-</v>
      </c>
      <c r="H298" s="15" t="str">
        <v>-</v>
      </c>
      <c r="I298" s="15" t="str">
        <v>-</v>
      </c>
      <c r="J298" s="15" t="str">
        <v>-</v>
      </c>
    </row>
    <row r="299" spans="1:10">
      <c r="A299" s="98"/>
      <c r="B299" s="88" t="str">
        <v>-</v>
      </c>
      <c r="C299" s="15" t="str">
        <v>-</v>
      </c>
      <c r="D299" s="15" t="str">
        <v>-</v>
      </c>
      <c r="E299" s="15" t="str">
        <v>-</v>
      </c>
      <c r="F299" s="15" t="str">
        <v>-</v>
      </c>
      <c r="G299" s="15" t="str">
        <v>-</v>
      </c>
      <c r="H299" s="15" t="str">
        <v>-</v>
      </c>
      <c r="I299" s="15" t="str">
        <v>-</v>
      </c>
      <c r="J299" s="15" t="str">
        <v>-</v>
      </c>
    </row>
    <row r="300" spans="1:10">
      <c r="A300" s="98"/>
      <c r="B300" s="88" t="str">
        <v>-</v>
      </c>
      <c r="C300" s="15" t="str">
        <v>-</v>
      </c>
      <c r="D300" s="15" t="str">
        <v>-</v>
      </c>
      <c r="E300" s="15" t="str">
        <v>-</v>
      </c>
      <c r="F300" s="15" t="str">
        <v>-</v>
      </c>
      <c r="G300" s="15" t="str">
        <v>-</v>
      </c>
      <c r="H300" s="15" t="str">
        <v>-</v>
      </c>
      <c r="I300" s="15" t="str">
        <v>-</v>
      </c>
      <c r="J300" s="15" t="str">
        <v>-</v>
      </c>
    </row>
    <row r="301" spans="1:10">
      <c r="A301" s="98"/>
      <c r="B301" s="88" t="str">
        <v>-</v>
      </c>
      <c r="C301" s="15" t="str">
        <v>-</v>
      </c>
      <c r="D301" s="15" t="str">
        <v>-</v>
      </c>
      <c r="E301" s="15" t="str">
        <v>-</v>
      </c>
      <c r="F301" s="15" t="str">
        <v>-</v>
      </c>
      <c r="G301" s="15" t="str">
        <v>-</v>
      </c>
      <c r="H301" s="15" t="str">
        <v>-</v>
      </c>
      <c r="I301" s="15" t="str">
        <v>-</v>
      </c>
      <c r="J301" s="15" t="str">
        <v>-</v>
      </c>
    </row>
    <row r="302" spans="1:10">
      <c r="A302" s="98"/>
      <c r="B302" s="88" t="str">
        <v>-</v>
      </c>
      <c r="C302" s="15" t="str">
        <v>-</v>
      </c>
      <c r="D302" s="15" t="str">
        <v>-</v>
      </c>
      <c r="E302" s="15" t="str">
        <v>-</v>
      </c>
      <c r="F302" s="15" t="str">
        <v>-</v>
      </c>
      <c r="G302" s="15" t="str">
        <v>-</v>
      </c>
      <c r="H302" s="15" t="str">
        <v>-</v>
      </c>
      <c r="I302" s="15" t="str">
        <v>-</v>
      </c>
      <c r="J302" s="15" t="str">
        <v>-</v>
      </c>
    </row>
    <row r="303" spans="1:10">
      <c r="A303" s="98"/>
      <c r="B303" s="88" t="str">
        <v>-</v>
      </c>
      <c r="C303" s="15" t="str">
        <v>-</v>
      </c>
      <c r="D303" s="15" t="str">
        <v>-</v>
      </c>
      <c r="E303" s="15" t="str">
        <v>-</v>
      </c>
      <c r="F303" s="15" t="str">
        <v>-</v>
      </c>
      <c r="G303" s="15" t="str">
        <v>-</v>
      </c>
      <c r="H303" s="15" t="str">
        <v>-</v>
      </c>
      <c r="I303" s="15" t="str">
        <v>-</v>
      </c>
      <c r="J303" s="15" t="str">
        <v>-</v>
      </c>
    </row>
    <row r="304" spans="1:10">
      <c r="A304" s="98"/>
      <c r="B304" s="88" t="str">
        <v>-</v>
      </c>
      <c r="C304" s="15" t="str">
        <v>-</v>
      </c>
      <c r="D304" s="15" t="str">
        <v>-</v>
      </c>
      <c r="E304" s="15" t="str">
        <v>-</v>
      </c>
      <c r="F304" s="15" t="str">
        <v>-</v>
      </c>
      <c r="G304" s="15" t="str">
        <v>-</v>
      </c>
      <c r="H304" s="15" t="str">
        <v>-</v>
      </c>
      <c r="I304" s="15" t="str">
        <v>-</v>
      </c>
      <c r="J304" s="15" t="str">
        <v>-</v>
      </c>
    </row>
    <row r="305" spans="1:10">
      <c r="A305" s="98"/>
      <c r="B305" s="88" t="str">
        <v>-</v>
      </c>
      <c r="C305" s="15" t="str">
        <v>-</v>
      </c>
      <c r="D305" s="15" t="str">
        <v>-</v>
      </c>
      <c r="E305" s="15" t="str">
        <v>-</v>
      </c>
      <c r="F305" s="15" t="str">
        <v>-</v>
      </c>
      <c r="G305" s="15" t="str">
        <v>-</v>
      </c>
      <c r="H305" s="15" t="str">
        <v>-</v>
      </c>
      <c r="I305" s="15" t="str">
        <v>-</v>
      </c>
      <c r="J305" s="15" t="str">
        <v>-</v>
      </c>
    </row>
    <row r="306" spans="1:10">
      <c r="A306" s="98"/>
      <c r="B306" s="88" t="str">
        <v>-</v>
      </c>
      <c r="C306" s="15" t="str">
        <v>-</v>
      </c>
      <c r="D306" s="15" t="str">
        <v>-</v>
      </c>
      <c r="E306" s="15" t="str">
        <v>-</v>
      </c>
      <c r="F306" s="15" t="str">
        <v>-</v>
      </c>
      <c r="G306" s="15" t="str">
        <v>-</v>
      </c>
      <c r="H306" s="15" t="str">
        <v>-</v>
      </c>
      <c r="I306" s="15" t="str">
        <v>-</v>
      </c>
      <c r="J306" s="15" t="str">
        <v>-</v>
      </c>
    </row>
    <row r="307" spans="1:10">
      <c r="A307" s="98"/>
      <c r="B307" s="88" t="str">
        <v>-</v>
      </c>
      <c r="C307" s="15" t="str">
        <v>-</v>
      </c>
      <c r="D307" s="15" t="str">
        <v>-</v>
      </c>
      <c r="E307" s="15" t="str">
        <v>-</v>
      </c>
      <c r="F307" s="15" t="str">
        <v>-</v>
      </c>
      <c r="G307" s="15" t="str">
        <v>-</v>
      </c>
      <c r="H307" s="15" t="str">
        <v>-</v>
      </c>
      <c r="I307" s="15" t="str">
        <v>-</v>
      </c>
      <c r="J307" s="15" t="str">
        <v>-</v>
      </c>
    </row>
    <row r="308" spans="1:10">
      <c r="A308" s="98"/>
      <c r="B308" s="88" t="str">
        <v>-</v>
      </c>
      <c r="C308" s="15" t="str">
        <v>-</v>
      </c>
      <c r="D308" s="15" t="str">
        <v>-</v>
      </c>
      <c r="E308" s="15" t="str">
        <v>-</v>
      </c>
      <c r="F308" s="15" t="str">
        <v>-</v>
      </c>
      <c r="G308" s="15" t="str">
        <v>-</v>
      </c>
      <c r="H308" s="15" t="str">
        <v>-</v>
      </c>
      <c r="I308" s="15" t="str">
        <v>-</v>
      </c>
      <c r="J308" s="15" t="str">
        <v>-</v>
      </c>
    </row>
    <row r="309" spans="1:10">
      <c r="B309" s="88" t="str">
        <v>-</v>
      </c>
      <c r="C309" s="15" t="str">
        <v>-</v>
      </c>
      <c r="D309" s="15" t="str">
        <v>-</v>
      </c>
      <c r="E309" s="15" t="str">
        <v>-</v>
      </c>
      <c r="F309" s="15" t="str">
        <v>-</v>
      </c>
      <c r="G309" s="15" t="str">
        <v>-</v>
      </c>
      <c r="H309" s="15" t="str">
        <v>-</v>
      </c>
      <c r="I309" s="15" t="str">
        <v>-</v>
      </c>
      <c r="J309" s="15" t="str">
        <v>-</v>
      </c>
    </row>
    <row r="310" spans="1:10">
      <c r="B310" s="88" t="str">
        <v>-</v>
      </c>
      <c r="C310" s="15" t="str">
        <v>-</v>
      </c>
      <c r="D310" s="15" t="str">
        <v>-</v>
      </c>
      <c r="E310" s="15" t="str">
        <v>-</v>
      </c>
      <c r="F310" s="15" t="str">
        <v>-</v>
      </c>
      <c r="G310" s="15" t="str">
        <v>-</v>
      </c>
      <c r="H310" s="15" t="str">
        <v>-</v>
      </c>
      <c r="I310" s="15" t="str">
        <v>-</v>
      </c>
      <c r="J310" s="15" t="str">
        <v>-</v>
      </c>
    </row>
    <row r="311" spans="1:10">
      <c r="B311" s="88" t="str">
        <v>-</v>
      </c>
      <c r="C311" s="15" t="str">
        <v>-</v>
      </c>
      <c r="D311" s="15" t="str">
        <v>-</v>
      </c>
      <c r="E311" s="15" t="str">
        <v>-</v>
      </c>
      <c r="F311" s="15" t="str">
        <v>-</v>
      </c>
      <c r="G311" s="15" t="str">
        <v>-</v>
      </c>
      <c r="H311" s="15" t="str">
        <v>-</v>
      </c>
      <c r="I311" s="15" t="str">
        <v>-</v>
      </c>
      <c r="J311" s="15" t="str">
        <v>-</v>
      </c>
    </row>
    <row r="312" spans="1:10">
      <c r="B312" s="88" t="str">
        <v>-</v>
      </c>
      <c r="C312" s="15" t="str">
        <v>-</v>
      </c>
      <c r="D312" s="15" t="str">
        <v>-</v>
      </c>
      <c r="E312" s="15" t="str">
        <v>-</v>
      </c>
      <c r="F312" s="15" t="str">
        <v>-</v>
      </c>
      <c r="G312" s="15" t="str">
        <v>-</v>
      </c>
      <c r="H312" s="15" t="str">
        <v>-</v>
      </c>
      <c r="I312" s="15" t="str">
        <v>-</v>
      </c>
      <c r="J312" s="15" t="str">
        <v>-</v>
      </c>
    </row>
    <row r="313" spans="1:10">
      <c r="B313" s="88" t="str">
        <v>-</v>
      </c>
      <c r="C313" s="15" t="str">
        <v>-</v>
      </c>
      <c r="D313" s="15" t="str">
        <v>-</v>
      </c>
      <c r="E313" s="15" t="str">
        <v>-</v>
      </c>
      <c r="F313" s="15" t="str">
        <v>-</v>
      </c>
      <c r="G313" s="15" t="str">
        <v>-</v>
      </c>
      <c r="H313" s="15" t="str">
        <v>-</v>
      </c>
      <c r="I313" s="15" t="str">
        <v>-</v>
      </c>
      <c r="J313" s="15" t="str">
        <v>-</v>
      </c>
    </row>
    <row r="314" spans="1:10">
      <c r="B314" s="88" t="str">
        <v>-</v>
      </c>
      <c r="C314" s="15" t="str">
        <v>-</v>
      </c>
      <c r="D314" s="15" t="str">
        <v>-</v>
      </c>
      <c r="E314" s="15" t="str">
        <v>-</v>
      </c>
      <c r="F314" s="15" t="str">
        <v>-</v>
      </c>
      <c r="G314" s="15" t="str">
        <v>-</v>
      </c>
      <c r="H314" s="15" t="str">
        <v>-</v>
      </c>
      <c r="I314" s="15" t="str">
        <v>-</v>
      </c>
      <c r="J314" s="15" t="str">
        <v>-</v>
      </c>
    </row>
    <row r="315" spans="1:10">
      <c r="B315" s="88" t="str">
        <v>-</v>
      </c>
      <c r="C315" s="15" t="str">
        <v>-</v>
      </c>
      <c r="D315" s="15" t="str">
        <v>-</v>
      </c>
      <c r="E315" s="15" t="str">
        <v>-</v>
      </c>
      <c r="F315" s="15" t="str">
        <v>-</v>
      </c>
      <c r="G315" s="15" t="str">
        <v>-</v>
      </c>
      <c r="H315" s="15" t="str">
        <v>-</v>
      </c>
      <c r="I315" s="15" t="str">
        <v>-</v>
      </c>
      <c r="J315" s="15" t="str">
        <v>-</v>
      </c>
    </row>
    <row r="316" spans="1:10">
      <c r="B316" s="88" t="str">
        <v>-</v>
      </c>
      <c r="C316" s="15" t="str">
        <v>-</v>
      </c>
      <c r="D316" s="15" t="str">
        <v>-</v>
      </c>
      <c r="E316" s="15" t="str">
        <v>-</v>
      </c>
      <c r="F316" s="15" t="str">
        <v>-</v>
      </c>
      <c r="G316" s="15" t="str">
        <v>-</v>
      </c>
      <c r="H316" s="15" t="str">
        <v>-</v>
      </c>
      <c r="I316" s="15" t="str">
        <v>-</v>
      </c>
      <c r="J316" s="15" t="str">
        <v>-</v>
      </c>
    </row>
    <row r="317" spans="1:10">
      <c r="B317" s="88" t="str">
        <v>-</v>
      </c>
      <c r="C317" s="15" t="str">
        <v>-</v>
      </c>
      <c r="D317" s="15" t="str">
        <v>-</v>
      </c>
      <c r="E317" s="15" t="str">
        <v>-</v>
      </c>
      <c r="F317" s="15" t="str">
        <v>-</v>
      </c>
      <c r="G317" s="15" t="str">
        <v>-</v>
      </c>
      <c r="H317" s="15" t="str">
        <v>-</v>
      </c>
      <c r="I317" s="15" t="str">
        <v>-</v>
      </c>
      <c r="J317" s="15" t="str">
        <v>-</v>
      </c>
    </row>
    <row r="318" spans="1:10">
      <c r="B318" s="88" t="str">
        <v>-</v>
      </c>
      <c r="C318" s="15" t="str">
        <v>-</v>
      </c>
      <c r="D318" s="15" t="str">
        <v>-</v>
      </c>
      <c r="E318" s="15" t="str">
        <v>-</v>
      </c>
      <c r="F318" s="15" t="str">
        <v>-</v>
      </c>
      <c r="G318" s="15" t="str">
        <v>-</v>
      </c>
      <c r="H318" s="15" t="str">
        <v>-</v>
      </c>
      <c r="I318" s="15" t="str">
        <v>-</v>
      </c>
      <c r="J318" s="15" t="str">
        <v>-</v>
      </c>
    </row>
    <row r="319" spans="1:10">
      <c r="B319" s="88" t="str">
        <v>-</v>
      </c>
      <c r="C319" s="15" t="str">
        <v>-</v>
      </c>
      <c r="D319" s="15" t="str">
        <v>-</v>
      </c>
      <c r="E319" s="15" t="str">
        <v>-</v>
      </c>
      <c r="F319" s="15" t="str">
        <v>-</v>
      </c>
      <c r="G319" s="15" t="str">
        <v>-</v>
      </c>
      <c r="H319" s="15" t="str">
        <v>-</v>
      </c>
      <c r="I319" s="15" t="str">
        <v>-</v>
      </c>
      <c r="J319" s="15" t="str">
        <v>-</v>
      </c>
    </row>
    <row r="320" spans="1:10">
      <c r="B320" s="88" t="str">
        <v>-</v>
      </c>
      <c r="C320" s="15" t="str">
        <v>-</v>
      </c>
      <c r="D320" s="15" t="str">
        <v>-</v>
      </c>
      <c r="E320" s="15" t="str">
        <v>-</v>
      </c>
      <c r="F320" s="15" t="str">
        <v>-</v>
      </c>
      <c r="G320" s="15" t="str">
        <v>-</v>
      </c>
      <c r="H320" s="15" t="str">
        <v>-</v>
      </c>
      <c r="I320" s="15" t="str">
        <v>-</v>
      </c>
      <c r="J320" s="15" t="str">
        <v>-</v>
      </c>
    </row>
    <row r="321" spans="2:10">
      <c r="B321" s="88" t="str">
        <v>-</v>
      </c>
      <c r="C321" s="15" t="str">
        <v>-</v>
      </c>
      <c r="D321" s="15" t="str">
        <v>-</v>
      </c>
      <c r="E321" s="15" t="str">
        <v>-</v>
      </c>
      <c r="F321" s="15" t="str">
        <v>-</v>
      </c>
      <c r="G321" s="15" t="str">
        <v>-</v>
      </c>
      <c r="H321" s="15" t="str">
        <v>-</v>
      </c>
      <c r="I321" s="15" t="str">
        <v>-</v>
      </c>
      <c r="J321" s="15" t="str">
        <v>-</v>
      </c>
    </row>
    <row r="322" spans="2:10">
      <c r="B322" s="88" t="str">
        <v>-</v>
      </c>
      <c r="C322" s="15" t="str">
        <v>-</v>
      </c>
      <c r="D322" s="15" t="str">
        <v>-</v>
      </c>
      <c r="E322" s="15" t="str">
        <v>-</v>
      </c>
      <c r="F322" s="15" t="str">
        <v>-</v>
      </c>
      <c r="G322" s="15" t="str">
        <v>-</v>
      </c>
      <c r="H322" s="15" t="str">
        <v>-</v>
      </c>
      <c r="I322" s="15" t="str">
        <v>-</v>
      </c>
      <c r="J322" s="15" t="str">
        <v>-</v>
      </c>
    </row>
    <row r="323" spans="2:10">
      <c r="B323" s="88" t="str">
        <v>-</v>
      </c>
      <c r="C323" s="15" t="str">
        <v>-</v>
      </c>
      <c r="D323" s="15" t="str">
        <v>-</v>
      </c>
      <c r="E323" s="15" t="str">
        <v>-</v>
      </c>
      <c r="F323" s="15" t="str">
        <v>-</v>
      </c>
      <c r="G323" s="15" t="str">
        <v>-</v>
      </c>
      <c r="H323" s="15" t="str">
        <v>-</v>
      </c>
      <c r="I323" s="15" t="str">
        <v>-</v>
      </c>
      <c r="J323" s="15" t="str">
        <v>-</v>
      </c>
    </row>
    <row r="324" spans="2:10">
      <c r="B324" s="88" t="str">
        <v>-</v>
      </c>
      <c r="C324" s="15" t="str">
        <v>-</v>
      </c>
      <c r="D324" s="15" t="str">
        <v>-</v>
      </c>
      <c r="E324" s="15" t="str">
        <v>-</v>
      </c>
      <c r="F324" s="15" t="str">
        <v>-</v>
      </c>
      <c r="G324" s="15" t="str">
        <v>-</v>
      </c>
      <c r="H324" s="15" t="str">
        <v>-</v>
      </c>
      <c r="I324" s="15" t="str">
        <v>-</v>
      </c>
      <c r="J324" s="15" t="str">
        <v>-</v>
      </c>
    </row>
    <row r="325" spans="2:10">
      <c r="B325" s="88" t="str">
        <v>-</v>
      </c>
      <c r="C325" s="15" t="str">
        <v>-</v>
      </c>
      <c r="D325" s="15" t="str">
        <v>-</v>
      </c>
      <c r="E325" s="15" t="str">
        <v>-</v>
      </c>
      <c r="F325" s="15" t="str">
        <v>-</v>
      </c>
      <c r="G325" s="15" t="str">
        <v>-</v>
      </c>
      <c r="H325" s="15" t="str">
        <v>-</v>
      </c>
      <c r="I325" s="15" t="str">
        <v>-</v>
      </c>
      <c r="J325" s="15" t="str">
        <v>-</v>
      </c>
    </row>
    <row r="326" spans="2:10">
      <c r="B326" s="88" t="str">
        <v>-</v>
      </c>
      <c r="C326" s="15" t="str">
        <v>-</v>
      </c>
      <c r="D326" s="15" t="str">
        <v>-</v>
      </c>
      <c r="E326" s="15" t="str">
        <v>-</v>
      </c>
      <c r="F326" s="15" t="str">
        <v>-</v>
      </c>
      <c r="G326" s="15" t="str">
        <v>-</v>
      </c>
      <c r="H326" s="15" t="str">
        <v>-</v>
      </c>
      <c r="I326" s="15" t="str">
        <v>-</v>
      </c>
      <c r="J326" s="15" t="str">
        <v>-</v>
      </c>
    </row>
    <row r="327" spans="2:10">
      <c r="B327" s="88" t="str">
        <v>-</v>
      </c>
      <c r="C327" s="15" t="str">
        <v>-</v>
      </c>
      <c r="D327" s="15" t="str">
        <v>-</v>
      </c>
      <c r="E327" s="15" t="str">
        <v>-</v>
      </c>
      <c r="F327" s="15" t="str">
        <v>-</v>
      </c>
      <c r="G327" s="15" t="str">
        <v>-</v>
      </c>
      <c r="H327" s="15" t="str">
        <v>-</v>
      </c>
      <c r="I327" s="15" t="str">
        <v>-</v>
      </c>
      <c r="J327" s="15" t="str">
        <v>-</v>
      </c>
    </row>
    <row r="328" spans="2:10">
      <c r="B328" s="88" t="str">
        <v>-</v>
      </c>
      <c r="C328" s="15" t="str">
        <v>-</v>
      </c>
      <c r="D328" s="15" t="str">
        <v>-</v>
      </c>
      <c r="E328" s="15" t="str">
        <v>-</v>
      </c>
      <c r="F328" s="15" t="str">
        <v>-</v>
      </c>
      <c r="G328" s="15" t="str">
        <v>-</v>
      </c>
      <c r="H328" s="15" t="str">
        <v>-</v>
      </c>
      <c r="I328" s="15" t="str">
        <v>-</v>
      </c>
      <c r="J328" s="15" t="str">
        <v>-</v>
      </c>
    </row>
    <row r="329" spans="2:10">
      <c r="B329" s="88" t="str">
        <v>-</v>
      </c>
      <c r="C329" s="15" t="str">
        <v>-</v>
      </c>
      <c r="D329" s="15" t="str">
        <v>-</v>
      </c>
      <c r="E329" s="15" t="str">
        <v>-</v>
      </c>
      <c r="F329" s="15" t="str">
        <v>-</v>
      </c>
      <c r="G329" s="15" t="str">
        <v>-</v>
      </c>
      <c r="H329" s="15" t="str">
        <v>-</v>
      </c>
      <c r="I329" s="15" t="str">
        <v>-</v>
      </c>
      <c r="J329" s="15" t="str">
        <v>-</v>
      </c>
    </row>
    <row r="330" spans="2:10">
      <c r="B330" s="88" t="str">
        <v>-</v>
      </c>
      <c r="C330" s="15" t="str">
        <v>-</v>
      </c>
      <c r="D330" s="15" t="str">
        <v>-</v>
      </c>
      <c r="E330" s="15" t="str">
        <v>-</v>
      </c>
      <c r="F330" s="15" t="str">
        <v>-</v>
      </c>
      <c r="G330" s="15" t="str">
        <v>-</v>
      </c>
      <c r="H330" s="15" t="str">
        <v>-</v>
      </c>
      <c r="I330" s="15" t="str">
        <v>-</v>
      </c>
      <c r="J330" s="15" t="str">
        <v>-</v>
      </c>
    </row>
    <row r="331" spans="2:10">
      <c r="B331" s="88" t="str">
        <v>-</v>
      </c>
      <c r="C331" s="15" t="str">
        <v>-</v>
      </c>
      <c r="D331" s="15" t="str">
        <v>-</v>
      </c>
      <c r="E331" s="15" t="str">
        <v>-</v>
      </c>
      <c r="F331" s="15" t="str">
        <v>-</v>
      </c>
      <c r="G331" s="15" t="str">
        <v>-</v>
      </c>
      <c r="H331" s="15" t="str">
        <v>-</v>
      </c>
      <c r="I331" s="15" t="str">
        <v>-</v>
      </c>
      <c r="J331" s="15" t="str">
        <v>-</v>
      </c>
    </row>
    <row r="332" spans="2:10">
      <c r="B332" s="88" t="str">
        <v>-</v>
      </c>
      <c r="C332" s="15" t="str">
        <v>-</v>
      </c>
      <c r="D332" s="15" t="str">
        <v>-</v>
      </c>
      <c r="E332" s="15" t="str">
        <v>-</v>
      </c>
      <c r="F332" s="15" t="str">
        <v>-</v>
      </c>
      <c r="G332" s="15" t="str">
        <v>-</v>
      </c>
      <c r="H332" s="15" t="str">
        <v>-</v>
      </c>
      <c r="I332" s="15" t="str">
        <v>-</v>
      </c>
      <c r="J332" s="15" t="str">
        <v>-</v>
      </c>
    </row>
    <row r="333" spans="2:10">
      <c r="B333" s="88" t="str">
        <v>-</v>
      </c>
      <c r="C333" s="15" t="str">
        <v>-</v>
      </c>
      <c r="D333" s="15" t="str">
        <v>-</v>
      </c>
      <c r="E333" s="15" t="str">
        <v>-</v>
      </c>
      <c r="F333" s="15" t="str">
        <v>-</v>
      </c>
      <c r="G333" s="15" t="str">
        <v>-</v>
      </c>
      <c r="H333" s="15" t="str">
        <v>-</v>
      </c>
      <c r="I333" s="15" t="str">
        <v>-</v>
      </c>
      <c r="J333" s="15" t="str">
        <v>-</v>
      </c>
    </row>
    <row r="334" spans="2:10">
      <c r="B334" s="88" t="str">
        <v>-</v>
      </c>
      <c r="C334" s="15" t="str">
        <v>-</v>
      </c>
      <c r="D334" s="15" t="str">
        <v>-</v>
      </c>
      <c r="E334" s="15" t="str">
        <v>-</v>
      </c>
      <c r="F334" s="15" t="str">
        <v>-</v>
      </c>
      <c r="G334" s="15" t="str">
        <v>-</v>
      </c>
      <c r="H334" s="15" t="str">
        <v>-</v>
      </c>
      <c r="I334" s="15" t="str">
        <v>-</v>
      </c>
      <c r="J334" s="15" t="str">
        <v>-</v>
      </c>
    </row>
    <row r="335" spans="2:10">
      <c r="B335" s="88" t="str">
        <v>-</v>
      </c>
      <c r="C335" s="15" t="str">
        <v>-</v>
      </c>
      <c r="D335" s="15" t="str">
        <v>-</v>
      </c>
      <c r="E335" s="15" t="str">
        <v>-</v>
      </c>
      <c r="F335" s="15" t="str">
        <v>-</v>
      </c>
      <c r="G335" s="15" t="str">
        <v>-</v>
      </c>
      <c r="H335" s="15" t="str">
        <v>-</v>
      </c>
      <c r="I335" s="15" t="str">
        <v>-</v>
      </c>
      <c r="J335" s="15" t="str">
        <v>-</v>
      </c>
    </row>
    <row r="336" spans="2:10">
      <c r="B336" s="88" t="str">
        <v>-</v>
      </c>
      <c r="C336" s="15" t="str">
        <v>-</v>
      </c>
      <c r="D336" s="15" t="str">
        <v>-</v>
      </c>
      <c r="E336" s="15" t="str">
        <v>-</v>
      </c>
      <c r="F336" s="15" t="str">
        <v>-</v>
      </c>
      <c r="G336" s="15" t="str">
        <v>-</v>
      </c>
      <c r="H336" s="15" t="str">
        <v>-</v>
      </c>
      <c r="I336" s="15" t="str">
        <v>-</v>
      </c>
      <c r="J336" s="15" t="str">
        <v>-</v>
      </c>
    </row>
    <row r="337" spans="2:10">
      <c r="B337" s="15" t="str">
        <v>-</v>
      </c>
      <c r="C337" s="15" t="str">
        <v>-</v>
      </c>
      <c r="D337" s="15" t="str">
        <v>-</v>
      </c>
      <c r="E337" s="15" t="str">
        <v>-</v>
      </c>
      <c r="F337" s="15" t="str">
        <v>-</v>
      </c>
      <c r="G337" s="15" t="str">
        <v>-</v>
      </c>
      <c r="H337" s="15" t="str">
        <v>-</v>
      </c>
      <c r="I337" s="15" t="str">
        <v>-</v>
      </c>
      <c r="J337" s="15" t="str">
        <v>-</v>
      </c>
    </row>
    <row r="338" spans="2:10">
      <c r="B338" s="15" t="str">
        <v>-</v>
      </c>
      <c r="C338" s="15" t="str">
        <v>-</v>
      </c>
      <c r="D338" s="15" t="str">
        <v>-</v>
      </c>
      <c r="E338" s="15" t="str">
        <v>-</v>
      </c>
      <c r="F338" s="15" t="str">
        <v>-</v>
      </c>
      <c r="G338" s="15" t="str">
        <v>-</v>
      </c>
      <c r="H338" s="15" t="str">
        <v>-</v>
      </c>
      <c r="I338" s="15" t="str">
        <v>-</v>
      </c>
      <c r="J338" s="15" t="str">
        <v>-</v>
      </c>
    </row>
    <row r="339" spans="2:10">
      <c r="B339" s="15" t="str">
        <v>-</v>
      </c>
      <c r="C339" s="15" t="str">
        <v>-</v>
      </c>
      <c r="D339" s="15" t="str">
        <v>-</v>
      </c>
      <c r="E339" s="15" t="str">
        <v>-</v>
      </c>
      <c r="F339" s="15" t="str">
        <v>-</v>
      </c>
      <c r="G339" s="15" t="str">
        <v>-</v>
      </c>
      <c r="H339" s="15" t="str">
        <v>-</v>
      </c>
      <c r="I339" s="15" t="str">
        <v>-</v>
      </c>
      <c r="J339" s="15" t="str">
        <v>-</v>
      </c>
    </row>
    <row r="340" spans="2:10">
      <c r="B340" s="15" t="str">
        <v>-</v>
      </c>
      <c r="C340" s="15" t="str">
        <v>-</v>
      </c>
      <c r="D340" s="15" t="str">
        <v>-</v>
      </c>
      <c r="E340" s="15" t="str">
        <v>-</v>
      </c>
      <c r="F340" s="15" t="str">
        <v>-</v>
      </c>
      <c r="G340" s="15" t="str">
        <v>-</v>
      </c>
      <c r="H340" s="15" t="str">
        <v>-</v>
      </c>
      <c r="I340" s="15" t="str">
        <v>-</v>
      </c>
      <c r="J340" s="15" t="str">
        <v>-</v>
      </c>
    </row>
    <row r="341" spans="2:10">
      <c r="B341" s="15" t="str">
        <v>-</v>
      </c>
      <c r="C341" s="15" t="str">
        <v>-</v>
      </c>
      <c r="D341" s="15" t="str">
        <v>-</v>
      </c>
      <c r="E341" s="15" t="str">
        <v>-</v>
      </c>
      <c r="F341" s="15" t="str">
        <v>-</v>
      </c>
      <c r="G341" s="15" t="str">
        <v>-</v>
      </c>
      <c r="H341" s="15" t="str">
        <v>-</v>
      </c>
      <c r="I341" s="15" t="str">
        <v>-</v>
      </c>
      <c r="J341" s="15" t="str">
        <v>-</v>
      </c>
    </row>
    <row r="342" spans="2:10">
      <c r="B342" s="15" t="str">
        <v>-</v>
      </c>
      <c r="C342" s="15" t="str">
        <v>-</v>
      </c>
      <c r="D342" s="15" t="str">
        <v>-</v>
      </c>
      <c r="E342" s="15" t="str">
        <v>-</v>
      </c>
      <c r="F342" s="15" t="str">
        <v>-</v>
      </c>
      <c r="G342" s="15" t="str">
        <v>-</v>
      </c>
      <c r="H342" s="15" t="str">
        <v>-</v>
      </c>
      <c r="I342" s="15" t="str">
        <v>-</v>
      </c>
      <c r="J342" s="15" t="str">
        <v>-</v>
      </c>
    </row>
    <row r="343" spans="2:10">
      <c r="B343" s="15" t="str">
        <v>-</v>
      </c>
      <c r="C343" s="15" t="str">
        <v>-</v>
      </c>
      <c r="D343" s="15" t="str">
        <v>-</v>
      </c>
      <c r="E343" s="15" t="str">
        <v>-</v>
      </c>
      <c r="F343" s="15" t="str">
        <v>-</v>
      </c>
      <c r="G343" s="15" t="str">
        <v>-</v>
      </c>
      <c r="H343" s="15" t="str">
        <v>-</v>
      </c>
      <c r="I343" s="15" t="str">
        <v>-</v>
      </c>
      <c r="J343" s="15" t="str">
        <v>-</v>
      </c>
    </row>
    <row r="344" spans="2:10">
      <c r="B344" s="15" t="str">
        <v>-</v>
      </c>
      <c r="C344" s="15" t="str">
        <v>-</v>
      </c>
      <c r="D344" s="15" t="str">
        <v>-</v>
      </c>
      <c r="E344" s="15" t="str">
        <v>-</v>
      </c>
      <c r="F344" s="15" t="str">
        <v>-</v>
      </c>
      <c r="G344" s="15" t="str">
        <v>-</v>
      </c>
      <c r="H344" s="15" t="str">
        <v>-</v>
      </c>
      <c r="I344" s="15" t="str">
        <v>-</v>
      </c>
      <c r="J344" s="15" t="str">
        <v>-</v>
      </c>
    </row>
    <row r="345" spans="2:10">
      <c r="B345" s="15" t="str">
        <v>-</v>
      </c>
      <c r="C345" s="15" t="str">
        <v>-</v>
      </c>
      <c r="D345" s="15" t="str">
        <v>-</v>
      </c>
      <c r="E345" s="15" t="str">
        <v>-</v>
      </c>
      <c r="F345" s="15" t="str">
        <v>-</v>
      </c>
      <c r="G345" s="15" t="str">
        <v>-</v>
      </c>
      <c r="H345" s="15" t="str">
        <v>-</v>
      </c>
      <c r="I345" s="15" t="str">
        <v>-</v>
      </c>
      <c r="J345" s="15" t="str">
        <v>-</v>
      </c>
    </row>
    <row r="346" spans="2:10">
      <c r="B346" s="15" t="str">
        <v>-</v>
      </c>
      <c r="C346" s="15" t="str">
        <v>-</v>
      </c>
      <c r="D346" s="15" t="str">
        <v>-</v>
      </c>
      <c r="E346" s="15" t="str">
        <v>-</v>
      </c>
      <c r="F346" s="15" t="str">
        <v>-</v>
      </c>
      <c r="G346" s="15" t="str">
        <v>-</v>
      </c>
      <c r="H346" s="15" t="str">
        <v>-</v>
      </c>
      <c r="I346" s="15" t="str">
        <v>-</v>
      </c>
      <c r="J346" s="15" t="str">
        <v>-</v>
      </c>
    </row>
    <row r="347" spans="2:10">
      <c r="B347" s="15" t="str">
        <v>-</v>
      </c>
      <c r="C347" s="15" t="str">
        <v>-</v>
      </c>
      <c r="D347" s="15" t="str">
        <v>-</v>
      </c>
      <c r="E347" s="15" t="str">
        <v>-</v>
      </c>
      <c r="F347" s="15" t="str">
        <v>-</v>
      </c>
      <c r="G347" s="15" t="str">
        <v>-</v>
      </c>
      <c r="H347" s="15" t="str">
        <v>-</v>
      </c>
      <c r="I347" s="15" t="str">
        <v>-</v>
      </c>
      <c r="J347" s="15" t="str">
        <v>-</v>
      </c>
    </row>
    <row r="348" spans="2:10">
      <c r="B348" s="15" t="str">
        <v>-</v>
      </c>
      <c r="C348" s="15" t="str">
        <v>-</v>
      </c>
      <c r="D348" s="15" t="str">
        <v>-</v>
      </c>
      <c r="E348" s="15" t="str">
        <v>-</v>
      </c>
      <c r="F348" s="15" t="str">
        <v>-</v>
      </c>
      <c r="G348" s="15" t="str">
        <v>-</v>
      </c>
      <c r="H348" s="15" t="str">
        <v>-</v>
      </c>
      <c r="I348" s="15" t="str">
        <v>-</v>
      </c>
      <c r="J348" s="15" t="str">
        <v>-</v>
      </c>
    </row>
    <row r="349" spans="2:10">
      <c r="B349" s="15" t="str">
        <v>-</v>
      </c>
      <c r="C349" s="15" t="str">
        <v>-</v>
      </c>
      <c r="D349" s="15" t="str">
        <v>-</v>
      </c>
      <c r="E349" s="15" t="str">
        <v>-</v>
      </c>
      <c r="F349" s="15" t="str">
        <v>-</v>
      </c>
      <c r="G349" s="15" t="str">
        <v>-</v>
      </c>
      <c r="H349" s="15" t="str">
        <v>-</v>
      </c>
      <c r="I349" s="15" t="str">
        <v>-</v>
      </c>
      <c r="J349" s="15" t="str">
        <v>-</v>
      </c>
    </row>
    <row r="350" spans="2:10">
      <c r="B350" s="15" t="str">
        <v>-</v>
      </c>
      <c r="C350" s="15" t="str">
        <v>-</v>
      </c>
      <c r="D350" s="15" t="str">
        <v>-</v>
      </c>
      <c r="E350" s="15" t="str">
        <v>-</v>
      </c>
      <c r="F350" s="15" t="str">
        <v>-</v>
      </c>
      <c r="G350" s="15" t="str">
        <v>-</v>
      </c>
      <c r="H350" s="15" t="str">
        <v>-</v>
      </c>
      <c r="I350" s="15" t="str">
        <v>-</v>
      </c>
      <c r="J350" s="15" t="str">
        <v>-</v>
      </c>
    </row>
    <row r="351" spans="2:10">
      <c r="B351" s="15" t="str">
        <v>-</v>
      </c>
      <c r="C351" s="15" t="str">
        <v>-</v>
      </c>
      <c r="D351" s="15" t="str">
        <v>-</v>
      </c>
      <c r="E351" s="15" t="str">
        <v>-</v>
      </c>
      <c r="F351" s="15" t="str">
        <v>-</v>
      </c>
      <c r="G351" s="15" t="str">
        <v>-</v>
      </c>
      <c r="H351" s="15" t="str">
        <v>-</v>
      </c>
      <c r="I351" s="15" t="str">
        <v>-</v>
      </c>
      <c r="J351" s="15" t="str">
        <v>-</v>
      </c>
    </row>
    <row r="352" spans="2:10">
      <c r="B352" s="15" t="str">
        <v>-</v>
      </c>
      <c r="C352" s="15" t="str">
        <v>-</v>
      </c>
      <c r="D352" s="15" t="str">
        <v>-</v>
      </c>
      <c r="E352" s="15" t="str">
        <v>-</v>
      </c>
      <c r="F352" s="15" t="str">
        <v>-</v>
      </c>
      <c r="G352" s="15" t="str">
        <v>-</v>
      </c>
      <c r="H352" s="15" t="str">
        <v>-</v>
      </c>
      <c r="I352" s="15" t="str">
        <v>-</v>
      </c>
      <c r="J352" s="15" t="str">
        <v>-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F8DB4-BED2-4693-AED1-C8B20C42100C}">
  <sheetPr codeName="Sheet6"/>
  <dimension ref="B1:L5002"/>
  <sheetViews>
    <sheetView topLeftCell="B1" workbookViewId="0">
      <selection activeCell="G10" sqref="G10"/>
    </sheetView>
  </sheetViews>
  <sheetFormatPr defaultRowHeight="15"/>
  <cols>
    <col min="1" max="1" width="5.42578125" customWidth="1"/>
    <col min="2" max="2" width="28.85546875" customWidth="1"/>
    <col min="3" max="3" width="35.140625" bestFit="1" customWidth="1"/>
    <col min="5" max="5" width="18" bestFit="1" customWidth="1"/>
    <col min="6" max="6" width="24.5703125" bestFit="1" customWidth="1"/>
  </cols>
  <sheetData>
    <row r="1" spans="2:12" ht="15.75" thickBot="1">
      <c r="B1" s="18" t="s">
        <v>41</v>
      </c>
      <c r="C1" s="18" t="s">
        <v>44</v>
      </c>
      <c r="D1" s="18" t="s">
        <v>56</v>
      </c>
      <c r="E1" s="18" t="s">
        <v>58</v>
      </c>
      <c r="G1" s="110" t="s">
        <v>399</v>
      </c>
      <c r="L1">
        <f>COUNTA(#REF!)</f>
        <v>1</v>
      </c>
    </row>
    <row r="2" spans="2:12">
      <c r="B2" s="19" t="s">
        <v>3</v>
      </c>
      <c r="C2" s="19" t="s">
        <v>45</v>
      </c>
      <c r="D2" cm="1">
        <f t="array" ref="D2:D5002">_xlfn.SEQUENCE(5001,1,0,1)</f>
        <v>0</v>
      </c>
      <c r="E2" s="69" cm="1">
        <f t="array" ref="E2:E62">TRANSPOSE(_xlfn.UNIQUE(KPI!E7:LY7,TRUE,TRUE))</f>
        <v>44105</v>
      </c>
      <c r="F2" t="s">
        <v>398</v>
      </c>
      <c r="G2" t="str" cm="1">
        <f t="array" ref="G2:G3">_xlfn._xlws.FILTER(F2:F1048576,F2:F1048576&lt;&gt;"",)</f>
        <v>rmc@k2management.com</v>
      </c>
    </row>
    <row r="3" spans="2:12">
      <c r="B3" s="20" t="s">
        <v>4</v>
      </c>
      <c r="C3" s="20" t="s">
        <v>390</v>
      </c>
      <c r="D3">
        <v>1</v>
      </c>
      <c r="E3" s="69">
        <v>44136</v>
      </c>
      <c r="F3" s="109" t="s">
        <v>393</v>
      </c>
      <c r="G3" t="str">
        <v>fna@k2management.com</v>
      </c>
    </row>
    <row r="4" spans="2:12" ht="14.25" customHeight="1">
      <c r="B4" s="20" t="s">
        <v>5</v>
      </c>
      <c r="C4" s="19" t="s">
        <v>50</v>
      </c>
      <c r="D4">
        <v>2</v>
      </c>
      <c r="E4" s="69">
        <v>44166</v>
      </c>
    </row>
    <row r="5" spans="2:12">
      <c r="D5">
        <v>3</v>
      </c>
      <c r="E5" s="69">
        <v>44197</v>
      </c>
    </row>
    <row r="6" spans="2:12">
      <c r="D6">
        <v>4</v>
      </c>
      <c r="E6" s="69">
        <v>44228</v>
      </c>
    </row>
    <row r="7" spans="2:12">
      <c r="D7">
        <v>5</v>
      </c>
      <c r="E7" s="69">
        <v>44256</v>
      </c>
    </row>
    <row r="8" spans="2:12">
      <c r="D8">
        <v>6</v>
      </c>
      <c r="E8" s="69">
        <v>44287</v>
      </c>
    </row>
    <row r="9" spans="2:12">
      <c r="D9">
        <v>7</v>
      </c>
      <c r="E9" s="69">
        <v>44317</v>
      </c>
    </row>
    <row r="10" spans="2:12">
      <c r="D10">
        <v>8</v>
      </c>
      <c r="E10" s="69">
        <v>44348</v>
      </c>
    </row>
    <row r="11" spans="2:12">
      <c r="D11">
        <v>9</v>
      </c>
      <c r="E11" s="69">
        <v>44378</v>
      </c>
    </row>
    <row r="12" spans="2:12">
      <c r="D12">
        <v>10</v>
      </c>
      <c r="E12" s="69">
        <v>44409</v>
      </c>
    </row>
    <row r="13" spans="2:12">
      <c r="D13">
        <v>11</v>
      </c>
      <c r="E13" s="69">
        <v>44440</v>
      </c>
    </row>
    <row r="14" spans="2:12">
      <c r="D14">
        <v>12</v>
      </c>
      <c r="E14" s="69">
        <v>44470</v>
      </c>
    </row>
    <row r="15" spans="2:12">
      <c r="D15">
        <v>13</v>
      </c>
      <c r="E15" s="69">
        <v>44501</v>
      </c>
    </row>
    <row r="16" spans="2:12">
      <c r="D16">
        <v>14</v>
      </c>
      <c r="E16" s="69">
        <v>44531</v>
      </c>
    </row>
    <row r="17" spans="4:5">
      <c r="D17">
        <v>15</v>
      </c>
      <c r="E17" s="69">
        <v>44562</v>
      </c>
    </row>
    <row r="18" spans="4:5">
      <c r="D18">
        <v>16</v>
      </c>
      <c r="E18" s="69">
        <v>44593</v>
      </c>
    </row>
    <row r="19" spans="4:5">
      <c r="D19">
        <v>17</v>
      </c>
      <c r="E19" s="69">
        <v>44621</v>
      </c>
    </row>
    <row r="20" spans="4:5">
      <c r="D20">
        <v>18</v>
      </c>
      <c r="E20" s="69">
        <v>44652</v>
      </c>
    </row>
    <row r="21" spans="4:5">
      <c r="D21">
        <v>19</v>
      </c>
      <c r="E21" s="69">
        <v>44682</v>
      </c>
    </row>
    <row r="22" spans="4:5">
      <c r="D22">
        <v>20</v>
      </c>
      <c r="E22" s="69">
        <v>44713</v>
      </c>
    </row>
    <row r="23" spans="4:5">
      <c r="D23">
        <v>21</v>
      </c>
      <c r="E23" s="69">
        <v>44743</v>
      </c>
    </row>
    <row r="24" spans="4:5">
      <c r="D24">
        <v>22</v>
      </c>
      <c r="E24" s="69">
        <v>44774</v>
      </c>
    </row>
    <row r="25" spans="4:5">
      <c r="D25">
        <v>23</v>
      </c>
      <c r="E25" s="69">
        <v>44805</v>
      </c>
    </row>
    <row r="26" spans="4:5">
      <c r="D26">
        <v>24</v>
      </c>
      <c r="E26" s="69">
        <v>44835</v>
      </c>
    </row>
    <row r="27" spans="4:5">
      <c r="D27">
        <v>25</v>
      </c>
      <c r="E27" s="69">
        <v>44866</v>
      </c>
    </row>
    <row r="28" spans="4:5">
      <c r="D28">
        <v>26</v>
      </c>
      <c r="E28" s="69">
        <v>44896</v>
      </c>
    </row>
    <row r="29" spans="4:5">
      <c r="D29">
        <v>27</v>
      </c>
      <c r="E29" s="69">
        <v>44927</v>
      </c>
    </row>
    <row r="30" spans="4:5">
      <c r="D30">
        <v>28</v>
      </c>
      <c r="E30" s="69">
        <v>44958</v>
      </c>
    </row>
    <row r="31" spans="4:5">
      <c r="D31">
        <v>29</v>
      </c>
      <c r="E31" s="69">
        <v>44986</v>
      </c>
    </row>
    <row r="32" spans="4:5">
      <c r="D32">
        <v>30</v>
      </c>
      <c r="E32" s="69">
        <v>45017</v>
      </c>
    </row>
    <row r="33" spans="4:5">
      <c r="D33">
        <v>31</v>
      </c>
      <c r="E33" s="69">
        <v>45047</v>
      </c>
    </row>
    <row r="34" spans="4:5">
      <c r="D34">
        <v>32</v>
      </c>
      <c r="E34" s="69">
        <v>45078</v>
      </c>
    </row>
    <row r="35" spans="4:5">
      <c r="D35">
        <v>33</v>
      </c>
      <c r="E35" s="69">
        <v>45108</v>
      </c>
    </row>
    <row r="36" spans="4:5">
      <c r="D36">
        <v>34</v>
      </c>
      <c r="E36" s="69">
        <v>45139</v>
      </c>
    </row>
    <row r="37" spans="4:5">
      <c r="D37">
        <v>35</v>
      </c>
      <c r="E37" s="69">
        <v>45170</v>
      </c>
    </row>
    <row r="38" spans="4:5">
      <c r="D38">
        <v>36</v>
      </c>
      <c r="E38" s="69">
        <v>45200</v>
      </c>
    </row>
    <row r="39" spans="4:5">
      <c r="D39">
        <v>37</v>
      </c>
      <c r="E39" s="69">
        <v>45231</v>
      </c>
    </row>
    <row r="40" spans="4:5">
      <c r="D40">
        <v>38</v>
      </c>
      <c r="E40" s="69">
        <v>45261</v>
      </c>
    </row>
    <row r="41" spans="4:5">
      <c r="D41">
        <v>39</v>
      </c>
      <c r="E41" s="69">
        <v>45292</v>
      </c>
    </row>
    <row r="42" spans="4:5">
      <c r="D42">
        <v>40</v>
      </c>
      <c r="E42" s="69">
        <v>45323</v>
      </c>
    </row>
    <row r="43" spans="4:5">
      <c r="D43">
        <v>41</v>
      </c>
      <c r="E43" s="69">
        <v>45352</v>
      </c>
    </row>
    <row r="44" spans="4:5">
      <c r="D44">
        <v>42</v>
      </c>
      <c r="E44" s="69">
        <v>45383</v>
      </c>
    </row>
    <row r="45" spans="4:5">
      <c r="D45">
        <v>43</v>
      </c>
      <c r="E45" s="69">
        <v>45413</v>
      </c>
    </row>
    <row r="46" spans="4:5">
      <c r="D46">
        <v>44</v>
      </c>
      <c r="E46" s="69">
        <v>45444</v>
      </c>
    </row>
    <row r="47" spans="4:5">
      <c r="D47">
        <v>45</v>
      </c>
      <c r="E47" s="69">
        <v>45474</v>
      </c>
    </row>
    <row r="48" spans="4:5">
      <c r="D48">
        <v>46</v>
      </c>
      <c r="E48" s="69">
        <v>45505</v>
      </c>
    </row>
    <row r="49" spans="4:5">
      <c r="D49">
        <v>47</v>
      </c>
      <c r="E49" s="69">
        <v>45536</v>
      </c>
    </row>
    <row r="50" spans="4:5">
      <c r="D50">
        <v>48</v>
      </c>
      <c r="E50" s="69">
        <v>45566</v>
      </c>
    </row>
    <row r="51" spans="4:5">
      <c r="D51">
        <v>49</v>
      </c>
      <c r="E51" s="69">
        <v>45597</v>
      </c>
    </row>
    <row r="52" spans="4:5">
      <c r="D52">
        <v>50</v>
      </c>
      <c r="E52" s="69">
        <v>45627</v>
      </c>
    </row>
    <row r="53" spans="4:5">
      <c r="D53">
        <v>51</v>
      </c>
      <c r="E53" s="69">
        <v>45658</v>
      </c>
    </row>
    <row r="54" spans="4:5">
      <c r="D54">
        <v>52</v>
      </c>
      <c r="E54" s="69">
        <v>45689</v>
      </c>
    </row>
    <row r="55" spans="4:5">
      <c r="D55">
        <v>53</v>
      </c>
      <c r="E55" s="69">
        <v>45717</v>
      </c>
    </row>
    <row r="56" spans="4:5">
      <c r="D56">
        <v>54</v>
      </c>
      <c r="E56" s="69">
        <v>45748</v>
      </c>
    </row>
    <row r="57" spans="4:5">
      <c r="D57">
        <v>55</v>
      </c>
      <c r="E57" s="69">
        <v>45778</v>
      </c>
    </row>
    <row r="58" spans="4:5">
      <c r="D58">
        <v>56</v>
      </c>
      <c r="E58" s="69">
        <v>45809</v>
      </c>
    </row>
    <row r="59" spans="4:5">
      <c r="D59">
        <v>57</v>
      </c>
      <c r="E59" s="69">
        <v>45839</v>
      </c>
    </row>
    <row r="60" spans="4:5">
      <c r="D60">
        <v>58</v>
      </c>
      <c r="E60" s="69">
        <v>45870</v>
      </c>
    </row>
    <row r="61" spans="4:5">
      <c r="D61">
        <v>59</v>
      </c>
      <c r="E61" s="69">
        <v>45901</v>
      </c>
    </row>
    <row r="62" spans="4:5">
      <c r="D62">
        <v>60</v>
      </c>
      <c r="E62" s="69">
        <v>45931</v>
      </c>
    </row>
    <row r="63" spans="4:5">
      <c r="D63">
        <v>61</v>
      </c>
      <c r="E63" s="69"/>
    </row>
    <row r="64" spans="4:5">
      <c r="D64">
        <v>62</v>
      </c>
      <c r="E64" s="69"/>
    </row>
    <row r="65" spans="4:5">
      <c r="D65">
        <v>63</v>
      </c>
      <c r="E65" s="69"/>
    </row>
    <row r="66" spans="4:5">
      <c r="D66">
        <v>64</v>
      </c>
      <c r="E66" s="69"/>
    </row>
    <row r="67" spans="4:5">
      <c r="D67">
        <v>65</v>
      </c>
      <c r="E67" s="69"/>
    </row>
    <row r="68" spans="4:5">
      <c r="D68">
        <v>66</v>
      </c>
      <c r="E68" s="69"/>
    </row>
    <row r="69" spans="4:5">
      <c r="D69">
        <v>67</v>
      </c>
      <c r="E69" s="69"/>
    </row>
    <row r="70" spans="4:5">
      <c r="D70">
        <v>68</v>
      </c>
      <c r="E70" s="69"/>
    </row>
    <row r="71" spans="4:5">
      <c r="D71">
        <v>69</v>
      </c>
      <c r="E71" s="69"/>
    </row>
    <row r="72" spans="4:5">
      <c r="D72">
        <v>70</v>
      </c>
      <c r="E72" s="69"/>
    </row>
    <row r="73" spans="4:5">
      <c r="D73">
        <v>71</v>
      </c>
      <c r="E73" s="69"/>
    </row>
    <row r="74" spans="4:5">
      <c r="D74">
        <v>72</v>
      </c>
      <c r="E74" s="69"/>
    </row>
    <row r="75" spans="4:5">
      <c r="D75">
        <v>73</v>
      </c>
      <c r="E75" s="69"/>
    </row>
    <row r="76" spans="4:5">
      <c r="D76">
        <v>74</v>
      </c>
      <c r="E76" s="69"/>
    </row>
    <row r="77" spans="4:5">
      <c r="D77">
        <v>75</v>
      </c>
      <c r="E77" s="69"/>
    </row>
    <row r="78" spans="4:5">
      <c r="D78">
        <v>76</v>
      </c>
      <c r="E78" s="69"/>
    </row>
    <row r="79" spans="4:5">
      <c r="D79">
        <v>77</v>
      </c>
      <c r="E79" s="69"/>
    </row>
    <row r="80" spans="4:5">
      <c r="D80">
        <v>78</v>
      </c>
      <c r="E80" s="69"/>
    </row>
    <row r="81" spans="4:5">
      <c r="D81">
        <v>79</v>
      </c>
      <c r="E81" s="69"/>
    </row>
    <row r="82" spans="4:5">
      <c r="D82">
        <v>80</v>
      </c>
      <c r="E82" s="69"/>
    </row>
    <row r="83" spans="4:5">
      <c r="D83">
        <v>81</v>
      </c>
      <c r="E83" s="69"/>
    </row>
    <row r="84" spans="4:5">
      <c r="D84">
        <v>82</v>
      </c>
      <c r="E84" s="69"/>
    </row>
    <row r="85" spans="4:5">
      <c r="D85">
        <v>83</v>
      </c>
      <c r="E85" s="69"/>
    </row>
    <row r="86" spans="4:5">
      <c r="D86">
        <v>84</v>
      </c>
      <c r="E86" s="69"/>
    </row>
    <row r="87" spans="4:5">
      <c r="D87">
        <v>85</v>
      </c>
      <c r="E87" s="69"/>
    </row>
    <row r="88" spans="4:5">
      <c r="D88">
        <v>86</v>
      </c>
      <c r="E88" s="69"/>
    </row>
    <row r="89" spans="4:5">
      <c r="D89">
        <v>87</v>
      </c>
      <c r="E89" s="69"/>
    </row>
    <row r="90" spans="4:5">
      <c r="D90">
        <v>88</v>
      </c>
      <c r="E90" s="69"/>
    </row>
    <row r="91" spans="4:5">
      <c r="D91">
        <v>89</v>
      </c>
      <c r="E91" s="69"/>
    </row>
    <row r="92" spans="4:5">
      <c r="D92">
        <v>90</v>
      </c>
      <c r="E92" s="69"/>
    </row>
    <row r="93" spans="4:5">
      <c r="D93">
        <v>91</v>
      </c>
      <c r="E93" s="69"/>
    </row>
    <row r="94" spans="4:5">
      <c r="D94">
        <v>92</v>
      </c>
      <c r="E94" s="69"/>
    </row>
    <row r="95" spans="4:5">
      <c r="D95">
        <v>93</v>
      </c>
      <c r="E95" s="69"/>
    </row>
    <row r="96" spans="4:5">
      <c r="D96">
        <v>94</v>
      </c>
      <c r="E96" s="69"/>
    </row>
    <row r="97" spans="4:5">
      <c r="D97">
        <v>95</v>
      </c>
      <c r="E97" s="69"/>
    </row>
    <row r="98" spans="4:5">
      <c r="D98">
        <v>96</v>
      </c>
      <c r="E98" s="69"/>
    </row>
    <row r="99" spans="4:5">
      <c r="D99">
        <v>97</v>
      </c>
      <c r="E99" s="69"/>
    </row>
    <row r="100" spans="4:5">
      <c r="D100">
        <v>98</v>
      </c>
      <c r="E100" s="69"/>
    </row>
    <row r="101" spans="4:5">
      <c r="D101">
        <v>99</v>
      </c>
      <c r="E101" s="69"/>
    </row>
    <row r="102" spans="4:5">
      <c r="D102">
        <v>100</v>
      </c>
      <c r="E102" s="69"/>
    </row>
    <row r="103" spans="4:5">
      <c r="D103">
        <v>101</v>
      </c>
      <c r="E103" s="69"/>
    </row>
    <row r="104" spans="4:5">
      <c r="D104">
        <v>102</v>
      </c>
      <c r="E104" s="69"/>
    </row>
    <row r="105" spans="4:5">
      <c r="D105">
        <v>103</v>
      </c>
      <c r="E105" s="69"/>
    </row>
    <row r="106" spans="4:5">
      <c r="D106">
        <v>104</v>
      </c>
      <c r="E106" s="69"/>
    </row>
    <row r="107" spans="4:5">
      <c r="D107">
        <v>105</v>
      </c>
      <c r="E107" s="69"/>
    </row>
    <row r="108" spans="4:5">
      <c r="D108">
        <v>106</v>
      </c>
      <c r="E108" s="69"/>
    </row>
    <row r="109" spans="4:5">
      <c r="D109">
        <v>107</v>
      </c>
      <c r="E109" s="69"/>
    </row>
    <row r="110" spans="4:5">
      <c r="D110">
        <v>108</v>
      </c>
      <c r="E110" s="69"/>
    </row>
    <row r="111" spans="4:5">
      <c r="D111">
        <v>109</v>
      </c>
      <c r="E111" s="69"/>
    </row>
    <row r="112" spans="4:5">
      <c r="D112">
        <v>110</v>
      </c>
      <c r="E112" s="69"/>
    </row>
    <row r="113" spans="4:5">
      <c r="D113">
        <v>111</v>
      </c>
      <c r="E113" s="69"/>
    </row>
    <row r="114" spans="4:5">
      <c r="D114">
        <v>112</v>
      </c>
      <c r="E114" s="69"/>
    </row>
    <row r="115" spans="4:5">
      <c r="D115">
        <v>113</v>
      </c>
      <c r="E115" s="69"/>
    </row>
    <row r="116" spans="4:5">
      <c r="D116">
        <v>114</v>
      </c>
      <c r="E116" s="69"/>
    </row>
    <row r="117" spans="4:5">
      <c r="D117">
        <v>115</v>
      </c>
      <c r="E117" s="69"/>
    </row>
    <row r="118" spans="4:5">
      <c r="D118">
        <v>116</v>
      </c>
      <c r="E118" s="69"/>
    </row>
    <row r="119" spans="4:5">
      <c r="D119">
        <v>117</v>
      </c>
      <c r="E119" s="69"/>
    </row>
    <row r="120" spans="4:5">
      <c r="D120">
        <v>118</v>
      </c>
      <c r="E120" s="69"/>
    </row>
    <row r="121" spans="4:5">
      <c r="D121">
        <v>119</v>
      </c>
      <c r="E121" s="69"/>
    </row>
    <row r="122" spans="4:5">
      <c r="D122">
        <v>120</v>
      </c>
      <c r="E122" s="69"/>
    </row>
    <row r="123" spans="4:5">
      <c r="D123">
        <v>121</v>
      </c>
      <c r="E123" s="69"/>
    </row>
    <row r="124" spans="4:5">
      <c r="D124">
        <v>122</v>
      </c>
      <c r="E124" s="69"/>
    </row>
    <row r="125" spans="4:5">
      <c r="D125">
        <v>123</v>
      </c>
      <c r="E125" s="69"/>
    </row>
    <row r="126" spans="4:5">
      <c r="D126">
        <v>124</v>
      </c>
      <c r="E126" s="69"/>
    </row>
    <row r="127" spans="4:5">
      <c r="D127">
        <v>125</v>
      </c>
      <c r="E127" s="69"/>
    </row>
    <row r="128" spans="4:5">
      <c r="D128">
        <v>126</v>
      </c>
      <c r="E128" s="69"/>
    </row>
    <row r="129" spans="4:5">
      <c r="D129">
        <v>127</v>
      </c>
      <c r="E129" s="69"/>
    </row>
    <row r="130" spans="4:5">
      <c r="D130">
        <v>128</v>
      </c>
      <c r="E130" s="69"/>
    </row>
    <row r="131" spans="4:5">
      <c r="D131">
        <v>129</v>
      </c>
      <c r="E131" s="69"/>
    </row>
    <row r="132" spans="4:5">
      <c r="D132">
        <v>130</v>
      </c>
      <c r="E132" s="69"/>
    </row>
    <row r="133" spans="4:5">
      <c r="D133">
        <v>131</v>
      </c>
      <c r="E133" s="69"/>
    </row>
    <row r="134" spans="4:5">
      <c r="D134">
        <v>132</v>
      </c>
      <c r="E134" s="69"/>
    </row>
    <row r="135" spans="4:5">
      <c r="D135">
        <v>133</v>
      </c>
      <c r="E135" s="69"/>
    </row>
    <row r="136" spans="4:5">
      <c r="D136">
        <v>134</v>
      </c>
      <c r="E136" s="69"/>
    </row>
    <row r="137" spans="4:5">
      <c r="D137">
        <v>135</v>
      </c>
      <c r="E137" s="69"/>
    </row>
    <row r="138" spans="4:5">
      <c r="D138">
        <v>136</v>
      </c>
      <c r="E138" s="69"/>
    </row>
    <row r="139" spans="4:5">
      <c r="D139">
        <v>137</v>
      </c>
      <c r="E139" s="69"/>
    </row>
    <row r="140" spans="4:5">
      <c r="D140">
        <v>138</v>
      </c>
      <c r="E140" s="69"/>
    </row>
    <row r="141" spans="4:5">
      <c r="D141">
        <v>139</v>
      </c>
      <c r="E141" s="69"/>
    </row>
    <row r="142" spans="4:5">
      <c r="D142">
        <v>140</v>
      </c>
      <c r="E142" s="69"/>
    </row>
    <row r="143" spans="4:5">
      <c r="D143">
        <v>141</v>
      </c>
      <c r="E143" s="69"/>
    </row>
    <row r="144" spans="4:5">
      <c r="D144">
        <v>142</v>
      </c>
      <c r="E144" s="69"/>
    </row>
    <row r="145" spans="4:5">
      <c r="D145">
        <v>143</v>
      </c>
      <c r="E145" s="69"/>
    </row>
    <row r="146" spans="4:5">
      <c r="D146">
        <v>144</v>
      </c>
      <c r="E146" s="69"/>
    </row>
    <row r="147" spans="4:5">
      <c r="D147">
        <v>145</v>
      </c>
      <c r="E147" s="69"/>
    </row>
    <row r="148" spans="4:5">
      <c r="D148">
        <v>146</v>
      </c>
      <c r="E148" s="69"/>
    </row>
    <row r="149" spans="4:5">
      <c r="D149">
        <v>147</v>
      </c>
      <c r="E149" s="69"/>
    </row>
    <row r="150" spans="4:5">
      <c r="D150">
        <v>148</v>
      </c>
      <c r="E150" s="69"/>
    </row>
    <row r="151" spans="4:5">
      <c r="D151">
        <v>149</v>
      </c>
      <c r="E151" s="69"/>
    </row>
    <row r="152" spans="4:5">
      <c r="D152">
        <v>150</v>
      </c>
      <c r="E152" s="69"/>
    </row>
    <row r="153" spans="4:5">
      <c r="D153">
        <v>151</v>
      </c>
      <c r="E153" s="69"/>
    </row>
    <row r="154" spans="4:5">
      <c r="D154">
        <v>152</v>
      </c>
      <c r="E154" s="69"/>
    </row>
    <row r="155" spans="4:5">
      <c r="D155">
        <v>153</v>
      </c>
      <c r="E155" s="69"/>
    </row>
    <row r="156" spans="4:5">
      <c r="D156">
        <v>154</v>
      </c>
      <c r="E156" s="69"/>
    </row>
    <row r="157" spans="4:5">
      <c r="D157">
        <v>155</v>
      </c>
      <c r="E157" s="69"/>
    </row>
    <row r="158" spans="4:5">
      <c r="D158">
        <v>156</v>
      </c>
      <c r="E158" s="69"/>
    </row>
    <row r="159" spans="4:5">
      <c r="D159">
        <v>157</v>
      </c>
      <c r="E159" s="69"/>
    </row>
    <row r="160" spans="4:5">
      <c r="D160">
        <v>158</v>
      </c>
      <c r="E160" s="69"/>
    </row>
    <row r="161" spans="4:5">
      <c r="D161">
        <v>159</v>
      </c>
      <c r="E161" s="69"/>
    </row>
    <row r="162" spans="4:5">
      <c r="D162">
        <v>160</v>
      </c>
      <c r="E162" s="69"/>
    </row>
    <row r="163" spans="4:5">
      <c r="D163">
        <v>161</v>
      </c>
      <c r="E163" s="69"/>
    </row>
    <row r="164" spans="4:5">
      <c r="D164">
        <v>162</v>
      </c>
      <c r="E164" s="69"/>
    </row>
    <row r="165" spans="4:5">
      <c r="D165">
        <v>163</v>
      </c>
      <c r="E165" s="69"/>
    </row>
    <row r="166" spans="4:5">
      <c r="D166">
        <v>164</v>
      </c>
      <c r="E166" s="69"/>
    </row>
    <row r="167" spans="4:5">
      <c r="D167">
        <v>165</v>
      </c>
      <c r="E167" s="69"/>
    </row>
    <row r="168" spans="4:5">
      <c r="D168">
        <v>166</v>
      </c>
      <c r="E168" s="69"/>
    </row>
    <row r="169" spans="4:5">
      <c r="D169">
        <v>167</v>
      </c>
      <c r="E169" s="69"/>
    </row>
    <row r="170" spans="4:5">
      <c r="D170">
        <v>168</v>
      </c>
      <c r="E170" s="69"/>
    </row>
    <row r="171" spans="4:5">
      <c r="D171">
        <v>169</v>
      </c>
      <c r="E171" s="69"/>
    </row>
    <row r="172" spans="4:5">
      <c r="D172">
        <v>170</v>
      </c>
      <c r="E172" s="69"/>
    </row>
    <row r="173" spans="4:5">
      <c r="D173">
        <v>171</v>
      </c>
      <c r="E173" s="69"/>
    </row>
    <row r="174" spans="4:5">
      <c r="D174">
        <v>172</v>
      </c>
      <c r="E174" s="69"/>
    </row>
    <row r="175" spans="4:5">
      <c r="D175">
        <v>173</v>
      </c>
      <c r="E175" s="69"/>
    </row>
    <row r="176" spans="4:5">
      <c r="D176">
        <v>174</v>
      </c>
      <c r="E176" s="69"/>
    </row>
    <row r="177" spans="4:5">
      <c r="D177">
        <v>175</v>
      </c>
      <c r="E177" s="69"/>
    </row>
    <row r="178" spans="4:5">
      <c r="D178">
        <v>176</v>
      </c>
      <c r="E178" s="69"/>
    </row>
    <row r="179" spans="4:5">
      <c r="D179">
        <v>177</v>
      </c>
      <c r="E179" s="69"/>
    </row>
    <row r="180" spans="4:5">
      <c r="D180">
        <v>178</v>
      </c>
      <c r="E180" s="69"/>
    </row>
    <row r="181" spans="4:5">
      <c r="D181">
        <v>179</v>
      </c>
      <c r="E181" s="69"/>
    </row>
    <row r="182" spans="4:5">
      <c r="D182">
        <v>180</v>
      </c>
      <c r="E182" s="69"/>
    </row>
    <row r="183" spans="4:5">
      <c r="D183">
        <v>181</v>
      </c>
      <c r="E183" s="69"/>
    </row>
    <row r="184" spans="4:5">
      <c r="D184">
        <v>182</v>
      </c>
      <c r="E184" s="69"/>
    </row>
    <row r="185" spans="4:5">
      <c r="D185">
        <v>183</v>
      </c>
      <c r="E185" s="69"/>
    </row>
    <row r="186" spans="4:5">
      <c r="D186">
        <v>184</v>
      </c>
      <c r="E186" s="69"/>
    </row>
    <row r="187" spans="4:5">
      <c r="D187">
        <v>185</v>
      </c>
      <c r="E187" s="69"/>
    </row>
    <row r="188" spans="4:5">
      <c r="D188">
        <v>186</v>
      </c>
      <c r="E188" s="69"/>
    </row>
    <row r="189" spans="4:5">
      <c r="D189">
        <v>187</v>
      </c>
      <c r="E189" s="69"/>
    </row>
    <row r="190" spans="4:5">
      <c r="D190">
        <v>188</v>
      </c>
      <c r="E190" s="69"/>
    </row>
    <row r="191" spans="4:5">
      <c r="D191">
        <v>189</v>
      </c>
      <c r="E191" s="69"/>
    </row>
    <row r="192" spans="4:5">
      <c r="D192">
        <v>190</v>
      </c>
      <c r="E192" s="69"/>
    </row>
    <row r="193" spans="4:5">
      <c r="D193">
        <v>191</v>
      </c>
      <c r="E193" s="69"/>
    </row>
    <row r="194" spans="4:5">
      <c r="D194">
        <v>192</v>
      </c>
      <c r="E194" s="69"/>
    </row>
    <row r="195" spans="4:5">
      <c r="D195">
        <v>193</v>
      </c>
      <c r="E195" s="69"/>
    </row>
    <row r="196" spans="4:5">
      <c r="D196">
        <v>194</v>
      </c>
      <c r="E196" s="69"/>
    </row>
    <row r="197" spans="4:5">
      <c r="D197">
        <v>195</v>
      </c>
      <c r="E197" s="69"/>
    </row>
    <row r="198" spans="4:5">
      <c r="D198">
        <v>196</v>
      </c>
      <c r="E198" s="69"/>
    </row>
    <row r="199" spans="4:5">
      <c r="D199">
        <v>197</v>
      </c>
      <c r="E199" s="69"/>
    </row>
    <row r="200" spans="4:5">
      <c r="D200">
        <v>198</v>
      </c>
      <c r="E200" s="69"/>
    </row>
    <row r="201" spans="4:5">
      <c r="D201">
        <v>199</v>
      </c>
      <c r="E201" s="69"/>
    </row>
    <row r="202" spans="4:5">
      <c r="D202">
        <v>200</v>
      </c>
      <c r="E202" s="69"/>
    </row>
    <row r="203" spans="4:5">
      <c r="D203">
        <v>201</v>
      </c>
      <c r="E203" s="69"/>
    </row>
    <row r="204" spans="4:5">
      <c r="D204">
        <v>202</v>
      </c>
      <c r="E204" s="69"/>
    </row>
    <row r="205" spans="4:5">
      <c r="D205">
        <v>203</v>
      </c>
      <c r="E205" s="69"/>
    </row>
    <row r="206" spans="4:5">
      <c r="D206">
        <v>204</v>
      </c>
      <c r="E206" s="69"/>
    </row>
    <row r="207" spans="4:5">
      <c r="D207">
        <v>205</v>
      </c>
      <c r="E207" s="69"/>
    </row>
    <row r="208" spans="4:5">
      <c r="D208">
        <v>206</v>
      </c>
      <c r="E208" s="69"/>
    </row>
    <row r="209" spans="4:5">
      <c r="D209">
        <v>207</v>
      </c>
      <c r="E209" s="69"/>
    </row>
    <row r="210" spans="4:5">
      <c r="D210">
        <v>208</v>
      </c>
      <c r="E210" s="69"/>
    </row>
    <row r="211" spans="4:5">
      <c r="D211">
        <v>209</v>
      </c>
      <c r="E211" s="69"/>
    </row>
    <row r="212" spans="4:5">
      <c r="D212">
        <v>210</v>
      </c>
      <c r="E212" s="69"/>
    </row>
    <row r="213" spans="4:5">
      <c r="D213">
        <v>211</v>
      </c>
      <c r="E213" s="69"/>
    </row>
    <row r="214" spans="4:5">
      <c r="D214">
        <v>212</v>
      </c>
      <c r="E214" s="69"/>
    </row>
    <row r="215" spans="4:5">
      <c r="D215">
        <v>213</v>
      </c>
      <c r="E215" s="69"/>
    </row>
    <row r="216" spans="4:5">
      <c r="D216">
        <v>214</v>
      </c>
      <c r="E216" s="69"/>
    </row>
    <row r="217" spans="4:5">
      <c r="D217">
        <v>215</v>
      </c>
      <c r="E217" s="69"/>
    </row>
    <row r="218" spans="4:5">
      <c r="D218">
        <v>216</v>
      </c>
      <c r="E218" s="69"/>
    </row>
    <row r="219" spans="4:5">
      <c r="D219">
        <v>217</v>
      </c>
      <c r="E219" s="69"/>
    </row>
    <row r="220" spans="4:5">
      <c r="D220">
        <v>218</v>
      </c>
      <c r="E220" s="69"/>
    </row>
    <row r="221" spans="4:5">
      <c r="D221">
        <v>219</v>
      </c>
      <c r="E221" s="69"/>
    </row>
    <row r="222" spans="4:5">
      <c r="D222">
        <v>220</v>
      </c>
      <c r="E222" s="69"/>
    </row>
    <row r="223" spans="4:5">
      <c r="D223">
        <v>221</v>
      </c>
      <c r="E223" s="69"/>
    </row>
    <row r="224" spans="4:5">
      <c r="D224">
        <v>222</v>
      </c>
      <c r="E224" s="69"/>
    </row>
    <row r="225" spans="4:5">
      <c r="D225">
        <v>223</v>
      </c>
      <c r="E225" s="69"/>
    </row>
    <row r="226" spans="4:5">
      <c r="D226">
        <v>224</v>
      </c>
      <c r="E226" s="69"/>
    </row>
    <row r="227" spans="4:5">
      <c r="D227">
        <v>225</v>
      </c>
      <c r="E227" s="69"/>
    </row>
    <row r="228" spans="4:5">
      <c r="D228">
        <v>226</v>
      </c>
      <c r="E228" s="69"/>
    </row>
    <row r="229" spans="4:5">
      <c r="D229">
        <v>227</v>
      </c>
      <c r="E229" s="69"/>
    </row>
    <row r="230" spans="4:5">
      <c r="D230">
        <v>228</v>
      </c>
      <c r="E230" s="69"/>
    </row>
    <row r="231" spans="4:5">
      <c r="D231">
        <v>229</v>
      </c>
      <c r="E231" s="69"/>
    </row>
    <row r="232" spans="4:5">
      <c r="D232">
        <v>230</v>
      </c>
      <c r="E232" s="69"/>
    </row>
    <row r="233" spans="4:5">
      <c r="D233">
        <v>231</v>
      </c>
      <c r="E233" s="69"/>
    </row>
    <row r="234" spans="4:5">
      <c r="D234">
        <v>232</v>
      </c>
      <c r="E234" s="69"/>
    </row>
    <row r="235" spans="4:5">
      <c r="D235">
        <v>233</v>
      </c>
      <c r="E235" s="69"/>
    </row>
    <row r="236" spans="4:5">
      <c r="D236">
        <v>234</v>
      </c>
      <c r="E236" s="69"/>
    </row>
    <row r="237" spans="4:5">
      <c r="D237">
        <v>235</v>
      </c>
      <c r="E237" s="69"/>
    </row>
    <row r="238" spans="4:5">
      <c r="D238">
        <v>236</v>
      </c>
      <c r="E238" s="69"/>
    </row>
    <row r="239" spans="4:5">
      <c r="D239">
        <v>237</v>
      </c>
      <c r="E239" s="69"/>
    </row>
    <row r="240" spans="4:5">
      <c r="D240">
        <v>238</v>
      </c>
      <c r="E240" s="69"/>
    </row>
    <row r="241" spans="4:5">
      <c r="D241">
        <v>239</v>
      </c>
      <c r="E241" s="69"/>
    </row>
    <row r="242" spans="4:5">
      <c r="D242">
        <v>240</v>
      </c>
      <c r="E242" s="69"/>
    </row>
    <row r="243" spans="4:5">
      <c r="D243">
        <v>241</v>
      </c>
      <c r="E243" s="69"/>
    </row>
    <row r="244" spans="4:5">
      <c r="D244">
        <v>242</v>
      </c>
      <c r="E244" s="69"/>
    </row>
    <row r="245" spans="4:5">
      <c r="D245">
        <v>243</v>
      </c>
      <c r="E245" s="69"/>
    </row>
    <row r="246" spans="4:5">
      <c r="D246">
        <v>244</v>
      </c>
      <c r="E246" s="69"/>
    </row>
    <row r="247" spans="4:5">
      <c r="D247">
        <v>245</v>
      </c>
      <c r="E247" s="69"/>
    </row>
    <row r="248" spans="4:5">
      <c r="D248">
        <v>246</v>
      </c>
      <c r="E248" s="69"/>
    </row>
    <row r="249" spans="4:5">
      <c r="D249">
        <v>247</v>
      </c>
      <c r="E249" s="69"/>
    </row>
    <row r="250" spans="4:5">
      <c r="D250">
        <v>248</v>
      </c>
      <c r="E250" s="69"/>
    </row>
    <row r="251" spans="4:5">
      <c r="D251">
        <v>249</v>
      </c>
      <c r="E251" s="69"/>
    </row>
    <row r="252" spans="4:5">
      <c r="D252">
        <v>250</v>
      </c>
      <c r="E252" s="69"/>
    </row>
    <row r="253" spans="4:5">
      <c r="D253">
        <v>251</v>
      </c>
      <c r="E253" s="69"/>
    </row>
    <row r="254" spans="4:5">
      <c r="D254">
        <v>252</v>
      </c>
      <c r="E254" s="69"/>
    </row>
    <row r="255" spans="4:5">
      <c r="D255">
        <v>253</v>
      </c>
      <c r="E255" s="69"/>
    </row>
    <row r="256" spans="4:5">
      <c r="D256">
        <v>254</v>
      </c>
      <c r="E256" s="69"/>
    </row>
    <row r="257" spans="4:5">
      <c r="D257">
        <v>255</v>
      </c>
      <c r="E257" s="69"/>
    </row>
    <row r="258" spans="4:5">
      <c r="D258">
        <v>256</v>
      </c>
      <c r="E258" s="69"/>
    </row>
    <row r="259" spans="4:5">
      <c r="D259">
        <v>257</v>
      </c>
      <c r="E259" s="69"/>
    </row>
    <row r="260" spans="4:5">
      <c r="D260">
        <v>258</v>
      </c>
      <c r="E260" s="69"/>
    </row>
    <row r="261" spans="4:5">
      <c r="D261">
        <v>259</v>
      </c>
      <c r="E261" s="69"/>
    </row>
    <row r="262" spans="4:5">
      <c r="D262">
        <v>260</v>
      </c>
      <c r="E262" s="69"/>
    </row>
    <row r="263" spans="4:5">
      <c r="D263">
        <v>261</v>
      </c>
      <c r="E263" s="69"/>
    </row>
    <row r="264" spans="4:5">
      <c r="D264">
        <v>262</v>
      </c>
      <c r="E264" s="69"/>
    </row>
    <row r="265" spans="4:5">
      <c r="D265">
        <v>263</v>
      </c>
      <c r="E265" s="69"/>
    </row>
    <row r="266" spans="4:5">
      <c r="D266">
        <v>264</v>
      </c>
      <c r="E266" s="69"/>
    </row>
    <row r="267" spans="4:5">
      <c r="D267">
        <v>265</v>
      </c>
      <c r="E267" s="69"/>
    </row>
    <row r="268" spans="4:5">
      <c r="D268">
        <v>266</v>
      </c>
      <c r="E268" s="69"/>
    </row>
    <row r="269" spans="4:5">
      <c r="D269">
        <v>267</v>
      </c>
      <c r="E269" s="69"/>
    </row>
    <row r="270" spans="4:5">
      <c r="D270">
        <v>268</v>
      </c>
      <c r="E270" s="69"/>
    </row>
    <row r="271" spans="4:5">
      <c r="D271">
        <v>269</v>
      </c>
      <c r="E271" s="69"/>
    </row>
    <row r="272" spans="4:5">
      <c r="D272">
        <v>270</v>
      </c>
      <c r="E272" s="69"/>
    </row>
    <row r="273" spans="4:5">
      <c r="D273">
        <v>271</v>
      </c>
      <c r="E273" s="69"/>
    </row>
    <row r="274" spans="4:5">
      <c r="D274">
        <v>272</v>
      </c>
      <c r="E274" s="69"/>
    </row>
    <row r="275" spans="4:5">
      <c r="D275">
        <v>273</v>
      </c>
      <c r="E275" s="69"/>
    </row>
    <row r="276" spans="4:5">
      <c r="D276">
        <v>274</v>
      </c>
      <c r="E276" s="69"/>
    </row>
    <row r="277" spans="4:5">
      <c r="D277">
        <v>275</v>
      </c>
      <c r="E277" s="69"/>
    </row>
    <row r="278" spans="4:5">
      <c r="D278">
        <v>276</v>
      </c>
      <c r="E278" s="69"/>
    </row>
    <row r="279" spans="4:5">
      <c r="D279">
        <v>277</v>
      </c>
      <c r="E279" s="69"/>
    </row>
    <row r="280" spans="4:5">
      <c r="D280">
        <v>278</v>
      </c>
      <c r="E280" s="69"/>
    </row>
    <row r="281" spans="4:5">
      <c r="D281">
        <v>279</v>
      </c>
      <c r="E281" s="69"/>
    </row>
    <row r="282" spans="4:5">
      <c r="D282">
        <v>280</v>
      </c>
      <c r="E282" s="69"/>
    </row>
    <row r="283" spans="4:5">
      <c r="D283">
        <v>281</v>
      </c>
      <c r="E283" s="69"/>
    </row>
    <row r="284" spans="4:5">
      <c r="D284">
        <v>282</v>
      </c>
      <c r="E284" s="69"/>
    </row>
    <row r="285" spans="4:5">
      <c r="D285">
        <v>283</v>
      </c>
      <c r="E285" s="69"/>
    </row>
    <row r="286" spans="4:5">
      <c r="D286">
        <v>284</v>
      </c>
      <c r="E286" s="69"/>
    </row>
    <row r="287" spans="4:5">
      <c r="D287">
        <v>285</v>
      </c>
      <c r="E287" s="69"/>
    </row>
    <row r="288" spans="4:5">
      <c r="D288">
        <v>286</v>
      </c>
      <c r="E288" s="69"/>
    </row>
    <row r="289" spans="4:5">
      <c r="D289">
        <v>287</v>
      </c>
      <c r="E289" s="69"/>
    </row>
    <row r="290" spans="4:5">
      <c r="D290">
        <v>288</v>
      </c>
      <c r="E290" s="69"/>
    </row>
    <row r="291" spans="4:5">
      <c r="D291">
        <v>289</v>
      </c>
      <c r="E291" s="69"/>
    </row>
    <row r="292" spans="4:5">
      <c r="D292">
        <v>290</v>
      </c>
      <c r="E292" s="69"/>
    </row>
    <row r="293" spans="4:5">
      <c r="D293">
        <v>291</v>
      </c>
      <c r="E293" s="69"/>
    </row>
    <row r="294" spans="4:5">
      <c r="D294">
        <v>292</v>
      </c>
      <c r="E294" s="69"/>
    </row>
    <row r="295" spans="4:5">
      <c r="D295">
        <v>293</v>
      </c>
      <c r="E295" s="69"/>
    </row>
    <row r="296" spans="4:5">
      <c r="D296">
        <v>294</v>
      </c>
      <c r="E296" s="69"/>
    </row>
    <row r="297" spans="4:5">
      <c r="D297">
        <v>295</v>
      </c>
      <c r="E297" s="69"/>
    </row>
    <row r="298" spans="4:5">
      <c r="D298">
        <v>296</v>
      </c>
      <c r="E298" s="69"/>
    </row>
    <row r="299" spans="4:5">
      <c r="D299">
        <v>297</v>
      </c>
      <c r="E299" s="69"/>
    </row>
    <row r="300" spans="4:5">
      <c r="D300">
        <v>298</v>
      </c>
      <c r="E300" s="69"/>
    </row>
    <row r="301" spans="4:5">
      <c r="D301">
        <v>299</v>
      </c>
      <c r="E301" s="69"/>
    </row>
    <row r="302" spans="4:5">
      <c r="D302">
        <v>300</v>
      </c>
      <c r="E302" s="69"/>
    </row>
    <row r="303" spans="4:5">
      <c r="D303">
        <v>301</v>
      </c>
      <c r="E303" s="69"/>
    </row>
    <row r="304" spans="4:5">
      <c r="D304">
        <v>302</v>
      </c>
      <c r="E304" s="69"/>
    </row>
    <row r="305" spans="4:5">
      <c r="D305">
        <v>303</v>
      </c>
      <c r="E305" s="69"/>
    </row>
    <row r="306" spans="4:5">
      <c r="D306">
        <v>304</v>
      </c>
      <c r="E306" s="69"/>
    </row>
    <row r="307" spans="4:5">
      <c r="D307">
        <v>305</v>
      </c>
      <c r="E307" s="69"/>
    </row>
    <row r="308" spans="4:5">
      <c r="D308">
        <v>306</v>
      </c>
      <c r="E308" s="69"/>
    </row>
    <row r="309" spans="4:5">
      <c r="D309">
        <v>307</v>
      </c>
      <c r="E309" s="69"/>
    </row>
    <row r="310" spans="4:5">
      <c r="D310">
        <v>308</v>
      </c>
      <c r="E310" s="69"/>
    </row>
    <row r="311" spans="4:5">
      <c r="D311">
        <v>309</v>
      </c>
      <c r="E311" s="69"/>
    </row>
    <row r="312" spans="4:5">
      <c r="D312">
        <v>310</v>
      </c>
      <c r="E312" s="69"/>
    </row>
    <row r="313" spans="4:5">
      <c r="D313">
        <v>311</v>
      </c>
      <c r="E313" s="69"/>
    </row>
    <row r="314" spans="4:5">
      <c r="D314">
        <v>312</v>
      </c>
      <c r="E314" s="69"/>
    </row>
    <row r="315" spans="4:5">
      <c r="D315">
        <v>313</v>
      </c>
      <c r="E315" s="69"/>
    </row>
    <row r="316" spans="4:5">
      <c r="D316">
        <v>314</v>
      </c>
      <c r="E316" s="69"/>
    </row>
    <row r="317" spans="4:5">
      <c r="D317">
        <v>315</v>
      </c>
      <c r="E317" s="69"/>
    </row>
    <row r="318" spans="4:5">
      <c r="D318">
        <v>316</v>
      </c>
      <c r="E318" s="69"/>
    </row>
    <row r="319" spans="4:5">
      <c r="D319">
        <v>317</v>
      </c>
      <c r="E319" s="69"/>
    </row>
    <row r="320" spans="4:5">
      <c r="D320">
        <v>318</v>
      </c>
      <c r="E320" s="69"/>
    </row>
    <row r="321" spans="4:5">
      <c r="D321">
        <v>319</v>
      </c>
      <c r="E321" s="69"/>
    </row>
    <row r="322" spans="4:5">
      <c r="D322">
        <v>320</v>
      </c>
      <c r="E322" s="69"/>
    </row>
    <row r="323" spans="4:5">
      <c r="D323">
        <v>321</v>
      </c>
      <c r="E323" s="69"/>
    </row>
    <row r="324" spans="4:5">
      <c r="D324">
        <v>322</v>
      </c>
      <c r="E324" s="69"/>
    </row>
    <row r="325" spans="4:5">
      <c r="D325">
        <v>323</v>
      </c>
      <c r="E325" s="69"/>
    </row>
    <row r="326" spans="4:5">
      <c r="D326">
        <v>324</v>
      </c>
      <c r="E326" s="69"/>
    </row>
    <row r="327" spans="4:5">
      <c r="D327">
        <v>325</v>
      </c>
      <c r="E327" s="69"/>
    </row>
    <row r="328" spans="4:5">
      <c r="D328">
        <v>326</v>
      </c>
      <c r="E328" s="69"/>
    </row>
    <row r="329" spans="4:5">
      <c r="D329">
        <v>327</v>
      </c>
      <c r="E329" s="69"/>
    </row>
    <row r="330" spans="4:5">
      <c r="D330">
        <v>328</v>
      </c>
      <c r="E330" s="69"/>
    </row>
    <row r="331" spans="4:5">
      <c r="D331">
        <v>329</v>
      </c>
      <c r="E331" s="69"/>
    </row>
    <row r="332" spans="4:5">
      <c r="D332">
        <v>330</v>
      </c>
      <c r="E332" s="69"/>
    </row>
    <row r="333" spans="4:5">
      <c r="D333">
        <v>331</v>
      </c>
      <c r="E333" s="69"/>
    </row>
    <row r="334" spans="4:5">
      <c r="D334">
        <v>332</v>
      </c>
      <c r="E334" s="69"/>
    </row>
    <row r="335" spans="4:5">
      <c r="D335">
        <v>333</v>
      </c>
      <c r="E335" s="69"/>
    </row>
    <row r="336" spans="4:5">
      <c r="D336">
        <v>334</v>
      </c>
      <c r="E336" s="69"/>
    </row>
    <row r="337" spans="4:5">
      <c r="D337">
        <v>335</v>
      </c>
      <c r="E337" s="69"/>
    </row>
    <row r="338" spans="4:5">
      <c r="D338">
        <v>336</v>
      </c>
      <c r="E338" s="69"/>
    </row>
    <row r="339" spans="4:5">
      <c r="D339">
        <v>337</v>
      </c>
      <c r="E339" s="69"/>
    </row>
    <row r="340" spans="4:5">
      <c r="D340">
        <v>338</v>
      </c>
      <c r="E340" s="69"/>
    </row>
    <row r="341" spans="4:5">
      <c r="D341">
        <v>339</v>
      </c>
      <c r="E341" s="69"/>
    </row>
    <row r="342" spans="4:5">
      <c r="D342">
        <v>340</v>
      </c>
      <c r="E342" s="69"/>
    </row>
    <row r="343" spans="4:5">
      <c r="D343">
        <v>341</v>
      </c>
      <c r="E343" s="69"/>
    </row>
    <row r="344" spans="4:5">
      <c r="D344">
        <v>342</v>
      </c>
      <c r="E344" s="69"/>
    </row>
    <row r="345" spans="4:5">
      <c r="D345">
        <v>343</v>
      </c>
      <c r="E345" s="69"/>
    </row>
    <row r="346" spans="4:5">
      <c r="D346">
        <v>344</v>
      </c>
      <c r="E346" s="69"/>
    </row>
    <row r="347" spans="4:5">
      <c r="D347">
        <v>345</v>
      </c>
      <c r="E347" s="69"/>
    </row>
    <row r="348" spans="4:5">
      <c r="D348">
        <v>346</v>
      </c>
      <c r="E348" s="69"/>
    </row>
    <row r="349" spans="4:5">
      <c r="D349">
        <v>347</v>
      </c>
      <c r="E349" s="69"/>
    </row>
    <row r="350" spans="4:5">
      <c r="D350">
        <v>348</v>
      </c>
      <c r="E350" s="69"/>
    </row>
    <row r="351" spans="4:5">
      <c r="D351">
        <v>349</v>
      </c>
      <c r="E351" s="69"/>
    </row>
    <row r="352" spans="4:5">
      <c r="D352">
        <v>350</v>
      </c>
      <c r="E352" s="69"/>
    </row>
    <row r="353" spans="4:5">
      <c r="D353">
        <v>351</v>
      </c>
      <c r="E353" s="69"/>
    </row>
    <row r="354" spans="4:5">
      <c r="D354">
        <v>352</v>
      </c>
      <c r="E354" s="69"/>
    </row>
    <row r="355" spans="4:5">
      <c r="D355">
        <v>353</v>
      </c>
      <c r="E355" s="69"/>
    </row>
    <row r="356" spans="4:5">
      <c r="D356">
        <v>354</v>
      </c>
      <c r="E356" s="69"/>
    </row>
    <row r="357" spans="4:5">
      <c r="D357">
        <v>355</v>
      </c>
      <c r="E357" s="69"/>
    </row>
    <row r="358" spans="4:5">
      <c r="D358">
        <v>356</v>
      </c>
      <c r="E358" s="69"/>
    </row>
    <row r="359" spans="4:5">
      <c r="D359">
        <v>357</v>
      </c>
      <c r="E359" s="69"/>
    </row>
    <row r="360" spans="4:5">
      <c r="D360">
        <v>358</v>
      </c>
      <c r="E360" s="69"/>
    </row>
    <row r="361" spans="4:5">
      <c r="D361">
        <v>359</v>
      </c>
      <c r="E361" s="69"/>
    </row>
    <row r="362" spans="4:5">
      <c r="D362">
        <v>360</v>
      </c>
      <c r="E362" s="69"/>
    </row>
    <row r="363" spans="4:5">
      <c r="D363">
        <v>361</v>
      </c>
      <c r="E363" s="69"/>
    </row>
    <row r="364" spans="4:5">
      <c r="D364">
        <v>362</v>
      </c>
      <c r="E364" s="69"/>
    </row>
    <row r="365" spans="4:5">
      <c r="D365">
        <v>363</v>
      </c>
      <c r="E365" s="69"/>
    </row>
    <row r="366" spans="4:5">
      <c r="D366">
        <v>364</v>
      </c>
      <c r="E366" s="69"/>
    </row>
    <row r="367" spans="4:5">
      <c r="D367">
        <v>365</v>
      </c>
      <c r="E367" s="69"/>
    </row>
    <row r="368" spans="4:5">
      <c r="D368">
        <v>366</v>
      </c>
      <c r="E368" s="69"/>
    </row>
    <row r="369" spans="4:5">
      <c r="D369">
        <v>367</v>
      </c>
      <c r="E369" s="69"/>
    </row>
    <row r="370" spans="4:5">
      <c r="D370">
        <v>368</v>
      </c>
      <c r="E370" s="69"/>
    </row>
    <row r="371" spans="4:5">
      <c r="D371">
        <v>369</v>
      </c>
      <c r="E371" s="69"/>
    </row>
    <row r="372" spans="4:5">
      <c r="D372">
        <v>370</v>
      </c>
      <c r="E372" s="69"/>
    </row>
    <row r="373" spans="4:5">
      <c r="D373">
        <v>371</v>
      </c>
      <c r="E373" s="69"/>
    </row>
    <row r="374" spans="4:5">
      <c r="D374">
        <v>372</v>
      </c>
      <c r="E374" s="69"/>
    </row>
    <row r="375" spans="4:5">
      <c r="D375">
        <v>373</v>
      </c>
      <c r="E375" s="69"/>
    </row>
    <row r="376" spans="4:5">
      <c r="D376">
        <v>374</v>
      </c>
      <c r="E376" s="69"/>
    </row>
    <row r="377" spans="4:5">
      <c r="D377">
        <v>375</v>
      </c>
      <c r="E377" s="69"/>
    </row>
    <row r="378" spans="4:5">
      <c r="D378">
        <v>376</v>
      </c>
      <c r="E378" s="69"/>
    </row>
    <row r="379" spans="4:5">
      <c r="D379">
        <v>377</v>
      </c>
      <c r="E379" s="69"/>
    </row>
    <row r="380" spans="4:5">
      <c r="D380">
        <v>378</v>
      </c>
      <c r="E380" s="69"/>
    </row>
    <row r="381" spans="4:5">
      <c r="D381">
        <v>379</v>
      </c>
      <c r="E381" s="69"/>
    </row>
    <row r="382" spans="4:5">
      <c r="D382">
        <v>380</v>
      </c>
      <c r="E382" s="69"/>
    </row>
    <row r="383" spans="4:5">
      <c r="D383">
        <v>381</v>
      </c>
      <c r="E383" s="69"/>
    </row>
    <row r="384" spans="4:5">
      <c r="D384">
        <v>382</v>
      </c>
      <c r="E384" s="69"/>
    </row>
    <row r="385" spans="4:5">
      <c r="D385">
        <v>383</v>
      </c>
      <c r="E385" s="69"/>
    </row>
    <row r="386" spans="4:5">
      <c r="D386">
        <v>384</v>
      </c>
      <c r="E386" s="69"/>
    </row>
    <row r="387" spans="4:5">
      <c r="D387">
        <v>385</v>
      </c>
      <c r="E387" s="69"/>
    </row>
    <row r="388" spans="4:5">
      <c r="D388">
        <v>386</v>
      </c>
      <c r="E388" s="69"/>
    </row>
    <row r="389" spans="4:5">
      <c r="D389">
        <v>387</v>
      </c>
      <c r="E389" s="69"/>
    </row>
    <row r="390" spans="4:5">
      <c r="D390">
        <v>388</v>
      </c>
      <c r="E390" s="69"/>
    </row>
    <row r="391" spans="4:5">
      <c r="D391">
        <v>389</v>
      </c>
      <c r="E391" s="69"/>
    </row>
    <row r="392" spans="4:5">
      <c r="D392">
        <v>390</v>
      </c>
      <c r="E392" s="69"/>
    </row>
    <row r="393" spans="4:5">
      <c r="D393">
        <v>391</v>
      </c>
      <c r="E393" s="69"/>
    </row>
    <row r="394" spans="4:5">
      <c r="D394">
        <v>392</v>
      </c>
      <c r="E394" s="69"/>
    </row>
    <row r="395" spans="4:5">
      <c r="D395">
        <v>393</v>
      </c>
      <c r="E395" s="69"/>
    </row>
    <row r="396" spans="4:5">
      <c r="D396">
        <v>394</v>
      </c>
      <c r="E396" s="69"/>
    </row>
    <row r="397" spans="4:5">
      <c r="D397">
        <v>395</v>
      </c>
      <c r="E397" s="69"/>
    </row>
    <row r="398" spans="4:5">
      <c r="D398">
        <v>396</v>
      </c>
      <c r="E398" s="69"/>
    </row>
    <row r="399" spans="4:5">
      <c r="D399">
        <v>397</v>
      </c>
      <c r="E399" s="69"/>
    </row>
    <row r="400" spans="4:5">
      <c r="D400">
        <v>398</v>
      </c>
      <c r="E400" s="69"/>
    </row>
    <row r="401" spans="4:5">
      <c r="D401">
        <v>399</v>
      </c>
      <c r="E401" s="69"/>
    </row>
    <row r="402" spans="4:5">
      <c r="D402">
        <v>400</v>
      </c>
      <c r="E402" s="69"/>
    </row>
    <row r="403" spans="4:5">
      <c r="D403">
        <v>401</v>
      </c>
      <c r="E403" s="69"/>
    </row>
    <row r="404" spans="4:5">
      <c r="D404">
        <v>402</v>
      </c>
      <c r="E404" s="69"/>
    </row>
    <row r="405" spans="4:5">
      <c r="D405">
        <v>403</v>
      </c>
      <c r="E405" s="69"/>
    </row>
    <row r="406" spans="4:5">
      <c r="D406">
        <v>404</v>
      </c>
      <c r="E406" s="69"/>
    </row>
    <row r="407" spans="4:5">
      <c r="D407">
        <v>405</v>
      </c>
      <c r="E407" s="69"/>
    </row>
    <row r="408" spans="4:5">
      <c r="D408">
        <v>406</v>
      </c>
      <c r="E408" s="69"/>
    </row>
    <row r="409" spans="4:5">
      <c r="D409">
        <v>407</v>
      </c>
      <c r="E409" s="69"/>
    </row>
    <row r="410" spans="4:5">
      <c r="D410">
        <v>408</v>
      </c>
      <c r="E410" s="69"/>
    </row>
    <row r="411" spans="4:5">
      <c r="D411">
        <v>409</v>
      </c>
      <c r="E411" s="69"/>
    </row>
    <row r="412" spans="4:5">
      <c r="D412">
        <v>410</v>
      </c>
      <c r="E412" s="69"/>
    </row>
    <row r="413" spans="4:5">
      <c r="D413">
        <v>411</v>
      </c>
      <c r="E413" s="69"/>
    </row>
    <row r="414" spans="4:5">
      <c r="D414">
        <v>412</v>
      </c>
      <c r="E414" s="69"/>
    </row>
    <row r="415" spans="4:5">
      <c r="D415">
        <v>413</v>
      </c>
      <c r="E415" s="69"/>
    </row>
    <row r="416" spans="4:5">
      <c r="D416">
        <v>414</v>
      </c>
      <c r="E416" s="69"/>
    </row>
    <row r="417" spans="4:5">
      <c r="D417">
        <v>415</v>
      </c>
      <c r="E417" s="69"/>
    </row>
    <row r="418" spans="4:5">
      <c r="D418">
        <v>416</v>
      </c>
      <c r="E418" s="69"/>
    </row>
    <row r="419" spans="4:5">
      <c r="D419">
        <v>417</v>
      </c>
      <c r="E419" s="69"/>
    </row>
    <row r="420" spans="4:5">
      <c r="D420">
        <v>418</v>
      </c>
      <c r="E420" s="69"/>
    </row>
    <row r="421" spans="4:5">
      <c r="D421">
        <v>419</v>
      </c>
      <c r="E421" s="69"/>
    </row>
    <row r="422" spans="4:5">
      <c r="D422">
        <v>420</v>
      </c>
      <c r="E422" s="69"/>
    </row>
    <row r="423" spans="4:5">
      <c r="D423">
        <v>421</v>
      </c>
      <c r="E423" s="69"/>
    </row>
    <row r="424" spans="4:5">
      <c r="D424">
        <v>422</v>
      </c>
      <c r="E424" s="69"/>
    </row>
    <row r="425" spans="4:5">
      <c r="D425">
        <v>423</v>
      </c>
      <c r="E425" s="69"/>
    </row>
    <row r="426" spans="4:5">
      <c r="D426">
        <v>424</v>
      </c>
      <c r="E426" s="69"/>
    </row>
    <row r="427" spans="4:5">
      <c r="D427">
        <v>425</v>
      </c>
      <c r="E427" s="69"/>
    </row>
    <row r="428" spans="4:5">
      <c r="D428">
        <v>426</v>
      </c>
      <c r="E428" s="69"/>
    </row>
    <row r="429" spans="4:5">
      <c r="D429">
        <v>427</v>
      </c>
      <c r="E429" s="69"/>
    </row>
    <row r="430" spans="4:5">
      <c r="D430">
        <v>428</v>
      </c>
      <c r="E430" s="69"/>
    </row>
    <row r="431" spans="4:5">
      <c r="D431">
        <v>429</v>
      </c>
      <c r="E431" s="69"/>
    </row>
    <row r="432" spans="4:5">
      <c r="D432">
        <v>430</v>
      </c>
      <c r="E432" s="69"/>
    </row>
    <row r="433" spans="4:5">
      <c r="D433">
        <v>431</v>
      </c>
      <c r="E433" s="69"/>
    </row>
    <row r="434" spans="4:5">
      <c r="D434">
        <v>432</v>
      </c>
      <c r="E434" s="69"/>
    </row>
    <row r="435" spans="4:5">
      <c r="D435">
        <v>433</v>
      </c>
    </row>
    <row r="436" spans="4:5">
      <c r="D436">
        <v>434</v>
      </c>
    </row>
    <row r="437" spans="4:5">
      <c r="D437">
        <v>435</v>
      </c>
    </row>
    <row r="438" spans="4:5">
      <c r="D438">
        <v>436</v>
      </c>
    </row>
    <row r="439" spans="4:5">
      <c r="D439">
        <v>437</v>
      </c>
    </row>
    <row r="440" spans="4:5">
      <c r="D440">
        <v>438</v>
      </c>
    </row>
    <row r="441" spans="4:5">
      <c r="D441">
        <v>439</v>
      </c>
    </row>
    <row r="442" spans="4:5">
      <c r="D442">
        <v>440</v>
      </c>
    </row>
    <row r="443" spans="4:5">
      <c r="D443">
        <v>441</v>
      </c>
    </row>
    <row r="444" spans="4:5">
      <c r="D444">
        <v>442</v>
      </c>
    </row>
    <row r="445" spans="4:5">
      <c r="D445">
        <v>443</v>
      </c>
    </row>
    <row r="446" spans="4:5">
      <c r="D446">
        <v>444</v>
      </c>
    </row>
    <row r="447" spans="4:5">
      <c r="D447">
        <v>445</v>
      </c>
    </row>
    <row r="448" spans="4:5">
      <c r="D448">
        <v>446</v>
      </c>
    </row>
    <row r="449" spans="4:4">
      <c r="D449">
        <v>447</v>
      </c>
    </row>
    <row r="450" spans="4:4">
      <c r="D450">
        <v>448</v>
      </c>
    </row>
    <row r="451" spans="4:4">
      <c r="D451">
        <v>449</v>
      </c>
    </row>
    <row r="452" spans="4:4">
      <c r="D452">
        <v>450</v>
      </c>
    </row>
    <row r="453" spans="4:4">
      <c r="D453">
        <v>451</v>
      </c>
    </row>
    <row r="454" spans="4:4">
      <c r="D454">
        <v>452</v>
      </c>
    </row>
    <row r="455" spans="4:4">
      <c r="D455">
        <v>453</v>
      </c>
    </row>
    <row r="456" spans="4:4">
      <c r="D456">
        <v>454</v>
      </c>
    </row>
    <row r="457" spans="4:4">
      <c r="D457">
        <v>455</v>
      </c>
    </row>
    <row r="458" spans="4:4">
      <c r="D458">
        <v>456</v>
      </c>
    </row>
    <row r="459" spans="4:4">
      <c r="D459">
        <v>457</v>
      </c>
    </row>
    <row r="460" spans="4:4">
      <c r="D460">
        <v>458</v>
      </c>
    </row>
    <row r="461" spans="4:4">
      <c r="D461">
        <v>459</v>
      </c>
    </row>
    <row r="462" spans="4:4">
      <c r="D462">
        <v>460</v>
      </c>
    </row>
    <row r="463" spans="4:4">
      <c r="D463">
        <v>461</v>
      </c>
    </row>
    <row r="464" spans="4:4">
      <c r="D464">
        <v>462</v>
      </c>
    </row>
    <row r="465" spans="4:4">
      <c r="D465">
        <v>463</v>
      </c>
    </row>
    <row r="466" spans="4:4">
      <c r="D466">
        <v>464</v>
      </c>
    </row>
    <row r="467" spans="4:4">
      <c r="D467">
        <v>465</v>
      </c>
    </row>
    <row r="468" spans="4:4">
      <c r="D468">
        <v>466</v>
      </c>
    </row>
    <row r="469" spans="4:4">
      <c r="D469">
        <v>467</v>
      </c>
    </row>
    <row r="470" spans="4:4">
      <c r="D470">
        <v>468</v>
      </c>
    </row>
    <row r="471" spans="4:4">
      <c r="D471">
        <v>469</v>
      </c>
    </row>
    <row r="472" spans="4:4">
      <c r="D472">
        <v>470</v>
      </c>
    </row>
    <row r="473" spans="4:4">
      <c r="D473">
        <v>471</v>
      </c>
    </row>
    <row r="474" spans="4:4">
      <c r="D474">
        <v>472</v>
      </c>
    </row>
    <row r="475" spans="4:4">
      <c r="D475">
        <v>473</v>
      </c>
    </row>
    <row r="476" spans="4:4">
      <c r="D476">
        <v>474</v>
      </c>
    </row>
    <row r="477" spans="4:4">
      <c r="D477">
        <v>475</v>
      </c>
    </row>
    <row r="478" spans="4:4">
      <c r="D478">
        <v>476</v>
      </c>
    </row>
    <row r="479" spans="4:4">
      <c r="D479">
        <v>477</v>
      </c>
    </row>
    <row r="480" spans="4:4">
      <c r="D480">
        <v>478</v>
      </c>
    </row>
    <row r="481" spans="4:4">
      <c r="D481">
        <v>479</v>
      </c>
    </row>
    <row r="482" spans="4:4">
      <c r="D482">
        <v>480</v>
      </c>
    </row>
    <row r="483" spans="4:4">
      <c r="D483">
        <v>481</v>
      </c>
    </row>
    <row r="484" spans="4:4">
      <c r="D484">
        <v>482</v>
      </c>
    </row>
    <row r="485" spans="4:4">
      <c r="D485">
        <v>483</v>
      </c>
    </row>
    <row r="486" spans="4:4">
      <c r="D486">
        <v>484</v>
      </c>
    </row>
    <row r="487" spans="4:4">
      <c r="D487">
        <v>485</v>
      </c>
    </row>
    <row r="488" spans="4:4">
      <c r="D488">
        <v>486</v>
      </c>
    </row>
    <row r="489" spans="4:4">
      <c r="D489">
        <v>487</v>
      </c>
    </row>
    <row r="490" spans="4:4">
      <c r="D490">
        <v>488</v>
      </c>
    </row>
    <row r="491" spans="4:4">
      <c r="D491">
        <v>489</v>
      </c>
    </row>
    <row r="492" spans="4:4">
      <c r="D492">
        <v>490</v>
      </c>
    </row>
    <row r="493" spans="4:4">
      <c r="D493">
        <v>491</v>
      </c>
    </row>
    <row r="494" spans="4:4">
      <c r="D494">
        <v>492</v>
      </c>
    </row>
    <row r="495" spans="4:4">
      <c r="D495">
        <v>493</v>
      </c>
    </row>
    <row r="496" spans="4:4">
      <c r="D496">
        <v>494</v>
      </c>
    </row>
    <row r="497" spans="4:4">
      <c r="D497">
        <v>495</v>
      </c>
    </row>
    <row r="498" spans="4:4">
      <c r="D498">
        <v>496</v>
      </c>
    </row>
    <row r="499" spans="4:4">
      <c r="D499">
        <v>497</v>
      </c>
    </row>
    <row r="500" spans="4:4">
      <c r="D500">
        <v>498</v>
      </c>
    </row>
    <row r="501" spans="4:4">
      <c r="D501">
        <v>499</v>
      </c>
    </row>
    <row r="502" spans="4:4">
      <c r="D502">
        <v>500</v>
      </c>
    </row>
    <row r="503" spans="4:4">
      <c r="D503">
        <v>501</v>
      </c>
    </row>
    <row r="504" spans="4:4">
      <c r="D504">
        <v>502</v>
      </c>
    </row>
    <row r="505" spans="4:4">
      <c r="D505">
        <v>503</v>
      </c>
    </row>
    <row r="506" spans="4:4">
      <c r="D506">
        <v>504</v>
      </c>
    </row>
    <row r="507" spans="4:4">
      <c r="D507">
        <v>505</v>
      </c>
    </row>
    <row r="508" spans="4:4">
      <c r="D508">
        <v>506</v>
      </c>
    </row>
    <row r="509" spans="4:4">
      <c r="D509">
        <v>507</v>
      </c>
    </row>
    <row r="510" spans="4:4">
      <c r="D510">
        <v>508</v>
      </c>
    </row>
    <row r="511" spans="4:4">
      <c r="D511">
        <v>509</v>
      </c>
    </row>
    <row r="512" spans="4:4">
      <c r="D512">
        <v>510</v>
      </c>
    </row>
    <row r="513" spans="4:4">
      <c r="D513">
        <v>511</v>
      </c>
    </row>
    <row r="514" spans="4:4">
      <c r="D514">
        <v>512</v>
      </c>
    </row>
    <row r="515" spans="4:4">
      <c r="D515">
        <v>513</v>
      </c>
    </row>
    <row r="516" spans="4:4">
      <c r="D516">
        <v>514</v>
      </c>
    </row>
    <row r="517" spans="4:4">
      <c r="D517">
        <v>515</v>
      </c>
    </row>
    <row r="518" spans="4:4">
      <c r="D518">
        <v>516</v>
      </c>
    </row>
    <row r="519" spans="4:4">
      <c r="D519">
        <v>517</v>
      </c>
    </row>
    <row r="520" spans="4:4">
      <c r="D520">
        <v>518</v>
      </c>
    </row>
    <row r="521" spans="4:4">
      <c r="D521">
        <v>519</v>
      </c>
    </row>
    <row r="522" spans="4:4">
      <c r="D522">
        <v>520</v>
      </c>
    </row>
    <row r="523" spans="4:4">
      <c r="D523">
        <v>521</v>
      </c>
    </row>
    <row r="524" spans="4:4">
      <c r="D524">
        <v>522</v>
      </c>
    </row>
    <row r="525" spans="4:4">
      <c r="D525">
        <v>523</v>
      </c>
    </row>
    <row r="526" spans="4:4">
      <c r="D526">
        <v>524</v>
      </c>
    </row>
    <row r="527" spans="4:4">
      <c r="D527">
        <v>525</v>
      </c>
    </row>
    <row r="528" spans="4:4">
      <c r="D528">
        <v>526</v>
      </c>
    </row>
    <row r="529" spans="4:4">
      <c r="D529">
        <v>527</v>
      </c>
    </row>
    <row r="530" spans="4:4">
      <c r="D530">
        <v>528</v>
      </c>
    </row>
    <row r="531" spans="4:4">
      <c r="D531">
        <v>529</v>
      </c>
    </row>
    <row r="532" spans="4:4">
      <c r="D532">
        <v>530</v>
      </c>
    </row>
    <row r="533" spans="4:4">
      <c r="D533">
        <v>531</v>
      </c>
    </row>
    <row r="534" spans="4:4">
      <c r="D534">
        <v>532</v>
      </c>
    </row>
    <row r="535" spans="4:4">
      <c r="D535">
        <v>533</v>
      </c>
    </row>
    <row r="536" spans="4:4">
      <c r="D536">
        <v>534</v>
      </c>
    </row>
    <row r="537" spans="4:4">
      <c r="D537">
        <v>535</v>
      </c>
    </row>
    <row r="538" spans="4:4">
      <c r="D538">
        <v>536</v>
      </c>
    </row>
    <row r="539" spans="4:4">
      <c r="D539">
        <v>537</v>
      </c>
    </row>
    <row r="540" spans="4:4">
      <c r="D540">
        <v>538</v>
      </c>
    </row>
    <row r="541" spans="4:4">
      <c r="D541">
        <v>539</v>
      </c>
    </row>
    <row r="542" spans="4:4">
      <c r="D542">
        <v>540</v>
      </c>
    </row>
    <row r="543" spans="4:4">
      <c r="D543">
        <v>541</v>
      </c>
    </row>
    <row r="544" spans="4:4">
      <c r="D544">
        <v>542</v>
      </c>
    </row>
    <row r="545" spans="4:4">
      <c r="D545">
        <v>543</v>
      </c>
    </row>
    <row r="546" spans="4:4">
      <c r="D546">
        <v>544</v>
      </c>
    </row>
    <row r="547" spans="4:4">
      <c r="D547">
        <v>545</v>
      </c>
    </row>
    <row r="548" spans="4:4">
      <c r="D548">
        <v>546</v>
      </c>
    </row>
    <row r="549" spans="4:4">
      <c r="D549">
        <v>547</v>
      </c>
    </row>
    <row r="550" spans="4:4">
      <c r="D550">
        <v>548</v>
      </c>
    </row>
    <row r="551" spans="4:4">
      <c r="D551">
        <v>549</v>
      </c>
    </row>
    <row r="552" spans="4:4">
      <c r="D552">
        <v>550</v>
      </c>
    </row>
    <row r="553" spans="4:4">
      <c r="D553">
        <v>551</v>
      </c>
    </row>
    <row r="554" spans="4:4">
      <c r="D554">
        <v>552</v>
      </c>
    </row>
    <row r="555" spans="4:4">
      <c r="D555">
        <v>553</v>
      </c>
    </row>
    <row r="556" spans="4:4">
      <c r="D556">
        <v>554</v>
      </c>
    </row>
    <row r="557" spans="4:4">
      <c r="D557">
        <v>555</v>
      </c>
    </row>
    <row r="558" spans="4:4">
      <c r="D558">
        <v>556</v>
      </c>
    </row>
    <row r="559" spans="4:4">
      <c r="D559">
        <v>557</v>
      </c>
    </row>
    <row r="560" spans="4:4">
      <c r="D560">
        <v>558</v>
      </c>
    </row>
    <row r="561" spans="4:4">
      <c r="D561">
        <v>559</v>
      </c>
    </row>
    <row r="562" spans="4:4">
      <c r="D562">
        <v>560</v>
      </c>
    </row>
    <row r="563" spans="4:4">
      <c r="D563">
        <v>561</v>
      </c>
    </row>
    <row r="564" spans="4:4">
      <c r="D564">
        <v>562</v>
      </c>
    </row>
    <row r="565" spans="4:4">
      <c r="D565">
        <v>563</v>
      </c>
    </row>
    <row r="566" spans="4:4">
      <c r="D566">
        <v>564</v>
      </c>
    </row>
    <row r="567" spans="4:4">
      <c r="D567">
        <v>565</v>
      </c>
    </row>
    <row r="568" spans="4:4">
      <c r="D568">
        <v>566</v>
      </c>
    </row>
    <row r="569" spans="4:4">
      <c r="D569">
        <v>567</v>
      </c>
    </row>
    <row r="570" spans="4:4">
      <c r="D570">
        <v>568</v>
      </c>
    </row>
    <row r="571" spans="4:4">
      <c r="D571">
        <v>569</v>
      </c>
    </row>
    <row r="572" spans="4:4">
      <c r="D572">
        <v>570</v>
      </c>
    </row>
    <row r="573" spans="4:4">
      <c r="D573">
        <v>571</v>
      </c>
    </row>
    <row r="574" spans="4:4">
      <c r="D574">
        <v>572</v>
      </c>
    </row>
    <row r="575" spans="4:4">
      <c r="D575">
        <v>573</v>
      </c>
    </row>
    <row r="576" spans="4:4">
      <c r="D576">
        <v>574</v>
      </c>
    </row>
    <row r="577" spans="4:4">
      <c r="D577">
        <v>575</v>
      </c>
    </row>
    <row r="578" spans="4:4">
      <c r="D578">
        <v>576</v>
      </c>
    </row>
    <row r="579" spans="4:4">
      <c r="D579">
        <v>577</v>
      </c>
    </row>
    <row r="580" spans="4:4">
      <c r="D580">
        <v>578</v>
      </c>
    </row>
    <row r="581" spans="4:4">
      <c r="D581">
        <v>579</v>
      </c>
    </row>
    <row r="582" spans="4:4">
      <c r="D582">
        <v>580</v>
      </c>
    </row>
    <row r="583" spans="4:4">
      <c r="D583">
        <v>581</v>
      </c>
    </row>
    <row r="584" spans="4:4">
      <c r="D584">
        <v>582</v>
      </c>
    </row>
    <row r="585" spans="4:4">
      <c r="D585">
        <v>583</v>
      </c>
    </row>
    <row r="586" spans="4:4">
      <c r="D586">
        <v>584</v>
      </c>
    </row>
    <row r="587" spans="4:4">
      <c r="D587">
        <v>585</v>
      </c>
    </row>
    <row r="588" spans="4:4">
      <c r="D588">
        <v>586</v>
      </c>
    </row>
    <row r="589" spans="4:4">
      <c r="D589">
        <v>587</v>
      </c>
    </row>
    <row r="590" spans="4:4">
      <c r="D590">
        <v>588</v>
      </c>
    </row>
    <row r="591" spans="4:4">
      <c r="D591">
        <v>589</v>
      </c>
    </row>
    <row r="592" spans="4:4">
      <c r="D592">
        <v>590</v>
      </c>
    </row>
    <row r="593" spans="4:4">
      <c r="D593">
        <v>591</v>
      </c>
    </row>
    <row r="594" spans="4:4">
      <c r="D594">
        <v>592</v>
      </c>
    </row>
    <row r="595" spans="4:4">
      <c r="D595">
        <v>593</v>
      </c>
    </row>
    <row r="596" spans="4:4">
      <c r="D596">
        <v>594</v>
      </c>
    </row>
    <row r="597" spans="4:4">
      <c r="D597">
        <v>595</v>
      </c>
    </row>
    <row r="598" spans="4:4">
      <c r="D598">
        <v>596</v>
      </c>
    </row>
    <row r="599" spans="4:4">
      <c r="D599">
        <v>597</v>
      </c>
    </row>
    <row r="600" spans="4:4">
      <c r="D600">
        <v>598</v>
      </c>
    </row>
    <row r="601" spans="4:4">
      <c r="D601">
        <v>599</v>
      </c>
    </row>
    <row r="602" spans="4:4">
      <c r="D602">
        <v>600</v>
      </c>
    </row>
    <row r="603" spans="4:4">
      <c r="D603">
        <v>601</v>
      </c>
    </row>
    <row r="604" spans="4:4">
      <c r="D604">
        <v>602</v>
      </c>
    </row>
    <row r="605" spans="4:4">
      <c r="D605">
        <v>603</v>
      </c>
    </row>
    <row r="606" spans="4:4">
      <c r="D606">
        <v>604</v>
      </c>
    </row>
    <row r="607" spans="4:4">
      <c r="D607">
        <v>605</v>
      </c>
    </row>
    <row r="608" spans="4:4">
      <c r="D608">
        <v>606</v>
      </c>
    </row>
    <row r="609" spans="4:4">
      <c r="D609">
        <v>607</v>
      </c>
    </row>
    <row r="610" spans="4:4">
      <c r="D610">
        <v>608</v>
      </c>
    </row>
    <row r="611" spans="4:4">
      <c r="D611">
        <v>609</v>
      </c>
    </row>
    <row r="612" spans="4:4">
      <c r="D612">
        <v>610</v>
      </c>
    </row>
    <row r="613" spans="4:4">
      <c r="D613">
        <v>611</v>
      </c>
    </row>
    <row r="614" spans="4:4">
      <c r="D614">
        <v>612</v>
      </c>
    </row>
    <row r="615" spans="4:4">
      <c r="D615">
        <v>613</v>
      </c>
    </row>
    <row r="616" spans="4:4">
      <c r="D616">
        <v>614</v>
      </c>
    </row>
    <row r="617" spans="4:4">
      <c r="D617">
        <v>615</v>
      </c>
    </row>
    <row r="618" spans="4:4">
      <c r="D618">
        <v>616</v>
      </c>
    </row>
    <row r="619" spans="4:4">
      <c r="D619">
        <v>617</v>
      </c>
    </row>
    <row r="620" spans="4:4">
      <c r="D620">
        <v>618</v>
      </c>
    </row>
    <row r="621" spans="4:4">
      <c r="D621">
        <v>619</v>
      </c>
    </row>
    <row r="622" spans="4:4">
      <c r="D622">
        <v>620</v>
      </c>
    </row>
    <row r="623" spans="4:4">
      <c r="D623">
        <v>621</v>
      </c>
    </row>
    <row r="624" spans="4:4">
      <c r="D624">
        <v>622</v>
      </c>
    </row>
    <row r="625" spans="4:4">
      <c r="D625">
        <v>623</v>
      </c>
    </row>
    <row r="626" spans="4:4">
      <c r="D626">
        <v>624</v>
      </c>
    </row>
    <row r="627" spans="4:4">
      <c r="D627">
        <v>625</v>
      </c>
    </row>
    <row r="628" spans="4:4">
      <c r="D628">
        <v>626</v>
      </c>
    </row>
    <row r="629" spans="4:4">
      <c r="D629">
        <v>627</v>
      </c>
    </row>
    <row r="630" spans="4:4">
      <c r="D630">
        <v>628</v>
      </c>
    </row>
    <row r="631" spans="4:4">
      <c r="D631">
        <v>629</v>
      </c>
    </row>
    <row r="632" spans="4:4">
      <c r="D632">
        <v>630</v>
      </c>
    </row>
    <row r="633" spans="4:4">
      <c r="D633">
        <v>631</v>
      </c>
    </row>
    <row r="634" spans="4:4">
      <c r="D634">
        <v>632</v>
      </c>
    </row>
    <row r="635" spans="4:4">
      <c r="D635">
        <v>633</v>
      </c>
    </row>
    <row r="636" spans="4:4">
      <c r="D636">
        <v>634</v>
      </c>
    </row>
    <row r="637" spans="4:4">
      <c r="D637">
        <v>635</v>
      </c>
    </row>
    <row r="638" spans="4:4">
      <c r="D638">
        <v>636</v>
      </c>
    </row>
    <row r="639" spans="4:4">
      <c r="D639">
        <v>637</v>
      </c>
    </row>
    <row r="640" spans="4:4">
      <c r="D640">
        <v>638</v>
      </c>
    </row>
    <row r="641" spans="4:4">
      <c r="D641">
        <v>639</v>
      </c>
    </row>
    <row r="642" spans="4:4">
      <c r="D642">
        <v>640</v>
      </c>
    </row>
    <row r="643" spans="4:4">
      <c r="D643">
        <v>641</v>
      </c>
    </row>
    <row r="644" spans="4:4">
      <c r="D644">
        <v>642</v>
      </c>
    </row>
    <row r="645" spans="4:4">
      <c r="D645">
        <v>643</v>
      </c>
    </row>
    <row r="646" spans="4:4">
      <c r="D646">
        <v>644</v>
      </c>
    </row>
    <row r="647" spans="4:4">
      <c r="D647">
        <v>645</v>
      </c>
    </row>
    <row r="648" spans="4:4">
      <c r="D648">
        <v>646</v>
      </c>
    </row>
    <row r="649" spans="4:4">
      <c r="D649">
        <v>647</v>
      </c>
    </row>
    <row r="650" spans="4:4">
      <c r="D650">
        <v>648</v>
      </c>
    </row>
    <row r="651" spans="4:4">
      <c r="D651">
        <v>649</v>
      </c>
    </row>
    <row r="652" spans="4:4">
      <c r="D652">
        <v>650</v>
      </c>
    </row>
    <row r="653" spans="4:4">
      <c r="D653">
        <v>651</v>
      </c>
    </row>
    <row r="654" spans="4:4">
      <c r="D654">
        <v>652</v>
      </c>
    </row>
    <row r="655" spans="4:4">
      <c r="D655">
        <v>653</v>
      </c>
    </row>
    <row r="656" spans="4:4">
      <c r="D656">
        <v>654</v>
      </c>
    </row>
    <row r="657" spans="4:4">
      <c r="D657">
        <v>655</v>
      </c>
    </row>
    <row r="658" spans="4:4">
      <c r="D658">
        <v>656</v>
      </c>
    </row>
    <row r="659" spans="4:4">
      <c r="D659">
        <v>657</v>
      </c>
    </row>
    <row r="660" spans="4:4">
      <c r="D660">
        <v>658</v>
      </c>
    </row>
    <row r="661" spans="4:4">
      <c r="D661">
        <v>659</v>
      </c>
    </row>
    <row r="662" spans="4:4">
      <c r="D662">
        <v>660</v>
      </c>
    </row>
    <row r="663" spans="4:4">
      <c r="D663">
        <v>661</v>
      </c>
    </row>
    <row r="664" spans="4:4">
      <c r="D664">
        <v>662</v>
      </c>
    </row>
    <row r="665" spans="4:4">
      <c r="D665">
        <v>663</v>
      </c>
    </row>
    <row r="666" spans="4:4">
      <c r="D666">
        <v>664</v>
      </c>
    </row>
    <row r="667" spans="4:4">
      <c r="D667">
        <v>665</v>
      </c>
    </row>
    <row r="668" spans="4:4">
      <c r="D668">
        <v>666</v>
      </c>
    </row>
    <row r="669" spans="4:4">
      <c r="D669">
        <v>667</v>
      </c>
    </row>
    <row r="670" spans="4:4">
      <c r="D670">
        <v>668</v>
      </c>
    </row>
    <row r="671" spans="4:4">
      <c r="D671">
        <v>669</v>
      </c>
    </row>
    <row r="672" spans="4:4">
      <c r="D672">
        <v>670</v>
      </c>
    </row>
    <row r="673" spans="4:4">
      <c r="D673">
        <v>671</v>
      </c>
    </row>
    <row r="674" spans="4:4">
      <c r="D674">
        <v>672</v>
      </c>
    </row>
    <row r="675" spans="4:4">
      <c r="D675">
        <v>673</v>
      </c>
    </row>
    <row r="676" spans="4:4">
      <c r="D676">
        <v>674</v>
      </c>
    </row>
    <row r="677" spans="4:4">
      <c r="D677">
        <v>675</v>
      </c>
    </row>
    <row r="678" spans="4:4">
      <c r="D678">
        <v>676</v>
      </c>
    </row>
    <row r="679" spans="4:4">
      <c r="D679">
        <v>677</v>
      </c>
    </row>
    <row r="680" spans="4:4">
      <c r="D680">
        <v>678</v>
      </c>
    </row>
    <row r="681" spans="4:4">
      <c r="D681">
        <v>679</v>
      </c>
    </row>
    <row r="682" spans="4:4">
      <c r="D682">
        <v>680</v>
      </c>
    </row>
    <row r="683" spans="4:4">
      <c r="D683">
        <v>681</v>
      </c>
    </row>
    <row r="684" spans="4:4">
      <c r="D684">
        <v>682</v>
      </c>
    </row>
    <row r="685" spans="4:4">
      <c r="D685">
        <v>683</v>
      </c>
    </row>
    <row r="686" spans="4:4">
      <c r="D686">
        <v>684</v>
      </c>
    </row>
    <row r="687" spans="4:4">
      <c r="D687">
        <v>685</v>
      </c>
    </row>
    <row r="688" spans="4:4">
      <c r="D688">
        <v>686</v>
      </c>
    </row>
    <row r="689" spans="4:4">
      <c r="D689">
        <v>687</v>
      </c>
    </row>
    <row r="690" spans="4:4">
      <c r="D690">
        <v>688</v>
      </c>
    </row>
    <row r="691" spans="4:4">
      <c r="D691">
        <v>689</v>
      </c>
    </row>
    <row r="692" spans="4:4">
      <c r="D692">
        <v>690</v>
      </c>
    </row>
    <row r="693" spans="4:4">
      <c r="D693">
        <v>691</v>
      </c>
    </row>
    <row r="694" spans="4:4">
      <c r="D694">
        <v>692</v>
      </c>
    </row>
    <row r="695" spans="4:4">
      <c r="D695">
        <v>693</v>
      </c>
    </row>
    <row r="696" spans="4:4">
      <c r="D696">
        <v>694</v>
      </c>
    </row>
    <row r="697" spans="4:4">
      <c r="D697">
        <v>695</v>
      </c>
    </row>
    <row r="698" spans="4:4">
      <c r="D698">
        <v>696</v>
      </c>
    </row>
    <row r="699" spans="4:4">
      <c r="D699">
        <v>697</v>
      </c>
    </row>
    <row r="700" spans="4:4">
      <c r="D700">
        <v>698</v>
      </c>
    </row>
    <row r="701" spans="4:4">
      <c r="D701">
        <v>699</v>
      </c>
    </row>
    <row r="702" spans="4:4">
      <c r="D702">
        <v>700</v>
      </c>
    </row>
    <row r="703" spans="4:4">
      <c r="D703">
        <v>701</v>
      </c>
    </row>
    <row r="704" spans="4:4">
      <c r="D704">
        <v>702</v>
      </c>
    </row>
    <row r="705" spans="4:4">
      <c r="D705">
        <v>703</v>
      </c>
    </row>
    <row r="706" spans="4:4">
      <c r="D706">
        <v>704</v>
      </c>
    </row>
    <row r="707" spans="4:4">
      <c r="D707">
        <v>705</v>
      </c>
    </row>
    <row r="708" spans="4:4">
      <c r="D708">
        <v>706</v>
      </c>
    </row>
    <row r="709" spans="4:4">
      <c r="D709">
        <v>707</v>
      </c>
    </row>
    <row r="710" spans="4:4">
      <c r="D710">
        <v>708</v>
      </c>
    </row>
    <row r="711" spans="4:4">
      <c r="D711">
        <v>709</v>
      </c>
    </row>
    <row r="712" spans="4:4">
      <c r="D712">
        <v>710</v>
      </c>
    </row>
    <row r="713" spans="4:4">
      <c r="D713">
        <v>711</v>
      </c>
    </row>
    <row r="714" spans="4:4">
      <c r="D714">
        <v>712</v>
      </c>
    </row>
    <row r="715" spans="4:4">
      <c r="D715">
        <v>713</v>
      </c>
    </row>
    <row r="716" spans="4:4">
      <c r="D716">
        <v>714</v>
      </c>
    </row>
    <row r="717" spans="4:4">
      <c r="D717">
        <v>715</v>
      </c>
    </row>
    <row r="718" spans="4:4">
      <c r="D718">
        <v>716</v>
      </c>
    </row>
    <row r="719" spans="4:4">
      <c r="D719">
        <v>717</v>
      </c>
    </row>
    <row r="720" spans="4:4">
      <c r="D720">
        <v>718</v>
      </c>
    </row>
    <row r="721" spans="4:4">
      <c r="D721">
        <v>719</v>
      </c>
    </row>
    <row r="722" spans="4:4">
      <c r="D722">
        <v>720</v>
      </c>
    </row>
    <row r="723" spans="4:4">
      <c r="D723">
        <v>721</v>
      </c>
    </row>
    <row r="724" spans="4:4">
      <c r="D724">
        <v>722</v>
      </c>
    </row>
    <row r="725" spans="4:4">
      <c r="D725">
        <v>723</v>
      </c>
    </row>
    <row r="726" spans="4:4">
      <c r="D726">
        <v>724</v>
      </c>
    </row>
    <row r="727" spans="4:4">
      <c r="D727">
        <v>725</v>
      </c>
    </row>
    <row r="728" spans="4:4">
      <c r="D728">
        <v>726</v>
      </c>
    </row>
    <row r="729" spans="4:4">
      <c r="D729">
        <v>727</v>
      </c>
    </row>
    <row r="730" spans="4:4">
      <c r="D730">
        <v>728</v>
      </c>
    </row>
    <row r="731" spans="4:4">
      <c r="D731">
        <v>729</v>
      </c>
    </row>
    <row r="732" spans="4:4">
      <c r="D732">
        <v>730</v>
      </c>
    </row>
    <row r="733" spans="4:4">
      <c r="D733">
        <v>731</v>
      </c>
    </row>
    <row r="734" spans="4:4">
      <c r="D734">
        <v>732</v>
      </c>
    </row>
    <row r="735" spans="4:4">
      <c r="D735">
        <v>733</v>
      </c>
    </row>
    <row r="736" spans="4:4">
      <c r="D736">
        <v>734</v>
      </c>
    </row>
    <row r="737" spans="4:4">
      <c r="D737">
        <v>735</v>
      </c>
    </row>
    <row r="738" spans="4:4">
      <c r="D738">
        <v>736</v>
      </c>
    </row>
    <row r="739" spans="4:4">
      <c r="D739">
        <v>737</v>
      </c>
    </row>
    <row r="740" spans="4:4">
      <c r="D740">
        <v>738</v>
      </c>
    </row>
    <row r="741" spans="4:4">
      <c r="D741">
        <v>739</v>
      </c>
    </row>
    <row r="742" spans="4:4">
      <c r="D742">
        <v>740</v>
      </c>
    </row>
    <row r="743" spans="4:4">
      <c r="D743">
        <v>741</v>
      </c>
    </row>
    <row r="744" spans="4:4">
      <c r="D744">
        <v>742</v>
      </c>
    </row>
    <row r="745" spans="4:4">
      <c r="D745">
        <v>743</v>
      </c>
    </row>
    <row r="746" spans="4:4">
      <c r="D746">
        <v>744</v>
      </c>
    </row>
    <row r="747" spans="4:4">
      <c r="D747">
        <v>745</v>
      </c>
    </row>
    <row r="748" spans="4:4">
      <c r="D748">
        <v>746</v>
      </c>
    </row>
    <row r="749" spans="4:4">
      <c r="D749">
        <v>747</v>
      </c>
    </row>
    <row r="750" spans="4:4">
      <c r="D750">
        <v>748</v>
      </c>
    </row>
    <row r="751" spans="4:4">
      <c r="D751">
        <v>749</v>
      </c>
    </row>
    <row r="752" spans="4:4">
      <c r="D752">
        <v>750</v>
      </c>
    </row>
    <row r="753" spans="4:4">
      <c r="D753">
        <v>751</v>
      </c>
    </row>
    <row r="754" spans="4:4">
      <c r="D754">
        <v>752</v>
      </c>
    </row>
    <row r="755" spans="4:4">
      <c r="D755">
        <v>753</v>
      </c>
    </row>
    <row r="756" spans="4:4">
      <c r="D756">
        <v>754</v>
      </c>
    </row>
    <row r="757" spans="4:4">
      <c r="D757">
        <v>755</v>
      </c>
    </row>
    <row r="758" spans="4:4">
      <c r="D758">
        <v>756</v>
      </c>
    </row>
    <row r="759" spans="4:4">
      <c r="D759">
        <v>757</v>
      </c>
    </row>
    <row r="760" spans="4:4">
      <c r="D760">
        <v>758</v>
      </c>
    </row>
    <row r="761" spans="4:4">
      <c r="D761">
        <v>759</v>
      </c>
    </row>
    <row r="762" spans="4:4">
      <c r="D762">
        <v>760</v>
      </c>
    </row>
    <row r="763" spans="4:4">
      <c r="D763">
        <v>761</v>
      </c>
    </row>
    <row r="764" spans="4:4">
      <c r="D764">
        <v>762</v>
      </c>
    </row>
    <row r="765" spans="4:4">
      <c r="D765">
        <v>763</v>
      </c>
    </row>
    <row r="766" spans="4:4">
      <c r="D766">
        <v>764</v>
      </c>
    </row>
    <row r="767" spans="4:4">
      <c r="D767">
        <v>765</v>
      </c>
    </row>
    <row r="768" spans="4:4">
      <c r="D768">
        <v>766</v>
      </c>
    </row>
    <row r="769" spans="4:4">
      <c r="D769">
        <v>767</v>
      </c>
    </row>
    <row r="770" spans="4:4">
      <c r="D770">
        <v>768</v>
      </c>
    </row>
    <row r="771" spans="4:4">
      <c r="D771">
        <v>769</v>
      </c>
    </row>
    <row r="772" spans="4:4">
      <c r="D772">
        <v>770</v>
      </c>
    </row>
    <row r="773" spans="4:4">
      <c r="D773">
        <v>771</v>
      </c>
    </row>
    <row r="774" spans="4:4">
      <c r="D774">
        <v>772</v>
      </c>
    </row>
    <row r="775" spans="4:4">
      <c r="D775">
        <v>773</v>
      </c>
    </row>
    <row r="776" spans="4:4">
      <c r="D776">
        <v>774</v>
      </c>
    </row>
    <row r="777" spans="4:4">
      <c r="D777">
        <v>775</v>
      </c>
    </row>
    <row r="778" spans="4:4">
      <c r="D778">
        <v>776</v>
      </c>
    </row>
    <row r="779" spans="4:4">
      <c r="D779">
        <v>777</v>
      </c>
    </row>
    <row r="780" spans="4:4">
      <c r="D780">
        <v>778</v>
      </c>
    </row>
    <row r="781" spans="4:4">
      <c r="D781">
        <v>779</v>
      </c>
    </row>
    <row r="782" spans="4:4">
      <c r="D782">
        <v>780</v>
      </c>
    </row>
    <row r="783" spans="4:4">
      <c r="D783">
        <v>781</v>
      </c>
    </row>
    <row r="784" spans="4:4">
      <c r="D784">
        <v>782</v>
      </c>
    </row>
    <row r="785" spans="4:4">
      <c r="D785">
        <v>783</v>
      </c>
    </row>
    <row r="786" spans="4:4">
      <c r="D786">
        <v>784</v>
      </c>
    </row>
    <row r="787" spans="4:4">
      <c r="D787">
        <v>785</v>
      </c>
    </row>
    <row r="788" spans="4:4">
      <c r="D788">
        <v>786</v>
      </c>
    </row>
    <row r="789" spans="4:4">
      <c r="D789">
        <v>787</v>
      </c>
    </row>
    <row r="790" spans="4:4">
      <c r="D790">
        <v>788</v>
      </c>
    </row>
    <row r="791" spans="4:4">
      <c r="D791">
        <v>789</v>
      </c>
    </row>
    <row r="792" spans="4:4">
      <c r="D792">
        <v>790</v>
      </c>
    </row>
    <row r="793" spans="4:4">
      <c r="D793">
        <v>791</v>
      </c>
    </row>
    <row r="794" spans="4:4">
      <c r="D794">
        <v>792</v>
      </c>
    </row>
    <row r="795" spans="4:4">
      <c r="D795">
        <v>793</v>
      </c>
    </row>
    <row r="796" spans="4:4">
      <c r="D796">
        <v>794</v>
      </c>
    </row>
    <row r="797" spans="4:4">
      <c r="D797">
        <v>795</v>
      </c>
    </row>
    <row r="798" spans="4:4">
      <c r="D798">
        <v>796</v>
      </c>
    </row>
    <row r="799" spans="4:4">
      <c r="D799">
        <v>797</v>
      </c>
    </row>
    <row r="800" spans="4:4">
      <c r="D800">
        <v>798</v>
      </c>
    </row>
    <row r="801" spans="4:4">
      <c r="D801">
        <v>799</v>
      </c>
    </row>
    <row r="802" spans="4:4">
      <c r="D802">
        <v>800</v>
      </c>
    </row>
    <row r="803" spans="4:4">
      <c r="D803">
        <v>801</v>
      </c>
    </row>
    <row r="804" spans="4:4">
      <c r="D804">
        <v>802</v>
      </c>
    </row>
    <row r="805" spans="4:4">
      <c r="D805">
        <v>803</v>
      </c>
    </row>
    <row r="806" spans="4:4">
      <c r="D806">
        <v>804</v>
      </c>
    </row>
    <row r="807" spans="4:4">
      <c r="D807">
        <v>805</v>
      </c>
    </row>
    <row r="808" spans="4:4">
      <c r="D808">
        <v>806</v>
      </c>
    </row>
    <row r="809" spans="4:4">
      <c r="D809">
        <v>807</v>
      </c>
    </row>
    <row r="810" spans="4:4">
      <c r="D810">
        <v>808</v>
      </c>
    </row>
    <row r="811" spans="4:4">
      <c r="D811">
        <v>809</v>
      </c>
    </row>
    <row r="812" spans="4:4">
      <c r="D812">
        <v>810</v>
      </c>
    </row>
    <row r="813" spans="4:4">
      <c r="D813">
        <v>811</v>
      </c>
    </row>
    <row r="814" spans="4:4">
      <c r="D814">
        <v>812</v>
      </c>
    </row>
    <row r="815" spans="4:4">
      <c r="D815">
        <v>813</v>
      </c>
    </row>
    <row r="816" spans="4:4">
      <c r="D816">
        <v>814</v>
      </c>
    </row>
    <row r="817" spans="4:4">
      <c r="D817">
        <v>815</v>
      </c>
    </row>
    <row r="818" spans="4:4">
      <c r="D818">
        <v>816</v>
      </c>
    </row>
    <row r="819" spans="4:4">
      <c r="D819">
        <v>817</v>
      </c>
    </row>
    <row r="820" spans="4:4">
      <c r="D820">
        <v>818</v>
      </c>
    </row>
    <row r="821" spans="4:4">
      <c r="D821">
        <v>819</v>
      </c>
    </row>
    <row r="822" spans="4:4">
      <c r="D822">
        <v>820</v>
      </c>
    </row>
    <row r="823" spans="4:4">
      <c r="D823">
        <v>821</v>
      </c>
    </row>
    <row r="824" spans="4:4">
      <c r="D824">
        <v>822</v>
      </c>
    </row>
    <row r="825" spans="4:4">
      <c r="D825">
        <v>823</v>
      </c>
    </row>
    <row r="826" spans="4:4">
      <c r="D826">
        <v>824</v>
      </c>
    </row>
    <row r="827" spans="4:4">
      <c r="D827">
        <v>825</v>
      </c>
    </row>
    <row r="828" spans="4:4">
      <c r="D828">
        <v>826</v>
      </c>
    </row>
    <row r="829" spans="4:4">
      <c r="D829">
        <v>827</v>
      </c>
    </row>
    <row r="830" spans="4:4">
      <c r="D830">
        <v>828</v>
      </c>
    </row>
    <row r="831" spans="4:4">
      <c r="D831">
        <v>829</v>
      </c>
    </row>
    <row r="832" spans="4:4">
      <c r="D832">
        <v>830</v>
      </c>
    </row>
    <row r="833" spans="4:4">
      <c r="D833">
        <v>831</v>
      </c>
    </row>
    <row r="834" spans="4:4">
      <c r="D834">
        <v>832</v>
      </c>
    </row>
    <row r="835" spans="4:4">
      <c r="D835">
        <v>833</v>
      </c>
    </row>
    <row r="836" spans="4:4">
      <c r="D836">
        <v>834</v>
      </c>
    </row>
    <row r="837" spans="4:4">
      <c r="D837">
        <v>835</v>
      </c>
    </row>
    <row r="838" spans="4:4">
      <c r="D838">
        <v>836</v>
      </c>
    </row>
    <row r="839" spans="4:4">
      <c r="D839">
        <v>837</v>
      </c>
    </row>
    <row r="840" spans="4:4">
      <c r="D840">
        <v>838</v>
      </c>
    </row>
    <row r="841" spans="4:4">
      <c r="D841">
        <v>839</v>
      </c>
    </row>
    <row r="842" spans="4:4">
      <c r="D842">
        <v>840</v>
      </c>
    </row>
    <row r="843" spans="4:4">
      <c r="D843">
        <v>841</v>
      </c>
    </row>
    <row r="844" spans="4:4">
      <c r="D844">
        <v>842</v>
      </c>
    </row>
    <row r="845" spans="4:4">
      <c r="D845">
        <v>843</v>
      </c>
    </row>
    <row r="846" spans="4:4">
      <c r="D846">
        <v>844</v>
      </c>
    </row>
    <row r="847" spans="4:4">
      <c r="D847">
        <v>845</v>
      </c>
    </row>
    <row r="848" spans="4:4">
      <c r="D848">
        <v>846</v>
      </c>
    </row>
    <row r="849" spans="4:4">
      <c r="D849">
        <v>847</v>
      </c>
    </row>
    <row r="850" spans="4:4">
      <c r="D850">
        <v>848</v>
      </c>
    </row>
    <row r="851" spans="4:4">
      <c r="D851">
        <v>849</v>
      </c>
    </row>
    <row r="852" spans="4:4">
      <c r="D852">
        <v>850</v>
      </c>
    </row>
    <row r="853" spans="4:4">
      <c r="D853">
        <v>851</v>
      </c>
    </row>
    <row r="854" spans="4:4">
      <c r="D854">
        <v>852</v>
      </c>
    </row>
    <row r="855" spans="4:4">
      <c r="D855">
        <v>853</v>
      </c>
    </row>
    <row r="856" spans="4:4">
      <c r="D856">
        <v>854</v>
      </c>
    </row>
    <row r="857" spans="4:4">
      <c r="D857">
        <v>855</v>
      </c>
    </row>
    <row r="858" spans="4:4">
      <c r="D858">
        <v>856</v>
      </c>
    </row>
    <row r="859" spans="4:4">
      <c r="D859">
        <v>857</v>
      </c>
    </row>
    <row r="860" spans="4:4">
      <c r="D860">
        <v>858</v>
      </c>
    </row>
    <row r="861" spans="4:4">
      <c r="D861">
        <v>859</v>
      </c>
    </row>
    <row r="862" spans="4:4">
      <c r="D862">
        <v>860</v>
      </c>
    </row>
    <row r="863" spans="4:4">
      <c r="D863">
        <v>861</v>
      </c>
    </row>
    <row r="864" spans="4:4">
      <c r="D864">
        <v>862</v>
      </c>
    </row>
    <row r="865" spans="4:4">
      <c r="D865">
        <v>863</v>
      </c>
    </row>
    <row r="866" spans="4:4">
      <c r="D866">
        <v>864</v>
      </c>
    </row>
    <row r="867" spans="4:4">
      <c r="D867">
        <v>865</v>
      </c>
    </row>
    <row r="868" spans="4:4">
      <c r="D868">
        <v>866</v>
      </c>
    </row>
    <row r="869" spans="4:4">
      <c r="D869">
        <v>867</v>
      </c>
    </row>
    <row r="870" spans="4:4">
      <c r="D870">
        <v>868</v>
      </c>
    </row>
    <row r="871" spans="4:4">
      <c r="D871">
        <v>869</v>
      </c>
    </row>
    <row r="872" spans="4:4">
      <c r="D872">
        <v>870</v>
      </c>
    </row>
    <row r="873" spans="4:4">
      <c r="D873">
        <v>871</v>
      </c>
    </row>
    <row r="874" spans="4:4">
      <c r="D874">
        <v>872</v>
      </c>
    </row>
    <row r="875" spans="4:4">
      <c r="D875">
        <v>873</v>
      </c>
    </row>
    <row r="876" spans="4:4">
      <c r="D876">
        <v>874</v>
      </c>
    </row>
    <row r="877" spans="4:4">
      <c r="D877">
        <v>875</v>
      </c>
    </row>
    <row r="878" spans="4:4">
      <c r="D878">
        <v>876</v>
      </c>
    </row>
    <row r="879" spans="4:4">
      <c r="D879">
        <v>877</v>
      </c>
    </row>
    <row r="880" spans="4:4">
      <c r="D880">
        <v>878</v>
      </c>
    </row>
    <row r="881" spans="4:4">
      <c r="D881">
        <v>879</v>
      </c>
    </row>
    <row r="882" spans="4:4">
      <c r="D882">
        <v>880</v>
      </c>
    </row>
    <row r="883" spans="4:4">
      <c r="D883">
        <v>881</v>
      </c>
    </row>
    <row r="884" spans="4:4">
      <c r="D884">
        <v>882</v>
      </c>
    </row>
    <row r="885" spans="4:4">
      <c r="D885">
        <v>883</v>
      </c>
    </row>
    <row r="886" spans="4:4">
      <c r="D886">
        <v>884</v>
      </c>
    </row>
    <row r="887" spans="4:4">
      <c r="D887">
        <v>885</v>
      </c>
    </row>
    <row r="888" spans="4:4">
      <c r="D888">
        <v>886</v>
      </c>
    </row>
    <row r="889" spans="4:4">
      <c r="D889">
        <v>887</v>
      </c>
    </row>
    <row r="890" spans="4:4">
      <c r="D890">
        <v>888</v>
      </c>
    </row>
    <row r="891" spans="4:4">
      <c r="D891">
        <v>889</v>
      </c>
    </row>
    <row r="892" spans="4:4">
      <c r="D892">
        <v>890</v>
      </c>
    </row>
    <row r="893" spans="4:4">
      <c r="D893">
        <v>891</v>
      </c>
    </row>
    <row r="894" spans="4:4">
      <c r="D894">
        <v>892</v>
      </c>
    </row>
    <row r="895" spans="4:4">
      <c r="D895">
        <v>893</v>
      </c>
    </row>
    <row r="896" spans="4:4">
      <c r="D896">
        <v>894</v>
      </c>
    </row>
    <row r="897" spans="4:4">
      <c r="D897">
        <v>895</v>
      </c>
    </row>
    <row r="898" spans="4:4">
      <c r="D898">
        <v>896</v>
      </c>
    </row>
    <row r="899" spans="4:4">
      <c r="D899">
        <v>897</v>
      </c>
    </row>
    <row r="900" spans="4:4">
      <c r="D900">
        <v>898</v>
      </c>
    </row>
    <row r="901" spans="4:4">
      <c r="D901">
        <v>899</v>
      </c>
    </row>
    <row r="902" spans="4:4">
      <c r="D902">
        <v>900</v>
      </c>
    </row>
    <row r="903" spans="4:4">
      <c r="D903">
        <v>901</v>
      </c>
    </row>
    <row r="904" spans="4:4">
      <c r="D904">
        <v>902</v>
      </c>
    </row>
    <row r="905" spans="4:4">
      <c r="D905">
        <v>903</v>
      </c>
    </row>
    <row r="906" spans="4:4">
      <c r="D906">
        <v>904</v>
      </c>
    </row>
    <row r="907" spans="4:4">
      <c r="D907">
        <v>905</v>
      </c>
    </row>
    <row r="908" spans="4:4">
      <c r="D908">
        <v>906</v>
      </c>
    </row>
    <row r="909" spans="4:4">
      <c r="D909">
        <v>907</v>
      </c>
    </row>
    <row r="910" spans="4:4">
      <c r="D910">
        <v>908</v>
      </c>
    </row>
    <row r="911" spans="4:4">
      <c r="D911">
        <v>909</v>
      </c>
    </row>
    <row r="912" spans="4:4">
      <c r="D912">
        <v>910</v>
      </c>
    </row>
    <row r="913" spans="4:4">
      <c r="D913">
        <v>911</v>
      </c>
    </row>
    <row r="914" spans="4:4">
      <c r="D914">
        <v>912</v>
      </c>
    </row>
    <row r="915" spans="4:4">
      <c r="D915">
        <v>913</v>
      </c>
    </row>
    <row r="916" spans="4:4">
      <c r="D916">
        <v>914</v>
      </c>
    </row>
    <row r="917" spans="4:4">
      <c r="D917">
        <v>915</v>
      </c>
    </row>
    <row r="918" spans="4:4">
      <c r="D918">
        <v>916</v>
      </c>
    </row>
    <row r="919" spans="4:4">
      <c r="D919">
        <v>917</v>
      </c>
    </row>
    <row r="920" spans="4:4">
      <c r="D920">
        <v>918</v>
      </c>
    </row>
    <row r="921" spans="4:4">
      <c r="D921">
        <v>919</v>
      </c>
    </row>
    <row r="922" spans="4:4">
      <c r="D922">
        <v>920</v>
      </c>
    </row>
    <row r="923" spans="4:4">
      <c r="D923">
        <v>921</v>
      </c>
    </row>
    <row r="924" spans="4:4">
      <c r="D924">
        <v>922</v>
      </c>
    </row>
    <row r="925" spans="4:4">
      <c r="D925">
        <v>923</v>
      </c>
    </row>
    <row r="926" spans="4:4">
      <c r="D926">
        <v>924</v>
      </c>
    </row>
    <row r="927" spans="4:4">
      <c r="D927">
        <v>925</v>
      </c>
    </row>
    <row r="928" spans="4:4">
      <c r="D928">
        <v>926</v>
      </c>
    </row>
    <row r="929" spans="4:4">
      <c r="D929">
        <v>927</v>
      </c>
    </row>
    <row r="930" spans="4:4">
      <c r="D930">
        <v>928</v>
      </c>
    </row>
    <row r="931" spans="4:4">
      <c r="D931">
        <v>929</v>
      </c>
    </row>
    <row r="932" spans="4:4">
      <c r="D932">
        <v>930</v>
      </c>
    </row>
    <row r="933" spans="4:4">
      <c r="D933">
        <v>931</v>
      </c>
    </row>
    <row r="934" spans="4:4">
      <c r="D934">
        <v>932</v>
      </c>
    </row>
    <row r="935" spans="4:4">
      <c r="D935">
        <v>933</v>
      </c>
    </row>
    <row r="936" spans="4:4">
      <c r="D936">
        <v>934</v>
      </c>
    </row>
    <row r="937" spans="4:4">
      <c r="D937">
        <v>935</v>
      </c>
    </row>
    <row r="938" spans="4:4">
      <c r="D938">
        <v>936</v>
      </c>
    </row>
    <row r="939" spans="4:4">
      <c r="D939">
        <v>937</v>
      </c>
    </row>
    <row r="940" spans="4:4">
      <c r="D940">
        <v>938</v>
      </c>
    </row>
    <row r="941" spans="4:4">
      <c r="D941">
        <v>939</v>
      </c>
    </row>
    <row r="942" spans="4:4">
      <c r="D942">
        <v>940</v>
      </c>
    </row>
    <row r="943" spans="4:4">
      <c r="D943">
        <v>941</v>
      </c>
    </row>
    <row r="944" spans="4:4">
      <c r="D944">
        <v>942</v>
      </c>
    </row>
    <row r="945" spans="4:4">
      <c r="D945">
        <v>943</v>
      </c>
    </row>
    <row r="946" spans="4:4">
      <c r="D946">
        <v>944</v>
      </c>
    </row>
    <row r="947" spans="4:4">
      <c r="D947">
        <v>945</v>
      </c>
    </row>
    <row r="948" spans="4:4">
      <c r="D948">
        <v>946</v>
      </c>
    </row>
    <row r="949" spans="4:4">
      <c r="D949">
        <v>947</v>
      </c>
    </row>
    <row r="950" spans="4:4">
      <c r="D950">
        <v>948</v>
      </c>
    </row>
    <row r="951" spans="4:4">
      <c r="D951">
        <v>949</v>
      </c>
    </row>
    <row r="952" spans="4:4">
      <c r="D952">
        <v>950</v>
      </c>
    </row>
    <row r="953" spans="4:4">
      <c r="D953">
        <v>951</v>
      </c>
    </row>
    <row r="954" spans="4:4">
      <c r="D954">
        <v>952</v>
      </c>
    </row>
    <row r="955" spans="4:4">
      <c r="D955">
        <v>953</v>
      </c>
    </row>
    <row r="956" spans="4:4">
      <c r="D956">
        <v>954</v>
      </c>
    </row>
    <row r="957" spans="4:4">
      <c r="D957">
        <v>955</v>
      </c>
    </row>
    <row r="958" spans="4:4">
      <c r="D958">
        <v>956</v>
      </c>
    </row>
    <row r="959" spans="4:4">
      <c r="D959">
        <v>957</v>
      </c>
    </row>
    <row r="960" spans="4:4">
      <c r="D960">
        <v>958</v>
      </c>
    </row>
    <row r="961" spans="4:4">
      <c r="D961">
        <v>959</v>
      </c>
    </row>
    <row r="962" spans="4:4">
      <c r="D962">
        <v>960</v>
      </c>
    </row>
    <row r="963" spans="4:4">
      <c r="D963">
        <v>961</v>
      </c>
    </row>
    <row r="964" spans="4:4">
      <c r="D964">
        <v>962</v>
      </c>
    </row>
    <row r="965" spans="4:4">
      <c r="D965">
        <v>963</v>
      </c>
    </row>
    <row r="966" spans="4:4">
      <c r="D966">
        <v>964</v>
      </c>
    </row>
    <row r="967" spans="4:4">
      <c r="D967">
        <v>965</v>
      </c>
    </row>
    <row r="968" spans="4:4">
      <c r="D968">
        <v>966</v>
      </c>
    </row>
    <row r="969" spans="4:4">
      <c r="D969">
        <v>967</v>
      </c>
    </row>
    <row r="970" spans="4:4">
      <c r="D970">
        <v>968</v>
      </c>
    </row>
    <row r="971" spans="4:4">
      <c r="D971">
        <v>969</v>
      </c>
    </row>
    <row r="972" spans="4:4">
      <c r="D972">
        <v>970</v>
      </c>
    </row>
    <row r="973" spans="4:4">
      <c r="D973">
        <v>971</v>
      </c>
    </row>
    <row r="974" spans="4:4">
      <c r="D974">
        <v>972</v>
      </c>
    </row>
    <row r="975" spans="4:4">
      <c r="D975">
        <v>973</v>
      </c>
    </row>
    <row r="976" spans="4:4">
      <c r="D976">
        <v>974</v>
      </c>
    </row>
    <row r="977" spans="4:4">
      <c r="D977">
        <v>975</v>
      </c>
    </row>
    <row r="978" spans="4:4">
      <c r="D978">
        <v>976</v>
      </c>
    </row>
    <row r="979" spans="4:4">
      <c r="D979">
        <v>977</v>
      </c>
    </row>
    <row r="980" spans="4:4">
      <c r="D980">
        <v>978</v>
      </c>
    </row>
    <row r="981" spans="4:4">
      <c r="D981">
        <v>979</v>
      </c>
    </row>
    <row r="982" spans="4:4">
      <c r="D982">
        <v>980</v>
      </c>
    </row>
    <row r="983" spans="4:4">
      <c r="D983">
        <v>981</v>
      </c>
    </row>
    <row r="984" spans="4:4">
      <c r="D984">
        <v>982</v>
      </c>
    </row>
    <row r="985" spans="4:4">
      <c r="D985">
        <v>983</v>
      </c>
    </row>
    <row r="986" spans="4:4">
      <c r="D986">
        <v>984</v>
      </c>
    </row>
    <row r="987" spans="4:4">
      <c r="D987">
        <v>985</v>
      </c>
    </row>
    <row r="988" spans="4:4">
      <c r="D988">
        <v>986</v>
      </c>
    </row>
    <row r="989" spans="4:4">
      <c r="D989">
        <v>987</v>
      </c>
    </row>
    <row r="990" spans="4:4">
      <c r="D990">
        <v>988</v>
      </c>
    </row>
    <row r="991" spans="4:4">
      <c r="D991">
        <v>989</v>
      </c>
    </row>
    <row r="992" spans="4:4">
      <c r="D992">
        <v>990</v>
      </c>
    </row>
    <row r="993" spans="4:4">
      <c r="D993">
        <v>991</v>
      </c>
    </row>
    <row r="994" spans="4:4">
      <c r="D994">
        <v>992</v>
      </c>
    </row>
    <row r="995" spans="4:4">
      <c r="D995">
        <v>993</v>
      </c>
    </row>
    <row r="996" spans="4:4">
      <c r="D996">
        <v>994</v>
      </c>
    </row>
    <row r="997" spans="4:4">
      <c r="D997">
        <v>995</v>
      </c>
    </row>
    <row r="998" spans="4:4">
      <c r="D998">
        <v>996</v>
      </c>
    </row>
    <row r="999" spans="4:4">
      <c r="D999">
        <v>997</v>
      </c>
    </row>
    <row r="1000" spans="4:4">
      <c r="D1000">
        <v>998</v>
      </c>
    </row>
    <row r="1001" spans="4:4">
      <c r="D1001">
        <v>999</v>
      </c>
    </row>
    <row r="1002" spans="4:4">
      <c r="D1002">
        <v>1000</v>
      </c>
    </row>
    <row r="1003" spans="4:4">
      <c r="D1003">
        <v>1001</v>
      </c>
    </row>
    <row r="1004" spans="4:4">
      <c r="D1004">
        <v>1002</v>
      </c>
    </row>
    <row r="1005" spans="4:4">
      <c r="D1005">
        <v>1003</v>
      </c>
    </row>
    <row r="1006" spans="4:4">
      <c r="D1006">
        <v>1004</v>
      </c>
    </row>
    <row r="1007" spans="4:4">
      <c r="D1007">
        <v>1005</v>
      </c>
    </row>
    <row r="1008" spans="4:4">
      <c r="D1008">
        <v>1006</v>
      </c>
    </row>
    <row r="1009" spans="4:4">
      <c r="D1009">
        <v>1007</v>
      </c>
    </row>
    <row r="1010" spans="4:4">
      <c r="D1010">
        <v>1008</v>
      </c>
    </row>
    <row r="1011" spans="4:4">
      <c r="D1011">
        <v>1009</v>
      </c>
    </row>
    <row r="1012" spans="4:4">
      <c r="D1012">
        <v>1010</v>
      </c>
    </row>
    <row r="1013" spans="4:4">
      <c r="D1013">
        <v>1011</v>
      </c>
    </row>
    <row r="1014" spans="4:4">
      <c r="D1014">
        <v>1012</v>
      </c>
    </row>
    <row r="1015" spans="4:4">
      <c r="D1015">
        <v>1013</v>
      </c>
    </row>
    <row r="1016" spans="4:4">
      <c r="D1016">
        <v>1014</v>
      </c>
    </row>
    <row r="1017" spans="4:4">
      <c r="D1017">
        <v>1015</v>
      </c>
    </row>
    <row r="1018" spans="4:4">
      <c r="D1018">
        <v>1016</v>
      </c>
    </row>
    <row r="1019" spans="4:4">
      <c r="D1019">
        <v>1017</v>
      </c>
    </row>
    <row r="1020" spans="4:4">
      <c r="D1020">
        <v>1018</v>
      </c>
    </row>
    <row r="1021" spans="4:4">
      <c r="D1021">
        <v>1019</v>
      </c>
    </row>
    <row r="1022" spans="4:4">
      <c r="D1022">
        <v>1020</v>
      </c>
    </row>
    <row r="1023" spans="4:4">
      <c r="D1023">
        <v>1021</v>
      </c>
    </row>
    <row r="1024" spans="4:4">
      <c r="D1024">
        <v>1022</v>
      </c>
    </row>
    <row r="1025" spans="4:4">
      <c r="D1025">
        <v>1023</v>
      </c>
    </row>
    <row r="1026" spans="4:4">
      <c r="D1026">
        <v>1024</v>
      </c>
    </row>
    <row r="1027" spans="4:4">
      <c r="D1027">
        <v>1025</v>
      </c>
    </row>
    <row r="1028" spans="4:4">
      <c r="D1028">
        <v>1026</v>
      </c>
    </row>
    <row r="1029" spans="4:4">
      <c r="D1029">
        <v>1027</v>
      </c>
    </row>
    <row r="1030" spans="4:4">
      <c r="D1030">
        <v>1028</v>
      </c>
    </row>
    <row r="1031" spans="4:4">
      <c r="D1031">
        <v>1029</v>
      </c>
    </row>
    <row r="1032" spans="4:4">
      <c r="D1032">
        <v>1030</v>
      </c>
    </row>
    <row r="1033" spans="4:4">
      <c r="D1033">
        <v>1031</v>
      </c>
    </row>
    <row r="1034" spans="4:4">
      <c r="D1034">
        <v>1032</v>
      </c>
    </row>
    <row r="1035" spans="4:4">
      <c r="D1035">
        <v>1033</v>
      </c>
    </row>
    <row r="1036" spans="4:4">
      <c r="D1036">
        <v>1034</v>
      </c>
    </row>
    <row r="1037" spans="4:4">
      <c r="D1037">
        <v>1035</v>
      </c>
    </row>
    <row r="1038" spans="4:4">
      <c r="D1038">
        <v>1036</v>
      </c>
    </row>
    <row r="1039" spans="4:4">
      <c r="D1039">
        <v>1037</v>
      </c>
    </row>
    <row r="1040" spans="4:4">
      <c r="D1040">
        <v>1038</v>
      </c>
    </row>
    <row r="1041" spans="4:4">
      <c r="D1041">
        <v>1039</v>
      </c>
    </row>
    <row r="1042" spans="4:4">
      <c r="D1042">
        <v>1040</v>
      </c>
    </row>
    <row r="1043" spans="4:4">
      <c r="D1043">
        <v>1041</v>
      </c>
    </row>
    <row r="1044" spans="4:4">
      <c r="D1044">
        <v>1042</v>
      </c>
    </row>
    <row r="1045" spans="4:4">
      <c r="D1045">
        <v>1043</v>
      </c>
    </row>
    <row r="1046" spans="4:4">
      <c r="D1046">
        <v>1044</v>
      </c>
    </row>
    <row r="1047" spans="4:4">
      <c r="D1047">
        <v>1045</v>
      </c>
    </row>
    <row r="1048" spans="4:4">
      <c r="D1048">
        <v>1046</v>
      </c>
    </row>
    <row r="1049" spans="4:4">
      <c r="D1049">
        <v>1047</v>
      </c>
    </row>
    <row r="1050" spans="4:4">
      <c r="D1050">
        <v>1048</v>
      </c>
    </row>
    <row r="1051" spans="4:4">
      <c r="D1051">
        <v>1049</v>
      </c>
    </row>
    <row r="1052" spans="4:4">
      <c r="D1052">
        <v>1050</v>
      </c>
    </row>
    <row r="1053" spans="4:4">
      <c r="D1053">
        <v>1051</v>
      </c>
    </row>
    <row r="1054" spans="4:4">
      <c r="D1054">
        <v>1052</v>
      </c>
    </row>
    <row r="1055" spans="4:4">
      <c r="D1055">
        <v>1053</v>
      </c>
    </row>
    <row r="1056" spans="4:4">
      <c r="D1056">
        <v>1054</v>
      </c>
    </row>
    <row r="1057" spans="4:4">
      <c r="D1057">
        <v>1055</v>
      </c>
    </row>
    <row r="1058" spans="4:4">
      <c r="D1058">
        <v>1056</v>
      </c>
    </row>
    <row r="1059" spans="4:4">
      <c r="D1059">
        <v>1057</v>
      </c>
    </row>
    <row r="1060" spans="4:4">
      <c r="D1060">
        <v>1058</v>
      </c>
    </row>
    <row r="1061" spans="4:4">
      <c r="D1061">
        <v>1059</v>
      </c>
    </row>
    <row r="1062" spans="4:4">
      <c r="D1062">
        <v>1060</v>
      </c>
    </row>
    <row r="1063" spans="4:4">
      <c r="D1063">
        <v>1061</v>
      </c>
    </row>
    <row r="1064" spans="4:4">
      <c r="D1064">
        <v>1062</v>
      </c>
    </row>
    <row r="1065" spans="4:4">
      <c r="D1065">
        <v>1063</v>
      </c>
    </row>
    <row r="1066" spans="4:4">
      <c r="D1066">
        <v>1064</v>
      </c>
    </row>
    <row r="1067" spans="4:4">
      <c r="D1067">
        <v>1065</v>
      </c>
    </row>
    <row r="1068" spans="4:4">
      <c r="D1068">
        <v>1066</v>
      </c>
    </row>
    <row r="1069" spans="4:4">
      <c r="D1069">
        <v>1067</v>
      </c>
    </row>
    <row r="1070" spans="4:4">
      <c r="D1070">
        <v>1068</v>
      </c>
    </row>
    <row r="1071" spans="4:4">
      <c r="D1071">
        <v>1069</v>
      </c>
    </row>
    <row r="1072" spans="4:4">
      <c r="D1072">
        <v>1070</v>
      </c>
    </row>
    <row r="1073" spans="4:4">
      <c r="D1073">
        <v>1071</v>
      </c>
    </row>
    <row r="1074" spans="4:4">
      <c r="D1074">
        <v>1072</v>
      </c>
    </row>
    <row r="1075" spans="4:4">
      <c r="D1075">
        <v>1073</v>
      </c>
    </row>
    <row r="1076" spans="4:4">
      <c r="D1076">
        <v>1074</v>
      </c>
    </row>
    <row r="1077" spans="4:4">
      <c r="D1077">
        <v>1075</v>
      </c>
    </row>
    <row r="1078" spans="4:4">
      <c r="D1078">
        <v>1076</v>
      </c>
    </row>
    <row r="1079" spans="4:4">
      <c r="D1079">
        <v>1077</v>
      </c>
    </row>
    <row r="1080" spans="4:4">
      <c r="D1080">
        <v>1078</v>
      </c>
    </row>
    <row r="1081" spans="4:4">
      <c r="D1081">
        <v>1079</v>
      </c>
    </row>
    <row r="1082" spans="4:4">
      <c r="D1082">
        <v>1080</v>
      </c>
    </row>
    <row r="1083" spans="4:4">
      <c r="D1083">
        <v>1081</v>
      </c>
    </row>
    <row r="1084" spans="4:4">
      <c r="D1084">
        <v>1082</v>
      </c>
    </row>
    <row r="1085" spans="4:4">
      <c r="D1085">
        <v>1083</v>
      </c>
    </row>
    <row r="1086" spans="4:4">
      <c r="D1086">
        <v>1084</v>
      </c>
    </row>
    <row r="1087" spans="4:4">
      <c r="D1087">
        <v>1085</v>
      </c>
    </row>
    <row r="1088" spans="4:4">
      <c r="D1088">
        <v>1086</v>
      </c>
    </row>
    <row r="1089" spans="4:4">
      <c r="D1089">
        <v>1087</v>
      </c>
    </row>
    <row r="1090" spans="4:4">
      <c r="D1090">
        <v>1088</v>
      </c>
    </row>
    <row r="1091" spans="4:4">
      <c r="D1091">
        <v>1089</v>
      </c>
    </row>
    <row r="1092" spans="4:4">
      <c r="D1092">
        <v>1090</v>
      </c>
    </row>
    <row r="1093" spans="4:4">
      <c r="D1093">
        <v>1091</v>
      </c>
    </row>
    <row r="1094" spans="4:4">
      <c r="D1094">
        <v>1092</v>
      </c>
    </row>
    <row r="1095" spans="4:4">
      <c r="D1095">
        <v>1093</v>
      </c>
    </row>
    <row r="1096" spans="4:4">
      <c r="D1096">
        <v>1094</v>
      </c>
    </row>
    <row r="1097" spans="4:4">
      <c r="D1097">
        <v>1095</v>
      </c>
    </row>
    <row r="1098" spans="4:4">
      <c r="D1098">
        <v>1096</v>
      </c>
    </row>
    <row r="1099" spans="4:4">
      <c r="D1099">
        <v>1097</v>
      </c>
    </row>
    <row r="1100" spans="4:4">
      <c r="D1100">
        <v>1098</v>
      </c>
    </row>
    <row r="1101" spans="4:4">
      <c r="D1101">
        <v>1099</v>
      </c>
    </row>
    <row r="1102" spans="4:4">
      <c r="D1102">
        <v>1100</v>
      </c>
    </row>
    <row r="1103" spans="4:4">
      <c r="D1103">
        <v>1101</v>
      </c>
    </row>
    <row r="1104" spans="4:4">
      <c r="D1104">
        <v>1102</v>
      </c>
    </row>
    <row r="1105" spans="4:4">
      <c r="D1105">
        <v>1103</v>
      </c>
    </row>
    <row r="1106" spans="4:4">
      <c r="D1106">
        <v>1104</v>
      </c>
    </row>
    <row r="1107" spans="4:4">
      <c r="D1107">
        <v>1105</v>
      </c>
    </row>
    <row r="1108" spans="4:4">
      <c r="D1108">
        <v>1106</v>
      </c>
    </row>
    <row r="1109" spans="4:4">
      <c r="D1109">
        <v>1107</v>
      </c>
    </row>
    <row r="1110" spans="4:4">
      <c r="D1110">
        <v>1108</v>
      </c>
    </row>
    <row r="1111" spans="4:4">
      <c r="D1111">
        <v>1109</v>
      </c>
    </row>
    <row r="1112" spans="4:4">
      <c r="D1112">
        <v>1110</v>
      </c>
    </row>
    <row r="1113" spans="4:4">
      <c r="D1113">
        <v>1111</v>
      </c>
    </row>
    <row r="1114" spans="4:4">
      <c r="D1114">
        <v>1112</v>
      </c>
    </row>
    <row r="1115" spans="4:4">
      <c r="D1115">
        <v>1113</v>
      </c>
    </row>
    <row r="1116" spans="4:4">
      <c r="D1116">
        <v>1114</v>
      </c>
    </row>
    <row r="1117" spans="4:4">
      <c r="D1117">
        <v>1115</v>
      </c>
    </row>
    <row r="1118" spans="4:4">
      <c r="D1118">
        <v>1116</v>
      </c>
    </row>
    <row r="1119" spans="4:4">
      <c r="D1119">
        <v>1117</v>
      </c>
    </row>
    <row r="1120" spans="4:4">
      <c r="D1120">
        <v>1118</v>
      </c>
    </row>
    <row r="1121" spans="4:4">
      <c r="D1121">
        <v>1119</v>
      </c>
    </row>
    <row r="1122" spans="4:4">
      <c r="D1122">
        <v>1120</v>
      </c>
    </row>
    <row r="1123" spans="4:4">
      <c r="D1123">
        <v>1121</v>
      </c>
    </row>
    <row r="1124" spans="4:4">
      <c r="D1124">
        <v>1122</v>
      </c>
    </row>
    <row r="1125" spans="4:4">
      <c r="D1125">
        <v>1123</v>
      </c>
    </row>
    <row r="1126" spans="4:4">
      <c r="D1126">
        <v>1124</v>
      </c>
    </row>
    <row r="1127" spans="4:4">
      <c r="D1127">
        <v>1125</v>
      </c>
    </row>
    <row r="1128" spans="4:4">
      <c r="D1128">
        <v>1126</v>
      </c>
    </row>
    <row r="1129" spans="4:4">
      <c r="D1129">
        <v>1127</v>
      </c>
    </row>
    <row r="1130" spans="4:4">
      <c r="D1130">
        <v>1128</v>
      </c>
    </row>
    <row r="1131" spans="4:4">
      <c r="D1131">
        <v>1129</v>
      </c>
    </row>
    <row r="1132" spans="4:4">
      <c r="D1132">
        <v>1130</v>
      </c>
    </row>
    <row r="1133" spans="4:4">
      <c r="D1133">
        <v>1131</v>
      </c>
    </row>
    <row r="1134" spans="4:4">
      <c r="D1134">
        <v>1132</v>
      </c>
    </row>
    <row r="1135" spans="4:4">
      <c r="D1135">
        <v>1133</v>
      </c>
    </row>
    <row r="1136" spans="4:4">
      <c r="D1136">
        <v>1134</v>
      </c>
    </row>
    <row r="1137" spans="4:4">
      <c r="D1137">
        <v>1135</v>
      </c>
    </row>
    <row r="1138" spans="4:4">
      <c r="D1138">
        <v>1136</v>
      </c>
    </row>
    <row r="1139" spans="4:4">
      <c r="D1139">
        <v>1137</v>
      </c>
    </row>
    <row r="1140" spans="4:4">
      <c r="D1140">
        <v>1138</v>
      </c>
    </row>
    <row r="1141" spans="4:4">
      <c r="D1141">
        <v>1139</v>
      </c>
    </row>
    <row r="1142" spans="4:4">
      <c r="D1142">
        <v>1140</v>
      </c>
    </row>
    <row r="1143" spans="4:4">
      <c r="D1143">
        <v>1141</v>
      </c>
    </row>
    <row r="1144" spans="4:4">
      <c r="D1144">
        <v>1142</v>
      </c>
    </row>
    <row r="1145" spans="4:4">
      <c r="D1145">
        <v>1143</v>
      </c>
    </row>
    <row r="1146" spans="4:4">
      <c r="D1146">
        <v>1144</v>
      </c>
    </row>
    <row r="1147" spans="4:4">
      <c r="D1147">
        <v>1145</v>
      </c>
    </row>
    <row r="1148" spans="4:4">
      <c r="D1148">
        <v>1146</v>
      </c>
    </row>
    <row r="1149" spans="4:4">
      <c r="D1149">
        <v>1147</v>
      </c>
    </row>
    <row r="1150" spans="4:4">
      <c r="D1150">
        <v>1148</v>
      </c>
    </row>
    <row r="1151" spans="4:4">
      <c r="D1151">
        <v>1149</v>
      </c>
    </row>
    <row r="1152" spans="4:4">
      <c r="D1152">
        <v>1150</v>
      </c>
    </row>
    <row r="1153" spans="4:4">
      <c r="D1153">
        <v>1151</v>
      </c>
    </row>
    <row r="1154" spans="4:4">
      <c r="D1154">
        <v>1152</v>
      </c>
    </row>
    <row r="1155" spans="4:4">
      <c r="D1155">
        <v>1153</v>
      </c>
    </row>
    <row r="1156" spans="4:4">
      <c r="D1156">
        <v>1154</v>
      </c>
    </row>
    <row r="1157" spans="4:4">
      <c r="D1157">
        <v>1155</v>
      </c>
    </row>
    <row r="1158" spans="4:4">
      <c r="D1158">
        <v>1156</v>
      </c>
    </row>
    <row r="1159" spans="4:4">
      <c r="D1159">
        <v>1157</v>
      </c>
    </row>
    <row r="1160" spans="4:4">
      <c r="D1160">
        <v>1158</v>
      </c>
    </row>
    <row r="1161" spans="4:4">
      <c r="D1161">
        <v>1159</v>
      </c>
    </row>
    <row r="1162" spans="4:4">
      <c r="D1162">
        <v>1160</v>
      </c>
    </row>
    <row r="1163" spans="4:4">
      <c r="D1163">
        <v>1161</v>
      </c>
    </row>
    <row r="1164" spans="4:4">
      <c r="D1164">
        <v>1162</v>
      </c>
    </row>
    <row r="1165" spans="4:4">
      <c r="D1165">
        <v>1163</v>
      </c>
    </row>
    <row r="1166" spans="4:4">
      <c r="D1166">
        <v>1164</v>
      </c>
    </row>
    <row r="1167" spans="4:4">
      <c r="D1167">
        <v>1165</v>
      </c>
    </row>
    <row r="1168" spans="4:4">
      <c r="D1168">
        <v>1166</v>
      </c>
    </row>
    <row r="1169" spans="4:4">
      <c r="D1169">
        <v>1167</v>
      </c>
    </row>
    <row r="1170" spans="4:4">
      <c r="D1170">
        <v>1168</v>
      </c>
    </row>
    <row r="1171" spans="4:4">
      <c r="D1171">
        <v>1169</v>
      </c>
    </row>
    <row r="1172" spans="4:4">
      <c r="D1172">
        <v>1170</v>
      </c>
    </row>
    <row r="1173" spans="4:4">
      <c r="D1173">
        <v>1171</v>
      </c>
    </row>
    <row r="1174" spans="4:4">
      <c r="D1174">
        <v>1172</v>
      </c>
    </row>
    <row r="1175" spans="4:4">
      <c r="D1175">
        <v>1173</v>
      </c>
    </row>
    <row r="1176" spans="4:4">
      <c r="D1176">
        <v>1174</v>
      </c>
    </row>
    <row r="1177" spans="4:4">
      <c r="D1177">
        <v>1175</v>
      </c>
    </row>
    <row r="1178" spans="4:4">
      <c r="D1178">
        <v>1176</v>
      </c>
    </row>
    <row r="1179" spans="4:4">
      <c r="D1179">
        <v>1177</v>
      </c>
    </row>
    <row r="1180" spans="4:4">
      <c r="D1180">
        <v>1178</v>
      </c>
    </row>
    <row r="1181" spans="4:4">
      <c r="D1181">
        <v>1179</v>
      </c>
    </row>
    <row r="1182" spans="4:4">
      <c r="D1182">
        <v>1180</v>
      </c>
    </row>
    <row r="1183" spans="4:4">
      <c r="D1183">
        <v>1181</v>
      </c>
    </row>
    <row r="1184" spans="4:4">
      <c r="D1184">
        <v>1182</v>
      </c>
    </row>
    <row r="1185" spans="4:4">
      <c r="D1185">
        <v>1183</v>
      </c>
    </row>
    <row r="1186" spans="4:4">
      <c r="D1186">
        <v>1184</v>
      </c>
    </row>
    <row r="1187" spans="4:4">
      <c r="D1187">
        <v>1185</v>
      </c>
    </row>
    <row r="1188" spans="4:4">
      <c r="D1188">
        <v>1186</v>
      </c>
    </row>
    <row r="1189" spans="4:4">
      <c r="D1189">
        <v>1187</v>
      </c>
    </row>
    <row r="1190" spans="4:4">
      <c r="D1190">
        <v>1188</v>
      </c>
    </row>
    <row r="1191" spans="4:4">
      <c r="D1191">
        <v>1189</v>
      </c>
    </row>
    <row r="1192" spans="4:4">
      <c r="D1192">
        <v>1190</v>
      </c>
    </row>
    <row r="1193" spans="4:4">
      <c r="D1193">
        <v>1191</v>
      </c>
    </row>
    <row r="1194" spans="4:4">
      <c r="D1194">
        <v>1192</v>
      </c>
    </row>
    <row r="1195" spans="4:4">
      <c r="D1195">
        <v>1193</v>
      </c>
    </row>
    <row r="1196" spans="4:4">
      <c r="D1196">
        <v>1194</v>
      </c>
    </row>
    <row r="1197" spans="4:4">
      <c r="D1197">
        <v>1195</v>
      </c>
    </row>
    <row r="1198" spans="4:4">
      <c r="D1198">
        <v>1196</v>
      </c>
    </row>
    <row r="1199" spans="4:4">
      <c r="D1199">
        <v>1197</v>
      </c>
    </row>
    <row r="1200" spans="4:4">
      <c r="D1200">
        <v>1198</v>
      </c>
    </row>
    <row r="1201" spans="4:4">
      <c r="D1201">
        <v>1199</v>
      </c>
    </row>
    <row r="1202" spans="4:4">
      <c r="D1202">
        <v>1200</v>
      </c>
    </row>
    <row r="1203" spans="4:4">
      <c r="D1203">
        <v>1201</v>
      </c>
    </row>
    <row r="1204" spans="4:4">
      <c r="D1204">
        <v>1202</v>
      </c>
    </row>
    <row r="1205" spans="4:4">
      <c r="D1205">
        <v>1203</v>
      </c>
    </row>
    <row r="1206" spans="4:4">
      <c r="D1206">
        <v>1204</v>
      </c>
    </row>
    <row r="1207" spans="4:4">
      <c r="D1207">
        <v>1205</v>
      </c>
    </row>
    <row r="1208" spans="4:4">
      <c r="D1208">
        <v>1206</v>
      </c>
    </row>
    <row r="1209" spans="4:4">
      <c r="D1209">
        <v>1207</v>
      </c>
    </row>
    <row r="1210" spans="4:4">
      <c r="D1210">
        <v>1208</v>
      </c>
    </row>
    <row r="1211" spans="4:4">
      <c r="D1211">
        <v>1209</v>
      </c>
    </row>
    <row r="1212" spans="4:4">
      <c r="D1212">
        <v>1210</v>
      </c>
    </row>
    <row r="1213" spans="4:4">
      <c r="D1213">
        <v>1211</v>
      </c>
    </row>
    <row r="1214" spans="4:4">
      <c r="D1214">
        <v>1212</v>
      </c>
    </row>
    <row r="1215" spans="4:4">
      <c r="D1215">
        <v>1213</v>
      </c>
    </row>
    <row r="1216" spans="4:4">
      <c r="D1216">
        <v>1214</v>
      </c>
    </row>
    <row r="1217" spans="4:4">
      <c r="D1217">
        <v>1215</v>
      </c>
    </row>
    <row r="1218" spans="4:4">
      <c r="D1218">
        <v>1216</v>
      </c>
    </row>
    <row r="1219" spans="4:4">
      <c r="D1219">
        <v>1217</v>
      </c>
    </row>
    <row r="1220" spans="4:4">
      <c r="D1220">
        <v>1218</v>
      </c>
    </row>
    <row r="1221" spans="4:4">
      <c r="D1221">
        <v>1219</v>
      </c>
    </row>
    <row r="1222" spans="4:4">
      <c r="D1222">
        <v>1220</v>
      </c>
    </row>
    <row r="1223" spans="4:4">
      <c r="D1223">
        <v>1221</v>
      </c>
    </row>
    <row r="1224" spans="4:4">
      <c r="D1224">
        <v>1222</v>
      </c>
    </row>
    <row r="1225" spans="4:4">
      <c r="D1225">
        <v>1223</v>
      </c>
    </row>
    <row r="1226" spans="4:4">
      <c r="D1226">
        <v>1224</v>
      </c>
    </row>
    <row r="1227" spans="4:4">
      <c r="D1227">
        <v>1225</v>
      </c>
    </row>
    <row r="1228" spans="4:4">
      <c r="D1228">
        <v>1226</v>
      </c>
    </row>
    <row r="1229" spans="4:4">
      <c r="D1229">
        <v>1227</v>
      </c>
    </row>
    <row r="1230" spans="4:4">
      <c r="D1230">
        <v>1228</v>
      </c>
    </row>
    <row r="1231" spans="4:4">
      <c r="D1231">
        <v>1229</v>
      </c>
    </row>
    <row r="1232" spans="4:4">
      <c r="D1232">
        <v>1230</v>
      </c>
    </row>
    <row r="1233" spans="4:4">
      <c r="D1233">
        <v>1231</v>
      </c>
    </row>
    <row r="1234" spans="4:4">
      <c r="D1234">
        <v>1232</v>
      </c>
    </row>
    <row r="1235" spans="4:4">
      <c r="D1235">
        <v>1233</v>
      </c>
    </row>
    <row r="1236" spans="4:4">
      <c r="D1236">
        <v>1234</v>
      </c>
    </row>
    <row r="1237" spans="4:4">
      <c r="D1237">
        <v>1235</v>
      </c>
    </row>
    <row r="1238" spans="4:4">
      <c r="D1238">
        <v>1236</v>
      </c>
    </row>
    <row r="1239" spans="4:4">
      <c r="D1239">
        <v>1237</v>
      </c>
    </row>
    <row r="1240" spans="4:4">
      <c r="D1240">
        <v>1238</v>
      </c>
    </row>
    <row r="1241" spans="4:4">
      <c r="D1241">
        <v>1239</v>
      </c>
    </row>
    <row r="1242" spans="4:4">
      <c r="D1242">
        <v>1240</v>
      </c>
    </row>
    <row r="1243" spans="4:4">
      <c r="D1243">
        <v>1241</v>
      </c>
    </row>
    <row r="1244" spans="4:4">
      <c r="D1244">
        <v>1242</v>
      </c>
    </row>
    <row r="1245" spans="4:4">
      <c r="D1245">
        <v>1243</v>
      </c>
    </row>
    <row r="1246" spans="4:4">
      <c r="D1246">
        <v>1244</v>
      </c>
    </row>
    <row r="1247" spans="4:4">
      <c r="D1247">
        <v>1245</v>
      </c>
    </row>
    <row r="1248" spans="4:4">
      <c r="D1248">
        <v>1246</v>
      </c>
    </row>
    <row r="1249" spans="4:4">
      <c r="D1249">
        <v>1247</v>
      </c>
    </row>
    <row r="1250" spans="4:4">
      <c r="D1250">
        <v>1248</v>
      </c>
    </row>
    <row r="1251" spans="4:4">
      <c r="D1251">
        <v>1249</v>
      </c>
    </row>
    <row r="1252" spans="4:4">
      <c r="D1252">
        <v>1250</v>
      </c>
    </row>
    <row r="1253" spans="4:4">
      <c r="D1253">
        <v>1251</v>
      </c>
    </row>
    <row r="1254" spans="4:4">
      <c r="D1254">
        <v>1252</v>
      </c>
    </row>
    <row r="1255" spans="4:4">
      <c r="D1255">
        <v>1253</v>
      </c>
    </row>
    <row r="1256" spans="4:4">
      <c r="D1256">
        <v>1254</v>
      </c>
    </row>
    <row r="1257" spans="4:4">
      <c r="D1257">
        <v>1255</v>
      </c>
    </row>
    <row r="1258" spans="4:4">
      <c r="D1258">
        <v>1256</v>
      </c>
    </row>
    <row r="1259" spans="4:4">
      <c r="D1259">
        <v>1257</v>
      </c>
    </row>
    <row r="1260" spans="4:4">
      <c r="D1260">
        <v>1258</v>
      </c>
    </row>
    <row r="1261" spans="4:4">
      <c r="D1261">
        <v>1259</v>
      </c>
    </row>
    <row r="1262" spans="4:4">
      <c r="D1262">
        <v>1260</v>
      </c>
    </row>
    <row r="1263" spans="4:4">
      <c r="D1263">
        <v>1261</v>
      </c>
    </row>
    <row r="1264" spans="4:4">
      <c r="D1264">
        <v>1262</v>
      </c>
    </row>
    <row r="1265" spans="4:4">
      <c r="D1265">
        <v>1263</v>
      </c>
    </row>
    <row r="1266" spans="4:4">
      <c r="D1266">
        <v>1264</v>
      </c>
    </row>
    <row r="1267" spans="4:4">
      <c r="D1267">
        <v>1265</v>
      </c>
    </row>
    <row r="1268" spans="4:4">
      <c r="D1268">
        <v>1266</v>
      </c>
    </row>
    <row r="1269" spans="4:4">
      <c r="D1269">
        <v>1267</v>
      </c>
    </row>
    <row r="1270" spans="4:4">
      <c r="D1270">
        <v>1268</v>
      </c>
    </row>
    <row r="1271" spans="4:4">
      <c r="D1271">
        <v>1269</v>
      </c>
    </row>
    <row r="1272" spans="4:4">
      <c r="D1272">
        <v>1270</v>
      </c>
    </row>
    <row r="1273" spans="4:4">
      <c r="D1273">
        <v>1271</v>
      </c>
    </row>
    <row r="1274" spans="4:4">
      <c r="D1274">
        <v>1272</v>
      </c>
    </row>
    <row r="1275" spans="4:4">
      <c r="D1275">
        <v>1273</v>
      </c>
    </row>
    <row r="1276" spans="4:4">
      <c r="D1276">
        <v>1274</v>
      </c>
    </row>
    <row r="1277" spans="4:4">
      <c r="D1277">
        <v>1275</v>
      </c>
    </row>
    <row r="1278" spans="4:4">
      <c r="D1278">
        <v>1276</v>
      </c>
    </row>
    <row r="1279" spans="4:4">
      <c r="D1279">
        <v>1277</v>
      </c>
    </row>
    <row r="1280" spans="4:4">
      <c r="D1280">
        <v>1278</v>
      </c>
    </row>
    <row r="1281" spans="4:4">
      <c r="D1281">
        <v>1279</v>
      </c>
    </row>
    <row r="1282" spans="4:4">
      <c r="D1282">
        <v>1280</v>
      </c>
    </row>
    <row r="1283" spans="4:4">
      <c r="D1283">
        <v>1281</v>
      </c>
    </row>
    <row r="1284" spans="4:4">
      <c r="D1284">
        <v>1282</v>
      </c>
    </row>
    <row r="1285" spans="4:4">
      <c r="D1285">
        <v>1283</v>
      </c>
    </row>
    <row r="1286" spans="4:4">
      <c r="D1286">
        <v>1284</v>
      </c>
    </row>
    <row r="1287" spans="4:4">
      <c r="D1287">
        <v>1285</v>
      </c>
    </row>
    <row r="1288" spans="4:4">
      <c r="D1288">
        <v>1286</v>
      </c>
    </row>
    <row r="1289" spans="4:4">
      <c r="D1289">
        <v>1287</v>
      </c>
    </row>
    <row r="1290" spans="4:4">
      <c r="D1290">
        <v>1288</v>
      </c>
    </row>
    <row r="1291" spans="4:4">
      <c r="D1291">
        <v>1289</v>
      </c>
    </row>
    <row r="1292" spans="4:4">
      <c r="D1292">
        <v>1290</v>
      </c>
    </row>
    <row r="1293" spans="4:4">
      <c r="D1293">
        <v>1291</v>
      </c>
    </row>
    <row r="1294" spans="4:4">
      <c r="D1294">
        <v>1292</v>
      </c>
    </row>
    <row r="1295" spans="4:4">
      <c r="D1295">
        <v>1293</v>
      </c>
    </row>
    <row r="1296" spans="4:4">
      <c r="D1296">
        <v>1294</v>
      </c>
    </row>
    <row r="1297" spans="4:4">
      <c r="D1297">
        <v>1295</v>
      </c>
    </row>
    <row r="1298" spans="4:4">
      <c r="D1298">
        <v>1296</v>
      </c>
    </row>
    <row r="1299" spans="4:4">
      <c r="D1299">
        <v>1297</v>
      </c>
    </row>
    <row r="1300" spans="4:4">
      <c r="D1300">
        <v>1298</v>
      </c>
    </row>
    <row r="1301" spans="4:4">
      <c r="D1301">
        <v>1299</v>
      </c>
    </row>
    <row r="1302" spans="4:4">
      <c r="D1302">
        <v>1300</v>
      </c>
    </row>
    <row r="1303" spans="4:4">
      <c r="D1303">
        <v>1301</v>
      </c>
    </row>
    <row r="1304" spans="4:4">
      <c r="D1304">
        <v>1302</v>
      </c>
    </row>
    <row r="1305" spans="4:4">
      <c r="D1305">
        <v>1303</v>
      </c>
    </row>
    <row r="1306" spans="4:4">
      <c r="D1306">
        <v>1304</v>
      </c>
    </row>
    <row r="1307" spans="4:4">
      <c r="D1307">
        <v>1305</v>
      </c>
    </row>
    <row r="1308" spans="4:4">
      <c r="D1308">
        <v>1306</v>
      </c>
    </row>
    <row r="1309" spans="4:4">
      <c r="D1309">
        <v>1307</v>
      </c>
    </row>
    <row r="1310" spans="4:4">
      <c r="D1310">
        <v>1308</v>
      </c>
    </row>
    <row r="1311" spans="4:4">
      <c r="D1311">
        <v>1309</v>
      </c>
    </row>
    <row r="1312" spans="4:4">
      <c r="D1312">
        <v>1310</v>
      </c>
    </row>
    <row r="1313" spans="4:4">
      <c r="D1313">
        <v>1311</v>
      </c>
    </row>
    <row r="1314" spans="4:4">
      <c r="D1314">
        <v>1312</v>
      </c>
    </row>
    <row r="1315" spans="4:4">
      <c r="D1315">
        <v>1313</v>
      </c>
    </row>
    <row r="1316" spans="4:4">
      <c r="D1316">
        <v>1314</v>
      </c>
    </row>
    <row r="1317" spans="4:4">
      <c r="D1317">
        <v>1315</v>
      </c>
    </row>
    <row r="1318" spans="4:4">
      <c r="D1318">
        <v>1316</v>
      </c>
    </row>
    <row r="1319" spans="4:4">
      <c r="D1319">
        <v>1317</v>
      </c>
    </row>
    <row r="1320" spans="4:4">
      <c r="D1320">
        <v>1318</v>
      </c>
    </row>
    <row r="1321" spans="4:4">
      <c r="D1321">
        <v>1319</v>
      </c>
    </row>
    <row r="1322" spans="4:4">
      <c r="D1322">
        <v>1320</v>
      </c>
    </row>
    <row r="1323" spans="4:4">
      <c r="D1323">
        <v>1321</v>
      </c>
    </row>
    <row r="1324" spans="4:4">
      <c r="D1324">
        <v>1322</v>
      </c>
    </row>
    <row r="1325" spans="4:4">
      <c r="D1325">
        <v>1323</v>
      </c>
    </row>
    <row r="1326" spans="4:4">
      <c r="D1326">
        <v>1324</v>
      </c>
    </row>
    <row r="1327" spans="4:4">
      <c r="D1327">
        <v>1325</v>
      </c>
    </row>
    <row r="1328" spans="4:4">
      <c r="D1328">
        <v>1326</v>
      </c>
    </row>
    <row r="1329" spans="4:4">
      <c r="D1329">
        <v>1327</v>
      </c>
    </row>
    <row r="1330" spans="4:4">
      <c r="D1330">
        <v>1328</v>
      </c>
    </row>
    <row r="1331" spans="4:4">
      <c r="D1331">
        <v>1329</v>
      </c>
    </row>
    <row r="1332" spans="4:4">
      <c r="D1332">
        <v>1330</v>
      </c>
    </row>
    <row r="1333" spans="4:4">
      <c r="D1333">
        <v>1331</v>
      </c>
    </row>
    <row r="1334" spans="4:4">
      <c r="D1334">
        <v>1332</v>
      </c>
    </row>
    <row r="1335" spans="4:4">
      <c r="D1335">
        <v>1333</v>
      </c>
    </row>
    <row r="1336" spans="4:4">
      <c r="D1336">
        <v>1334</v>
      </c>
    </row>
    <row r="1337" spans="4:4">
      <c r="D1337">
        <v>1335</v>
      </c>
    </row>
    <row r="1338" spans="4:4">
      <c r="D1338">
        <v>1336</v>
      </c>
    </row>
    <row r="1339" spans="4:4">
      <c r="D1339">
        <v>1337</v>
      </c>
    </row>
    <row r="1340" spans="4:4">
      <c r="D1340">
        <v>1338</v>
      </c>
    </row>
    <row r="1341" spans="4:4">
      <c r="D1341">
        <v>1339</v>
      </c>
    </row>
    <row r="1342" spans="4:4">
      <c r="D1342">
        <v>1340</v>
      </c>
    </row>
    <row r="1343" spans="4:4">
      <c r="D1343">
        <v>1341</v>
      </c>
    </row>
    <row r="1344" spans="4:4">
      <c r="D1344">
        <v>1342</v>
      </c>
    </row>
    <row r="1345" spans="4:4">
      <c r="D1345">
        <v>1343</v>
      </c>
    </row>
    <row r="1346" spans="4:4">
      <c r="D1346">
        <v>1344</v>
      </c>
    </row>
    <row r="1347" spans="4:4">
      <c r="D1347">
        <v>1345</v>
      </c>
    </row>
    <row r="1348" spans="4:4">
      <c r="D1348">
        <v>1346</v>
      </c>
    </row>
    <row r="1349" spans="4:4">
      <c r="D1349">
        <v>1347</v>
      </c>
    </row>
    <row r="1350" spans="4:4">
      <c r="D1350">
        <v>1348</v>
      </c>
    </row>
    <row r="1351" spans="4:4">
      <c r="D1351">
        <v>1349</v>
      </c>
    </row>
    <row r="1352" spans="4:4">
      <c r="D1352">
        <v>1350</v>
      </c>
    </row>
    <row r="1353" spans="4:4">
      <c r="D1353">
        <v>1351</v>
      </c>
    </row>
    <row r="1354" spans="4:4">
      <c r="D1354">
        <v>1352</v>
      </c>
    </row>
    <row r="1355" spans="4:4">
      <c r="D1355">
        <v>1353</v>
      </c>
    </row>
    <row r="1356" spans="4:4">
      <c r="D1356">
        <v>1354</v>
      </c>
    </row>
    <row r="1357" spans="4:4">
      <c r="D1357">
        <v>1355</v>
      </c>
    </row>
    <row r="1358" spans="4:4">
      <c r="D1358">
        <v>1356</v>
      </c>
    </row>
    <row r="1359" spans="4:4">
      <c r="D1359">
        <v>1357</v>
      </c>
    </row>
    <row r="1360" spans="4:4">
      <c r="D1360">
        <v>1358</v>
      </c>
    </row>
    <row r="1361" spans="4:4">
      <c r="D1361">
        <v>1359</v>
      </c>
    </row>
    <row r="1362" spans="4:4">
      <c r="D1362">
        <v>1360</v>
      </c>
    </row>
    <row r="1363" spans="4:4">
      <c r="D1363">
        <v>1361</v>
      </c>
    </row>
    <row r="1364" spans="4:4">
      <c r="D1364">
        <v>1362</v>
      </c>
    </row>
    <row r="1365" spans="4:4">
      <c r="D1365">
        <v>1363</v>
      </c>
    </row>
    <row r="1366" spans="4:4">
      <c r="D1366">
        <v>1364</v>
      </c>
    </row>
    <row r="1367" spans="4:4">
      <c r="D1367">
        <v>1365</v>
      </c>
    </row>
    <row r="1368" spans="4:4">
      <c r="D1368">
        <v>1366</v>
      </c>
    </row>
    <row r="1369" spans="4:4">
      <c r="D1369">
        <v>1367</v>
      </c>
    </row>
    <row r="1370" spans="4:4">
      <c r="D1370">
        <v>1368</v>
      </c>
    </row>
    <row r="1371" spans="4:4">
      <c r="D1371">
        <v>1369</v>
      </c>
    </row>
    <row r="1372" spans="4:4">
      <c r="D1372">
        <v>1370</v>
      </c>
    </row>
    <row r="1373" spans="4:4">
      <c r="D1373">
        <v>1371</v>
      </c>
    </row>
    <row r="1374" spans="4:4">
      <c r="D1374">
        <v>1372</v>
      </c>
    </row>
    <row r="1375" spans="4:4">
      <c r="D1375">
        <v>1373</v>
      </c>
    </row>
    <row r="1376" spans="4:4">
      <c r="D1376">
        <v>1374</v>
      </c>
    </row>
    <row r="1377" spans="4:4">
      <c r="D1377">
        <v>1375</v>
      </c>
    </row>
    <row r="1378" spans="4:4">
      <c r="D1378">
        <v>1376</v>
      </c>
    </row>
    <row r="1379" spans="4:4">
      <c r="D1379">
        <v>1377</v>
      </c>
    </row>
    <row r="1380" spans="4:4">
      <c r="D1380">
        <v>1378</v>
      </c>
    </row>
    <row r="1381" spans="4:4">
      <c r="D1381">
        <v>1379</v>
      </c>
    </row>
    <row r="1382" spans="4:4">
      <c r="D1382">
        <v>1380</v>
      </c>
    </row>
    <row r="1383" spans="4:4">
      <c r="D1383">
        <v>1381</v>
      </c>
    </row>
    <row r="1384" spans="4:4">
      <c r="D1384">
        <v>1382</v>
      </c>
    </row>
    <row r="1385" spans="4:4">
      <c r="D1385">
        <v>1383</v>
      </c>
    </row>
    <row r="1386" spans="4:4">
      <c r="D1386">
        <v>1384</v>
      </c>
    </row>
    <row r="1387" spans="4:4">
      <c r="D1387">
        <v>1385</v>
      </c>
    </row>
    <row r="1388" spans="4:4">
      <c r="D1388">
        <v>1386</v>
      </c>
    </row>
    <row r="1389" spans="4:4">
      <c r="D1389">
        <v>1387</v>
      </c>
    </row>
    <row r="1390" spans="4:4">
      <c r="D1390">
        <v>1388</v>
      </c>
    </row>
    <row r="1391" spans="4:4">
      <c r="D1391">
        <v>1389</v>
      </c>
    </row>
    <row r="1392" spans="4:4">
      <c r="D1392">
        <v>1390</v>
      </c>
    </row>
    <row r="1393" spans="4:4">
      <c r="D1393">
        <v>1391</v>
      </c>
    </row>
    <row r="1394" spans="4:4">
      <c r="D1394">
        <v>1392</v>
      </c>
    </row>
    <row r="1395" spans="4:4">
      <c r="D1395">
        <v>1393</v>
      </c>
    </row>
    <row r="1396" spans="4:4">
      <c r="D1396">
        <v>1394</v>
      </c>
    </row>
    <row r="1397" spans="4:4">
      <c r="D1397">
        <v>1395</v>
      </c>
    </row>
    <row r="1398" spans="4:4">
      <c r="D1398">
        <v>1396</v>
      </c>
    </row>
    <row r="1399" spans="4:4">
      <c r="D1399">
        <v>1397</v>
      </c>
    </row>
    <row r="1400" spans="4:4">
      <c r="D1400">
        <v>1398</v>
      </c>
    </row>
    <row r="1401" spans="4:4">
      <c r="D1401">
        <v>1399</v>
      </c>
    </row>
    <row r="1402" spans="4:4">
      <c r="D1402">
        <v>1400</v>
      </c>
    </row>
    <row r="1403" spans="4:4">
      <c r="D1403">
        <v>1401</v>
      </c>
    </row>
    <row r="1404" spans="4:4">
      <c r="D1404">
        <v>1402</v>
      </c>
    </row>
    <row r="1405" spans="4:4">
      <c r="D1405">
        <v>1403</v>
      </c>
    </row>
    <row r="1406" spans="4:4">
      <c r="D1406">
        <v>1404</v>
      </c>
    </row>
    <row r="1407" spans="4:4">
      <c r="D1407">
        <v>1405</v>
      </c>
    </row>
    <row r="1408" spans="4:4">
      <c r="D1408">
        <v>1406</v>
      </c>
    </row>
    <row r="1409" spans="4:4">
      <c r="D1409">
        <v>1407</v>
      </c>
    </row>
    <row r="1410" spans="4:4">
      <c r="D1410">
        <v>1408</v>
      </c>
    </row>
    <row r="1411" spans="4:4">
      <c r="D1411">
        <v>1409</v>
      </c>
    </row>
    <row r="1412" spans="4:4">
      <c r="D1412">
        <v>1410</v>
      </c>
    </row>
    <row r="1413" spans="4:4">
      <c r="D1413">
        <v>1411</v>
      </c>
    </row>
    <row r="1414" spans="4:4">
      <c r="D1414">
        <v>1412</v>
      </c>
    </row>
    <row r="1415" spans="4:4">
      <c r="D1415">
        <v>1413</v>
      </c>
    </row>
    <row r="1416" spans="4:4">
      <c r="D1416">
        <v>1414</v>
      </c>
    </row>
    <row r="1417" spans="4:4">
      <c r="D1417">
        <v>1415</v>
      </c>
    </row>
    <row r="1418" spans="4:4">
      <c r="D1418">
        <v>1416</v>
      </c>
    </row>
    <row r="1419" spans="4:4">
      <c r="D1419">
        <v>1417</v>
      </c>
    </row>
    <row r="1420" spans="4:4">
      <c r="D1420">
        <v>1418</v>
      </c>
    </row>
    <row r="1421" spans="4:4">
      <c r="D1421">
        <v>1419</v>
      </c>
    </row>
    <row r="1422" spans="4:4">
      <c r="D1422">
        <v>1420</v>
      </c>
    </row>
    <row r="1423" spans="4:4">
      <c r="D1423">
        <v>1421</v>
      </c>
    </row>
    <row r="1424" spans="4:4">
      <c r="D1424">
        <v>1422</v>
      </c>
    </row>
    <row r="1425" spans="4:4">
      <c r="D1425">
        <v>1423</v>
      </c>
    </row>
    <row r="1426" spans="4:4">
      <c r="D1426">
        <v>1424</v>
      </c>
    </row>
    <row r="1427" spans="4:4">
      <c r="D1427">
        <v>1425</v>
      </c>
    </row>
    <row r="1428" spans="4:4">
      <c r="D1428">
        <v>1426</v>
      </c>
    </row>
    <row r="1429" spans="4:4">
      <c r="D1429">
        <v>1427</v>
      </c>
    </row>
    <row r="1430" spans="4:4">
      <c r="D1430">
        <v>1428</v>
      </c>
    </row>
    <row r="1431" spans="4:4">
      <c r="D1431">
        <v>1429</v>
      </c>
    </row>
    <row r="1432" spans="4:4">
      <c r="D1432">
        <v>1430</v>
      </c>
    </row>
    <row r="1433" spans="4:4">
      <c r="D1433">
        <v>1431</v>
      </c>
    </row>
    <row r="1434" spans="4:4">
      <c r="D1434">
        <v>1432</v>
      </c>
    </row>
    <row r="1435" spans="4:4">
      <c r="D1435">
        <v>1433</v>
      </c>
    </row>
    <row r="1436" spans="4:4">
      <c r="D1436">
        <v>1434</v>
      </c>
    </row>
    <row r="1437" spans="4:4">
      <c r="D1437">
        <v>1435</v>
      </c>
    </row>
    <row r="1438" spans="4:4">
      <c r="D1438">
        <v>1436</v>
      </c>
    </row>
    <row r="1439" spans="4:4">
      <c r="D1439">
        <v>1437</v>
      </c>
    </row>
    <row r="1440" spans="4:4">
      <c r="D1440">
        <v>1438</v>
      </c>
    </row>
    <row r="1441" spans="4:4">
      <c r="D1441">
        <v>1439</v>
      </c>
    </row>
    <row r="1442" spans="4:4">
      <c r="D1442">
        <v>1440</v>
      </c>
    </row>
    <row r="1443" spans="4:4">
      <c r="D1443">
        <v>1441</v>
      </c>
    </row>
    <row r="1444" spans="4:4">
      <c r="D1444">
        <v>1442</v>
      </c>
    </row>
    <row r="1445" spans="4:4">
      <c r="D1445">
        <v>1443</v>
      </c>
    </row>
    <row r="1446" spans="4:4">
      <c r="D1446">
        <v>1444</v>
      </c>
    </row>
    <row r="1447" spans="4:4">
      <c r="D1447">
        <v>1445</v>
      </c>
    </row>
    <row r="1448" spans="4:4">
      <c r="D1448">
        <v>1446</v>
      </c>
    </row>
    <row r="1449" spans="4:4">
      <c r="D1449">
        <v>1447</v>
      </c>
    </row>
    <row r="1450" spans="4:4">
      <c r="D1450">
        <v>1448</v>
      </c>
    </row>
    <row r="1451" spans="4:4">
      <c r="D1451">
        <v>1449</v>
      </c>
    </row>
    <row r="1452" spans="4:4">
      <c r="D1452">
        <v>1450</v>
      </c>
    </row>
    <row r="1453" spans="4:4">
      <c r="D1453">
        <v>1451</v>
      </c>
    </row>
    <row r="1454" spans="4:4">
      <c r="D1454">
        <v>1452</v>
      </c>
    </row>
    <row r="1455" spans="4:4">
      <c r="D1455">
        <v>1453</v>
      </c>
    </row>
    <row r="1456" spans="4:4">
      <c r="D1456">
        <v>1454</v>
      </c>
    </row>
    <row r="1457" spans="4:4">
      <c r="D1457">
        <v>1455</v>
      </c>
    </row>
    <row r="1458" spans="4:4">
      <c r="D1458">
        <v>1456</v>
      </c>
    </row>
    <row r="1459" spans="4:4">
      <c r="D1459">
        <v>1457</v>
      </c>
    </row>
    <row r="1460" spans="4:4">
      <c r="D1460">
        <v>1458</v>
      </c>
    </row>
    <row r="1461" spans="4:4">
      <c r="D1461">
        <v>1459</v>
      </c>
    </row>
    <row r="1462" spans="4:4">
      <c r="D1462">
        <v>1460</v>
      </c>
    </row>
    <row r="1463" spans="4:4">
      <c r="D1463">
        <v>1461</v>
      </c>
    </row>
    <row r="1464" spans="4:4">
      <c r="D1464">
        <v>1462</v>
      </c>
    </row>
    <row r="1465" spans="4:4">
      <c r="D1465">
        <v>1463</v>
      </c>
    </row>
    <row r="1466" spans="4:4">
      <c r="D1466">
        <v>1464</v>
      </c>
    </row>
    <row r="1467" spans="4:4">
      <c r="D1467">
        <v>1465</v>
      </c>
    </row>
    <row r="1468" spans="4:4">
      <c r="D1468">
        <v>1466</v>
      </c>
    </row>
    <row r="1469" spans="4:4">
      <c r="D1469">
        <v>1467</v>
      </c>
    </row>
    <row r="1470" spans="4:4">
      <c r="D1470">
        <v>1468</v>
      </c>
    </row>
    <row r="1471" spans="4:4">
      <c r="D1471">
        <v>1469</v>
      </c>
    </row>
    <row r="1472" spans="4:4">
      <c r="D1472">
        <v>1470</v>
      </c>
    </row>
    <row r="1473" spans="4:4">
      <c r="D1473">
        <v>1471</v>
      </c>
    </row>
    <row r="1474" spans="4:4">
      <c r="D1474">
        <v>1472</v>
      </c>
    </row>
    <row r="1475" spans="4:4">
      <c r="D1475">
        <v>1473</v>
      </c>
    </row>
    <row r="1476" spans="4:4">
      <c r="D1476">
        <v>1474</v>
      </c>
    </row>
    <row r="1477" spans="4:4">
      <c r="D1477">
        <v>1475</v>
      </c>
    </row>
    <row r="1478" spans="4:4">
      <c r="D1478">
        <v>1476</v>
      </c>
    </row>
    <row r="1479" spans="4:4">
      <c r="D1479">
        <v>1477</v>
      </c>
    </row>
    <row r="1480" spans="4:4">
      <c r="D1480">
        <v>1478</v>
      </c>
    </row>
    <row r="1481" spans="4:4">
      <c r="D1481">
        <v>1479</v>
      </c>
    </row>
    <row r="1482" spans="4:4">
      <c r="D1482">
        <v>1480</v>
      </c>
    </row>
    <row r="1483" spans="4:4">
      <c r="D1483">
        <v>1481</v>
      </c>
    </row>
    <row r="1484" spans="4:4">
      <c r="D1484">
        <v>1482</v>
      </c>
    </row>
    <row r="1485" spans="4:4">
      <c r="D1485">
        <v>1483</v>
      </c>
    </row>
    <row r="1486" spans="4:4">
      <c r="D1486">
        <v>1484</v>
      </c>
    </row>
    <row r="1487" spans="4:4">
      <c r="D1487">
        <v>1485</v>
      </c>
    </row>
    <row r="1488" spans="4:4">
      <c r="D1488">
        <v>1486</v>
      </c>
    </row>
    <row r="1489" spans="4:4">
      <c r="D1489">
        <v>1487</v>
      </c>
    </row>
    <row r="1490" spans="4:4">
      <c r="D1490">
        <v>1488</v>
      </c>
    </row>
    <row r="1491" spans="4:4">
      <c r="D1491">
        <v>1489</v>
      </c>
    </row>
    <row r="1492" spans="4:4">
      <c r="D1492">
        <v>1490</v>
      </c>
    </row>
    <row r="1493" spans="4:4">
      <c r="D1493">
        <v>1491</v>
      </c>
    </row>
    <row r="1494" spans="4:4">
      <c r="D1494">
        <v>1492</v>
      </c>
    </row>
    <row r="1495" spans="4:4">
      <c r="D1495">
        <v>1493</v>
      </c>
    </row>
    <row r="1496" spans="4:4">
      <c r="D1496">
        <v>1494</v>
      </c>
    </row>
    <row r="1497" spans="4:4">
      <c r="D1497">
        <v>1495</v>
      </c>
    </row>
    <row r="1498" spans="4:4">
      <c r="D1498">
        <v>1496</v>
      </c>
    </row>
    <row r="1499" spans="4:4">
      <c r="D1499">
        <v>1497</v>
      </c>
    </row>
    <row r="1500" spans="4:4">
      <c r="D1500">
        <v>1498</v>
      </c>
    </row>
    <row r="1501" spans="4:4">
      <c r="D1501">
        <v>1499</v>
      </c>
    </row>
    <row r="1502" spans="4:4">
      <c r="D1502">
        <v>1500</v>
      </c>
    </row>
    <row r="1503" spans="4:4">
      <c r="D1503">
        <v>1501</v>
      </c>
    </row>
    <row r="1504" spans="4:4">
      <c r="D1504">
        <v>1502</v>
      </c>
    </row>
    <row r="1505" spans="4:4">
      <c r="D1505">
        <v>1503</v>
      </c>
    </row>
    <row r="1506" spans="4:4">
      <c r="D1506">
        <v>1504</v>
      </c>
    </row>
    <row r="1507" spans="4:4">
      <c r="D1507">
        <v>1505</v>
      </c>
    </row>
    <row r="1508" spans="4:4">
      <c r="D1508">
        <v>1506</v>
      </c>
    </row>
    <row r="1509" spans="4:4">
      <c r="D1509">
        <v>1507</v>
      </c>
    </row>
    <row r="1510" spans="4:4">
      <c r="D1510">
        <v>1508</v>
      </c>
    </row>
    <row r="1511" spans="4:4">
      <c r="D1511">
        <v>1509</v>
      </c>
    </row>
    <row r="1512" spans="4:4">
      <c r="D1512">
        <v>1510</v>
      </c>
    </row>
    <row r="1513" spans="4:4">
      <c r="D1513">
        <v>1511</v>
      </c>
    </row>
    <row r="1514" spans="4:4">
      <c r="D1514">
        <v>1512</v>
      </c>
    </row>
    <row r="1515" spans="4:4">
      <c r="D1515">
        <v>1513</v>
      </c>
    </row>
    <row r="1516" spans="4:4">
      <c r="D1516">
        <v>1514</v>
      </c>
    </row>
    <row r="1517" spans="4:4">
      <c r="D1517">
        <v>1515</v>
      </c>
    </row>
    <row r="1518" spans="4:4">
      <c r="D1518">
        <v>1516</v>
      </c>
    </row>
    <row r="1519" spans="4:4">
      <c r="D1519">
        <v>1517</v>
      </c>
    </row>
    <row r="1520" spans="4:4">
      <c r="D1520">
        <v>1518</v>
      </c>
    </row>
    <row r="1521" spans="4:4">
      <c r="D1521">
        <v>1519</v>
      </c>
    </row>
    <row r="1522" spans="4:4">
      <c r="D1522">
        <v>1520</v>
      </c>
    </row>
    <row r="1523" spans="4:4">
      <c r="D1523">
        <v>1521</v>
      </c>
    </row>
    <row r="1524" spans="4:4">
      <c r="D1524">
        <v>1522</v>
      </c>
    </row>
    <row r="1525" spans="4:4">
      <c r="D1525">
        <v>1523</v>
      </c>
    </row>
    <row r="1526" spans="4:4">
      <c r="D1526">
        <v>1524</v>
      </c>
    </row>
    <row r="1527" spans="4:4">
      <c r="D1527">
        <v>1525</v>
      </c>
    </row>
    <row r="1528" spans="4:4">
      <c r="D1528">
        <v>1526</v>
      </c>
    </row>
    <row r="1529" spans="4:4">
      <c r="D1529">
        <v>1527</v>
      </c>
    </row>
    <row r="1530" spans="4:4">
      <c r="D1530">
        <v>1528</v>
      </c>
    </row>
    <row r="1531" spans="4:4">
      <c r="D1531">
        <v>1529</v>
      </c>
    </row>
    <row r="1532" spans="4:4">
      <c r="D1532">
        <v>1530</v>
      </c>
    </row>
    <row r="1533" spans="4:4">
      <c r="D1533">
        <v>1531</v>
      </c>
    </row>
    <row r="1534" spans="4:4">
      <c r="D1534">
        <v>1532</v>
      </c>
    </row>
    <row r="1535" spans="4:4">
      <c r="D1535">
        <v>1533</v>
      </c>
    </row>
    <row r="1536" spans="4:4">
      <c r="D1536">
        <v>1534</v>
      </c>
    </row>
    <row r="1537" spans="4:4">
      <c r="D1537">
        <v>1535</v>
      </c>
    </row>
    <row r="1538" spans="4:4">
      <c r="D1538">
        <v>1536</v>
      </c>
    </row>
    <row r="1539" spans="4:4">
      <c r="D1539">
        <v>1537</v>
      </c>
    </row>
    <row r="1540" spans="4:4">
      <c r="D1540">
        <v>1538</v>
      </c>
    </row>
    <row r="1541" spans="4:4">
      <c r="D1541">
        <v>1539</v>
      </c>
    </row>
    <row r="1542" spans="4:4">
      <c r="D1542">
        <v>1540</v>
      </c>
    </row>
    <row r="1543" spans="4:4">
      <c r="D1543">
        <v>1541</v>
      </c>
    </row>
    <row r="1544" spans="4:4">
      <c r="D1544">
        <v>1542</v>
      </c>
    </row>
    <row r="1545" spans="4:4">
      <c r="D1545">
        <v>1543</v>
      </c>
    </row>
    <row r="1546" spans="4:4">
      <c r="D1546">
        <v>1544</v>
      </c>
    </row>
    <row r="1547" spans="4:4">
      <c r="D1547">
        <v>1545</v>
      </c>
    </row>
    <row r="1548" spans="4:4">
      <c r="D1548">
        <v>1546</v>
      </c>
    </row>
    <row r="1549" spans="4:4">
      <c r="D1549">
        <v>1547</v>
      </c>
    </row>
    <row r="1550" spans="4:4">
      <c r="D1550">
        <v>1548</v>
      </c>
    </row>
    <row r="1551" spans="4:4">
      <c r="D1551">
        <v>1549</v>
      </c>
    </row>
    <row r="1552" spans="4:4">
      <c r="D1552">
        <v>1550</v>
      </c>
    </row>
    <row r="1553" spans="4:4">
      <c r="D1553">
        <v>1551</v>
      </c>
    </row>
    <row r="1554" spans="4:4">
      <c r="D1554">
        <v>1552</v>
      </c>
    </row>
    <row r="1555" spans="4:4">
      <c r="D1555">
        <v>1553</v>
      </c>
    </row>
    <row r="1556" spans="4:4">
      <c r="D1556">
        <v>1554</v>
      </c>
    </row>
    <row r="1557" spans="4:4">
      <c r="D1557">
        <v>1555</v>
      </c>
    </row>
    <row r="1558" spans="4:4">
      <c r="D1558">
        <v>1556</v>
      </c>
    </row>
    <row r="1559" spans="4:4">
      <c r="D1559">
        <v>1557</v>
      </c>
    </row>
    <row r="1560" spans="4:4">
      <c r="D1560">
        <v>1558</v>
      </c>
    </row>
    <row r="1561" spans="4:4">
      <c r="D1561">
        <v>1559</v>
      </c>
    </row>
    <row r="1562" spans="4:4">
      <c r="D1562">
        <v>1560</v>
      </c>
    </row>
    <row r="1563" spans="4:4">
      <c r="D1563">
        <v>1561</v>
      </c>
    </row>
    <row r="1564" spans="4:4">
      <c r="D1564">
        <v>1562</v>
      </c>
    </row>
    <row r="1565" spans="4:4">
      <c r="D1565">
        <v>1563</v>
      </c>
    </row>
    <row r="1566" spans="4:4">
      <c r="D1566">
        <v>1564</v>
      </c>
    </row>
    <row r="1567" spans="4:4">
      <c r="D1567">
        <v>1565</v>
      </c>
    </row>
    <row r="1568" spans="4:4">
      <c r="D1568">
        <v>1566</v>
      </c>
    </row>
    <row r="1569" spans="4:4">
      <c r="D1569">
        <v>1567</v>
      </c>
    </row>
    <row r="1570" spans="4:4">
      <c r="D1570">
        <v>1568</v>
      </c>
    </row>
    <row r="1571" spans="4:4">
      <c r="D1571">
        <v>1569</v>
      </c>
    </row>
    <row r="1572" spans="4:4">
      <c r="D1572">
        <v>1570</v>
      </c>
    </row>
    <row r="1573" spans="4:4">
      <c r="D1573">
        <v>1571</v>
      </c>
    </row>
    <row r="1574" spans="4:4">
      <c r="D1574">
        <v>1572</v>
      </c>
    </row>
    <row r="1575" spans="4:4">
      <c r="D1575">
        <v>1573</v>
      </c>
    </row>
    <row r="1576" spans="4:4">
      <c r="D1576">
        <v>1574</v>
      </c>
    </row>
    <row r="1577" spans="4:4">
      <c r="D1577">
        <v>1575</v>
      </c>
    </row>
    <row r="1578" spans="4:4">
      <c r="D1578">
        <v>1576</v>
      </c>
    </row>
    <row r="1579" spans="4:4">
      <c r="D1579">
        <v>1577</v>
      </c>
    </row>
    <row r="1580" spans="4:4">
      <c r="D1580">
        <v>1578</v>
      </c>
    </row>
    <row r="1581" spans="4:4">
      <c r="D1581">
        <v>1579</v>
      </c>
    </row>
    <row r="1582" spans="4:4">
      <c r="D1582">
        <v>1580</v>
      </c>
    </row>
    <row r="1583" spans="4:4">
      <c r="D1583">
        <v>1581</v>
      </c>
    </row>
    <row r="1584" spans="4:4">
      <c r="D1584">
        <v>1582</v>
      </c>
    </row>
    <row r="1585" spans="4:4">
      <c r="D1585">
        <v>1583</v>
      </c>
    </row>
    <row r="1586" spans="4:4">
      <c r="D1586">
        <v>1584</v>
      </c>
    </row>
    <row r="1587" spans="4:4">
      <c r="D1587">
        <v>1585</v>
      </c>
    </row>
    <row r="1588" spans="4:4">
      <c r="D1588">
        <v>1586</v>
      </c>
    </row>
    <row r="1589" spans="4:4">
      <c r="D1589">
        <v>1587</v>
      </c>
    </row>
    <row r="1590" spans="4:4">
      <c r="D1590">
        <v>1588</v>
      </c>
    </row>
    <row r="1591" spans="4:4">
      <c r="D1591">
        <v>1589</v>
      </c>
    </row>
    <row r="1592" spans="4:4">
      <c r="D1592">
        <v>1590</v>
      </c>
    </row>
    <row r="1593" spans="4:4">
      <c r="D1593">
        <v>1591</v>
      </c>
    </row>
    <row r="1594" spans="4:4">
      <c r="D1594">
        <v>1592</v>
      </c>
    </row>
    <row r="1595" spans="4:4">
      <c r="D1595">
        <v>1593</v>
      </c>
    </row>
    <row r="1596" spans="4:4">
      <c r="D1596">
        <v>1594</v>
      </c>
    </row>
    <row r="1597" spans="4:4">
      <c r="D1597">
        <v>1595</v>
      </c>
    </row>
    <row r="1598" spans="4:4">
      <c r="D1598">
        <v>1596</v>
      </c>
    </row>
    <row r="1599" spans="4:4">
      <c r="D1599">
        <v>1597</v>
      </c>
    </row>
    <row r="1600" spans="4:4">
      <c r="D1600">
        <v>1598</v>
      </c>
    </row>
    <row r="1601" spans="4:4">
      <c r="D1601">
        <v>1599</v>
      </c>
    </row>
    <row r="1602" spans="4:4">
      <c r="D1602">
        <v>1600</v>
      </c>
    </row>
    <row r="1603" spans="4:4">
      <c r="D1603">
        <v>1601</v>
      </c>
    </row>
    <row r="1604" spans="4:4">
      <c r="D1604">
        <v>1602</v>
      </c>
    </row>
    <row r="1605" spans="4:4">
      <c r="D1605">
        <v>1603</v>
      </c>
    </row>
    <row r="1606" spans="4:4">
      <c r="D1606">
        <v>1604</v>
      </c>
    </row>
    <row r="1607" spans="4:4">
      <c r="D1607">
        <v>1605</v>
      </c>
    </row>
    <row r="1608" spans="4:4">
      <c r="D1608">
        <v>1606</v>
      </c>
    </row>
    <row r="1609" spans="4:4">
      <c r="D1609">
        <v>1607</v>
      </c>
    </row>
    <row r="1610" spans="4:4">
      <c r="D1610">
        <v>1608</v>
      </c>
    </row>
    <row r="1611" spans="4:4">
      <c r="D1611">
        <v>1609</v>
      </c>
    </row>
    <row r="1612" spans="4:4">
      <c r="D1612">
        <v>1610</v>
      </c>
    </row>
    <row r="1613" spans="4:4">
      <c r="D1613">
        <v>1611</v>
      </c>
    </row>
    <row r="1614" spans="4:4">
      <c r="D1614">
        <v>1612</v>
      </c>
    </row>
    <row r="1615" spans="4:4">
      <c r="D1615">
        <v>1613</v>
      </c>
    </row>
    <row r="1616" spans="4:4">
      <c r="D1616">
        <v>1614</v>
      </c>
    </row>
    <row r="1617" spans="4:4">
      <c r="D1617">
        <v>1615</v>
      </c>
    </row>
    <row r="1618" spans="4:4">
      <c r="D1618">
        <v>1616</v>
      </c>
    </row>
    <row r="1619" spans="4:4">
      <c r="D1619">
        <v>1617</v>
      </c>
    </row>
    <row r="1620" spans="4:4">
      <c r="D1620">
        <v>1618</v>
      </c>
    </row>
    <row r="1621" spans="4:4">
      <c r="D1621">
        <v>1619</v>
      </c>
    </row>
    <row r="1622" spans="4:4">
      <c r="D1622">
        <v>1620</v>
      </c>
    </row>
    <row r="1623" spans="4:4">
      <c r="D1623">
        <v>1621</v>
      </c>
    </row>
    <row r="1624" spans="4:4">
      <c r="D1624">
        <v>1622</v>
      </c>
    </row>
    <row r="1625" spans="4:4">
      <c r="D1625">
        <v>1623</v>
      </c>
    </row>
    <row r="1626" spans="4:4">
      <c r="D1626">
        <v>1624</v>
      </c>
    </row>
    <row r="1627" spans="4:4">
      <c r="D1627">
        <v>1625</v>
      </c>
    </row>
    <row r="1628" spans="4:4">
      <c r="D1628">
        <v>1626</v>
      </c>
    </row>
    <row r="1629" spans="4:4">
      <c r="D1629">
        <v>1627</v>
      </c>
    </row>
    <row r="1630" spans="4:4">
      <c r="D1630">
        <v>1628</v>
      </c>
    </row>
    <row r="1631" spans="4:4">
      <c r="D1631">
        <v>1629</v>
      </c>
    </row>
    <row r="1632" spans="4:4">
      <c r="D1632">
        <v>1630</v>
      </c>
    </row>
    <row r="1633" spans="4:4">
      <c r="D1633">
        <v>1631</v>
      </c>
    </row>
    <row r="1634" spans="4:4">
      <c r="D1634">
        <v>1632</v>
      </c>
    </row>
    <row r="1635" spans="4:4">
      <c r="D1635">
        <v>1633</v>
      </c>
    </row>
    <row r="1636" spans="4:4">
      <c r="D1636">
        <v>1634</v>
      </c>
    </row>
    <row r="1637" spans="4:4">
      <c r="D1637">
        <v>1635</v>
      </c>
    </row>
    <row r="1638" spans="4:4">
      <c r="D1638">
        <v>1636</v>
      </c>
    </row>
    <row r="1639" spans="4:4">
      <c r="D1639">
        <v>1637</v>
      </c>
    </row>
    <row r="1640" spans="4:4">
      <c r="D1640">
        <v>1638</v>
      </c>
    </row>
    <row r="1641" spans="4:4">
      <c r="D1641">
        <v>1639</v>
      </c>
    </row>
    <row r="1642" spans="4:4">
      <c r="D1642">
        <v>1640</v>
      </c>
    </row>
    <row r="1643" spans="4:4">
      <c r="D1643">
        <v>1641</v>
      </c>
    </row>
    <row r="1644" spans="4:4">
      <c r="D1644">
        <v>1642</v>
      </c>
    </row>
    <row r="1645" spans="4:4">
      <c r="D1645">
        <v>1643</v>
      </c>
    </row>
    <row r="1646" spans="4:4">
      <c r="D1646">
        <v>1644</v>
      </c>
    </row>
    <row r="1647" spans="4:4">
      <c r="D1647">
        <v>1645</v>
      </c>
    </row>
    <row r="1648" spans="4:4">
      <c r="D1648">
        <v>1646</v>
      </c>
    </row>
    <row r="1649" spans="4:4">
      <c r="D1649">
        <v>1647</v>
      </c>
    </row>
    <row r="1650" spans="4:4">
      <c r="D1650">
        <v>1648</v>
      </c>
    </row>
    <row r="1651" spans="4:4">
      <c r="D1651">
        <v>1649</v>
      </c>
    </row>
    <row r="1652" spans="4:4">
      <c r="D1652">
        <v>1650</v>
      </c>
    </row>
    <row r="1653" spans="4:4">
      <c r="D1653">
        <v>1651</v>
      </c>
    </row>
    <row r="1654" spans="4:4">
      <c r="D1654">
        <v>1652</v>
      </c>
    </row>
    <row r="1655" spans="4:4">
      <c r="D1655">
        <v>1653</v>
      </c>
    </row>
    <row r="1656" spans="4:4">
      <c r="D1656">
        <v>1654</v>
      </c>
    </row>
    <row r="1657" spans="4:4">
      <c r="D1657">
        <v>1655</v>
      </c>
    </row>
    <row r="1658" spans="4:4">
      <c r="D1658">
        <v>1656</v>
      </c>
    </row>
    <row r="1659" spans="4:4">
      <c r="D1659">
        <v>1657</v>
      </c>
    </row>
    <row r="1660" spans="4:4">
      <c r="D1660">
        <v>1658</v>
      </c>
    </row>
    <row r="1661" spans="4:4">
      <c r="D1661">
        <v>1659</v>
      </c>
    </row>
    <row r="1662" spans="4:4">
      <c r="D1662">
        <v>1660</v>
      </c>
    </row>
    <row r="1663" spans="4:4">
      <c r="D1663">
        <v>1661</v>
      </c>
    </row>
    <row r="1664" spans="4:4">
      <c r="D1664">
        <v>1662</v>
      </c>
    </row>
    <row r="1665" spans="4:4">
      <c r="D1665">
        <v>1663</v>
      </c>
    </row>
    <row r="1666" spans="4:4">
      <c r="D1666">
        <v>1664</v>
      </c>
    </row>
    <row r="1667" spans="4:4">
      <c r="D1667">
        <v>1665</v>
      </c>
    </row>
    <row r="1668" spans="4:4">
      <c r="D1668">
        <v>1666</v>
      </c>
    </row>
    <row r="1669" spans="4:4">
      <c r="D1669">
        <v>1667</v>
      </c>
    </row>
    <row r="1670" spans="4:4">
      <c r="D1670">
        <v>1668</v>
      </c>
    </row>
    <row r="1671" spans="4:4">
      <c r="D1671">
        <v>1669</v>
      </c>
    </row>
    <row r="1672" spans="4:4">
      <c r="D1672">
        <v>1670</v>
      </c>
    </row>
    <row r="1673" spans="4:4">
      <c r="D1673">
        <v>1671</v>
      </c>
    </row>
    <row r="1674" spans="4:4">
      <c r="D1674">
        <v>1672</v>
      </c>
    </row>
    <row r="1675" spans="4:4">
      <c r="D1675">
        <v>1673</v>
      </c>
    </row>
    <row r="1676" spans="4:4">
      <c r="D1676">
        <v>1674</v>
      </c>
    </row>
    <row r="1677" spans="4:4">
      <c r="D1677">
        <v>1675</v>
      </c>
    </row>
    <row r="1678" spans="4:4">
      <c r="D1678">
        <v>1676</v>
      </c>
    </row>
    <row r="1679" spans="4:4">
      <c r="D1679">
        <v>1677</v>
      </c>
    </row>
    <row r="1680" spans="4:4">
      <c r="D1680">
        <v>1678</v>
      </c>
    </row>
    <row r="1681" spans="4:4">
      <c r="D1681">
        <v>1679</v>
      </c>
    </row>
    <row r="1682" spans="4:4">
      <c r="D1682">
        <v>1680</v>
      </c>
    </row>
    <row r="1683" spans="4:4">
      <c r="D1683">
        <v>1681</v>
      </c>
    </row>
    <row r="1684" spans="4:4">
      <c r="D1684">
        <v>1682</v>
      </c>
    </row>
    <row r="1685" spans="4:4">
      <c r="D1685">
        <v>1683</v>
      </c>
    </row>
    <row r="1686" spans="4:4">
      <c r="D1686">
        <v>1684</v>
      </c>
    </row>
    <row r="1687" spans="4:4">
      <c r="D1687">
        <v>1685</v>
      </c>
    </row>
    <row r="1688" spans="4:4">
      <c r="D1688">
        <v>1686</v>
      </c>
    </row>
    <row r="1689" spans="4:4">
      <c r="D1689">
        <v>1687</v>
      </c>
    </row>
    <row r="1690" spans="4:4">
      <c r="D1690">
        <v>1688</v>
      </c>
    </row>
    <row r="1691" spans="4:4">
      <c r="D1691">
        <v>1689</v>
      </c>
    </row>
    <row r="1692" spans="4:4">
      <c r="D1692">
        <v>1690</v>
      </c>
    </row>
    <row r="1693" spans="4:4">
      <c r="D1693">
        <v>1691</v>
      </c>
    </row>
    <row r="1694" spans="4:4">
      <c r="D1694">
        <v>1692</v>
      </c>
    </row>
    <row r="1695" spans="4:4">
      <c r="D1695">
        <v>1693</v>
      </c>
    </row>
    <row r="1696" spans="4:4">
      <c r="D1696">
        <v>1694</v>
      </c>
    </row>
    <row r="1697" spans="4:4">
      <c r="D1697">
        <v>1695</v>
      </c>
    </row>
    <row r="1698" spans="4:4">
      <c r="D1698">
        <v>1696</v>
      </c>
    </row>
    <row r="1699" spans="4:4">
      <c r="D1699">
        <v>1697</v>
      </c>
    </row>
    <row r="1700" spans="4:4">
      <c r="D1700">
        <v>1698</v>
      </c>
    </row>
    <row r="1701" spans="4:4">
      <c r="D1701">
        <v>1699</v>
      </c>
    </row>
    <row r="1702" spans="4:4">
      <c r="D1702">
        <v>1700</v>
      </c>
    </row>
    <row r="1703" spans="4:4">
      <c r="D1703">
        <v>1701</v>
      </c>
    </row>
    <row r="1704" spans="4:4">
      <c r="D1704">
        <v>1702</v>
      </c>
    </row>
    <row r="1705" spans="4:4">
      <c r="D1705">
        <v>1703</v>
      </c>
    </row>
    <row r="1706" spans="4:4">
      <c r="D1706">
        <v>1704</v>
      </c>
    </row>
    <row r="1707" spans="4:4">
      <c r="D1707">
        <v>1705</v>
      </c>
    </row>
    <row r="1708" spans="4:4">
      <c r="D1708">
        <v>1706</v>
      </c>
    </row>
    <row r="1709" spans="4:4">
      <c r="D1709">
        <v>1707</v>
      </c>
    </row>
    <row r="1710" spans="4:4">
      <c r="D1710">
        <v>1708</v>
      </c>
    </row>
    <row r="1711" spans="4:4">
      <c r="D1711">
        <v>1709</v>
      </c>
    </row>
    <row r="1712" spans="4:4">
      <c r="D1712">
        <v>1710</v>
      </c>
    </row>
    <row r="1713" spans="4:4">
      <c r="D1713">
        <v>1711</v>
      </c>
    </row>
    <row r="1714" spans="4:4">
      <c r="D1714">
        <v>1712</v>
      </c>
    </row>
    <row r="1715" spans="4:4">
      <c r="D1715">
        <v>1713</v>
      </c>
    </row>
    <row r="1716" spans="4:4">
      <c r="D1716">
        <v>1714</v>
      </c>
    </row>
    <row r="1717" spans="4:4">
      <c r="D1717">
        <v>1715</v>
      </c>
    </row>
    <row r="1718" spans="4:4">
      <c r="D1718">
        <v>1716</v>
      </c>
    </row>
    <row r="1719" spans="4:4">
      <c r="D1719">
        <v>1717</v>
      </c>
    </row>
    <row r="1720" spans="4:4">
      <c r="D1720">
        <v>1718</v>
      </c>
    </row>
    <row r="1721" spans="4:4">
      <c r="D1721">
        <v>1719</v>
      </c>
    </row>
    <row r="1722" spans="4:4">
      <c r="D1722">
        <v>1720</v>
      </c>
    </row>
    <row r="1723" spans="4:4">
      <c r="D1723">
        <v>1721</v>
      </c>
    </row>
    <row r="1724" spans="4:4">
      <c r="D1724">
        <v>1722</v>
      </c>
    </row>
    <row r="1725" spans="4:4">
      <c r="D1725">
        <v>1723</v>
      </c>
    </row>
    <row r="1726" spans="4:4">
      <c r="D1726">
        <v>1724</v>
      </c>
    </row>
    <row r="1727" spans="4:4">
      <c r="D1727">
        <v>1725</v>
      </c>
    </row>
    <row r="1728" spans="4:4">
      <c r="D1728">
        <v>1726</v>
      </c>
    </row>
    <row r="1729" spans="4:4">
      <c r="D1729">
        <v>1727</v>
      </c>
    </row>
    <row r="1730" spans="4:4">
      <c r="D1730">
        <v>1728</v>
      </c>
    </row>
    <row r="1731" spans="4:4">
      <c r="D1731">
        <v>1729</v>
      </c>
    </row>
    <row r="1732" spans="4:4">
      <c r="D1732">
        <v>1730</v>
      </c>
    </row>
    <row r="1733" spans="4:4">
      <c r="D1733">
        <v>1731</v>
      </c>
    </row>
    <row r="1734" spans="4:4">
      <c r="D1734">
        <v>1732</v>
      </c>
    </row>
    <row r="1735" spans="4:4">
      <c r="D1735">
        <v>1733</v>
      </c>
    </row>
    <row r="1736" spans="4:4">
      <c r="D1736">
        <v>1734</v>
      </c>
    </row>
    <row r="1737" spans="4:4">
      <c r="D1737">
        <v>1735</v>
      </c>
    </row>
    <row r="1738" spans="4:4">
      <c r="D1738">
        <v>1736</v>
      </c>
    </row>
    <row r="1739" spans="4:4">
      <c r="D1739">
        <v>1737</v>
      </c>
    </row>
    <row r="1740" spans="4:4">
      <c r="D1740">
        <v>1738</v>
      </c>
    </row>
    <row r="1741" spans="4:4">
      <c r="D1741">
        <v>1739</v>
      </c>
    </row>
    <row r="1742" spans="4:4">
      <c r="D1742">
        <v>1740</v>
      </c>
    </row>
    <row r="1743" spans="4:4">
      <c r="D1743">
        <v>1741</v>
      </c>
    </row>
    <row r="1744" spans="4:4">
      <c r="D1744">
        <v>1742</v>
      </c>
    </row>
    <row r="1745" spans="4:4">
      <c r="D1745">
        <v>1743</v>
      </c>
    </row>
    <row r="1746" spans="4:4">
      <c r="D1746">
        <v>1744</v>
      </c>
    </row>
    <row r="1747" spans="4:4">
      <c r="D1747">
        <v>1745</v>
      </c>
    </row>
    <row r="1748" spans="4:4">
      <c r="D1748">
        <v>1746</v>
      </c>
    </row>
    <row r="1749" spans="4:4">
      <c r="D1749">
        <v>1747</v>
      </c>
    </row>
    <row r="1750" spans="4:4">
      <c r="D1750">
        <v>1748</v>
      </c>
    </row>
    <row r="1751" spans="4:4">
      <c r="D1751">
        <v>1749</v>
      </c>
    </row>
    <row r="1752" spans="4:4">
      <c r="D1752">
        <v>1750</v>
      </c>
    </row>
    <row r="1753" spans="4:4">
      <c r="D1753">
        <v>1751</v>
      </c>
    </row>
    <row r="1754" spans="4:4">
      <c r="D1754">
        <v>1752</v>
      </c>
    </row>
    <row r="1755" spans="4:4">
      <c r="D1755">
        <v>1753</v>
      </c>
    </row>
    <row r="1756" spans="4:4">
      <c r="D1756">
        <v>1754</v>
      </c>
    </row>
    <row r="1757" spans="4:4">
      <c r="D1757">
        <v>1755</v>
      </c>
    </row>
    <row r="1758" spans="4:4">
      <c r="D1758">
        <v>1756</v>
      </c>
    </row>
    <row r="1759" spans="4:4">
      <c r="D1759">
        <v>1757</v>
      </c>
    </row>
    <row r="1760" spans="4:4">
      <c r="D1760">
        <v>1758</v>
      </c>
    </row>
    <row r="1761" spans="4:4">
      <c r="D1761">
        <v>1759</v>
      </c>
    </row>
    <row r="1762" spans="4:4">
      <c r="D1762">
        <v>1760</v>
      </c>
    </row>
    <row r="1763" spans="4:4">
      <c r="D1763">
        <v>1761</v>
      </c>
    </row>
    <row r="1764" spans="4:4">
      <c r="D1764">
        <v>1762</v>
      </c>
    </row>
    <row r="1765" spans="4:4">
      <c r="D1765">
        <v>1763</v>
      </c>
    </row>
    <row r="1766" spans="4:4">
      <c r="D1766">
        <v>1764</v>
      </c>
    </row>
    <row r="1767" spans="4:4">
      <c r="D1767">
        <v>1765</v>
      </c>
    </row>
    <row r="1768" spans="4:4">
      <c r="D1768">
        <v>1766</v>
      </c>
    </row>
    <row r="1769" spans="4:4">
      <c r="D1769">
        <v>1767</v>
      </c>
    </row>
    <row r="1770" spans="4:4">
      <c r="D1770">
        <v>1768</v>
      </c>
    </row>
    <row r="1771" spans="4:4">
      <c r="D1771">
        <v>1769</v>
      </c>
    </row>
    <row r="1772" spans="4:4">
      <c r="D1772">
        <v>1770</v>
      </c>
    </row>
    <row r="1773" spans="4:4">
      <c r="D1773">
        <v>1771</v>
      </c>
    </row>
    <row r="1774" spans="4:4">
      <c r="D1774">
        <v>1772</v>
      </c>
    </row>
    <row r="1775" spans="4:4">
      <c r="D1775">
        <v>1773</v>
      </c>
    </row>
    <row r="1776" spans="4:4">
      <c r="D1776">
        <v>1774</v>
      </c>
    </row>
    <row r="1777" spans="4:4">
      <c r="D1777">
        <v>1775</v>
      </c>
    </row>
    <row r="1778" spans="4:4">
      <c r="D1778">
        <v>1776</v>
      </c>
    </row>
    <row r="1779" spans="4:4">
      <c r="D1779">
        <v>1777</v>
      </c>
    </row>
    <row r="1780" spans="4:4">
      <c r="D1780">
        <v>1778</v>
      </c>
    </row>
    <row r="1781" spans="4:4">
      <c r="D1781">
        <v>1779</v>
      </c>
    </row>
    <row r="1782" spans="4:4">
      <c r="D1782">
        <v>1780</v>
      </c>
    </row>
    <row r="1783" spans="4:4">
      <c r="D1783">
        <v>1781</v>
      </c>
    </row>
    <row r="1784" spans="4:4">
      <c r="D1784">
        <v>1782</v>
      </c>
    </row>
    <row r="1785" spans="4:4">
      <c r="D1785">
        <v>1783</v>
      </c>
    </row>
    <row r="1786" spans="4:4">
      <c r="D1786">
        <v>1784</v>
      </c>
    </row>
    <row r="1787" spans="4:4">
      <c r="D1787">
        <v>1785</v>
      </c>
    </row>
    <row r="1788" spans="4:4">
      <c r="D1788">
        <v>1786</v>
      </c>
    </row>
    <row r="1789" spans="4:4">
      <c r="D1789">
        <v>1787</v>
      </c>
    </row>
    <row r="1790" spans="4:4">
      <c r="D1790">
        <v>1788</v>
      </c>
    </row>
    <row r="1791" spans="4:4">
      <c r="D1791">
        <v>1789</v>
      </c>
    </row>
    <row r="1792" spans="4:4">
      <c r="D1792">
        <v>1790</v>
      </c>
    </row>
    <row r="1793" spans="4:4">
      <c r="D1793">
        <v>1791</v>
      </c>
    </row>
    <row r="1794" spans="4:4">
      <c r="D1794">
        <v>1792</v>
      </c>
    </row>
    <row r="1795" spans="4:4">
      <c r="D1795">
        <v>1793</v>
      </c>
    </row>
    <row r="1796" spans="4:4">
      <c r="D1796">
        <v>1794</v>
      </c>
    </row>
    <row r="1797" spans="4:4">
      <c r="D1797">
        <v>1795</v>
      </c>
    </row>
    <row r="1798" spans="4:4">
      <c r="D1798">
        <v>1796</v>
      </c>
    </row>
    <row r="1799" spans="4:4">
      <c r="D1799">
        <v>1797</v>
      </c>
    </row>
    <row r="1800" spans="4:4">
      <c r="D1800">
        <v>1798</v>
      </c>
    </row>
    <row r="1801" spans="4:4">
      <c r="D1801">
        <v>1799</v>
      </c>
    </row>
    <row r="1802" spans="4:4">
      <c r="D1802">
        <v>1800</v>
      </c>
    </row>
    <row r="1803" spans="4:4">
      <c r="D1803">
        <v>1801</v>
      </c>
    </row>
    <row r="1804" spans="4:4">
      <c r="D1804">
        <v>1802</v>
      </c>
    </row>
    <row r="1805" spans="4:4">
      <c r="D1805">
        <v>1803</v>
      </c>
    </row>
    <row r="1806" spans="4:4">
      <c r="D1806">
        <v>1804</v>
      </c>
    </row>
    <row r="1807" spans="4:4">
      <c r="D1807">
        <v>1805</v>
      </c>
    </row>
    <row r="1808" spans="4:4">
      <c r="D1808">
        <v>1806</v>
      </c>
    </row>
    <row r="1809" spans="4:4">
      <c r="D1809">
        <v>1807</v>
      </c>
    </row>
    <row r="1810" spans="4:4">
      <c r="D1810">
        <v>1808</v>
      </c>
    </row>
    <row r="1811" spans="4:4">
      <c r="D1811">
        <v>1809</v>
      </c>
    </row>
    <row r="1812" spans="4:4">
      <c r="D1812">
        <v>1810</v>
      </c>
    </row>
    <row r="1813" spans="4:4">
      <c r="D1813">
        <v>1811</v>
      </c>
    </row>
    <row r="1814" spans="4:4">
      <c r="D1814">
        <v>1812</v>
      </c>
    </row>
    <row r="1815" spans="4:4">
      <c r="D1815">
        <v>1813</v>
      </c>
    </row>
    <row r="1816" spans="4:4">
      <c r="D1816">
        <v>1814</v>
      </c>
    </row>
    <row r="1817" spans="4:4">
      <c r="D1817">
        <v>1815</v>
      </c>
    </row>
    <row r="1818" spans="4:4">
      <c r="D1818">
        <v>1816</v>
      </c>
    </row>
    <row r="1819" spans="4:4">
      <c r="D1819">
        <v>1817</v>
      </c>
    </row>
    <row r="1820" spans="4:4">
      <c r="D1820">
        <v>1818</v>
      </c>
    </row>
    <row r="1821" spans="4:4">
      <c r="D1821">
        <v>1819</v>
      </c>
    </row>
    <row r="1822" spans="4:4">
      <c r="D1822">
        <v>1820</v>
      </c>
    </row>
    <row r="1823" spans="4:4">
      <c r="D1823">
        <v>1821</v>
      </c>
    </row>
    <row r="1824" spans="4:4">
      <c r="D1824">
        <v>1822</v>
      </c>
    </row>
    <row r="1825" spans="4:4">
      <c r="D1825">
        <v>1823</v>
      </c>
    </row>
    <row r="1826" spans="4:4">
      <c r="D1826">
        <v>1824</v>
      </c>
    </row>
    <row r="1827" spans="4:4">
      <c r="D1827">
        <v>1825</v>
      </c>
    </row>
    <row r="1828" spans="4:4">
      <c r="D1828">
        <v>1826</v>
      </c>
    </row>
    <row r="1829" spans="4:4">
      <c r="D1829">
        <v>1827</v>
      </c>
    </row>
    <row r="1830" spans="4:4">
      <c r="D1830">
        <v>1828</v>
      </c>
    </row>
    <row r="1831" spans="4:4">
      <c r="D1831">
        <v>1829</v>
      </c>
    </row>
    <row r="1832" spans="4:4">
      <c r="D1832">
        <v>1830</v>
      </c>
    </row>
    <row r="1833" spans="4:4">
      <c r="D1833">
        <v>1831</v>
      </c>
    </row>
    <row r="1834" spans="4:4">
      <c r="D1834">
        <v>1832</v>
      </c>
    </row>
    <row r="1835" spans="4:4">
      <c r="D1835">
        <v>1833</v>
      </c>
    </row>
    <row r="1836" spans="4:4">
      <c r="D1836">
        <v>1834</v>
      </c>
    </row>
    <row r="1837" spans="4:4">
      <c r="D1837">
        <v>1835</v>
      </c>
    </row>
    <row r="1838" spans="4:4">
      <c r="D1838">
        <v>1836</v>
      </c>
    </row>
    <row r="1839" spans="4:4">
      <c r="D1839">
        <v>1837</v>
      </c>
    </row>
    <row r="1840" spans="4:4">
      <c r="D1840">
        <v>1838</v>
      </c>
    </row>
    <row r="1841" spans="4:4">
      <c r="D1841">
        <v>1839</v>
      </c>
    </row>
    <row r="1842" spans="4:4">
      <c r="D1842">
        <v>1840</v>
      </c>
    </row>
    <row r="1843" spans="4:4">
      <c r="D1843">
        <v>1841</v>
      </c>
    </row>
    <row r="1844" spans="4:4">
      <c r="D1844">
        <v>1842</v>
      </c>
    </row>
    <row r="1845" spans="4:4">
      <c r="D1845">
        <v>1843</v>
      </c>
    </row>
    <row r="1846" spans="4:4">
      <c r="D1846">
        <v>1844</v>
      </c>
    </row>
    <row r="1847" spans="4:4">
      <c r="D1847">
        <v>1845</v>
      </c>
    </row>
    <row r="1848" spans="4:4">
      <c r="D1848">
        <v>1846</v>
      </c>
    </row>
    <row r="1849" spans="4:4">
      <c r="D1849">
        <v>1847</v>
      </c>
    </row>
    <row r="1850" spans="4:4">
      <c r="D1850">
        <v>1848</v>
      </c>
    </row>
    <row r="1851" spans="4:4">
      <c r="D1851">
        <v>1849</v>
      </c>
    </row>
    <row r="1852" spans="4:4">
      <c r="D1852">
        <v>1850</v>
      </c>
    </row>
    <row r="1853" spans="4:4">
      <c r="D1853">
        <v>1851</v>
      </c>
    </row>
    <row r="1854" spans="4:4">
      <c r="D1854">
        <v>1852</v>
      </c>
    </row>
    <row r="1855" spans="4:4">
      <c r="D1855">
        <v>1853</v>
      </c>
    </row>
    <row r="1856" spans="4:4">
      <c r="D1856">
        <v>1854</v>
      </c>
    </row>
    <row r="1857" spans="4:4">
      <c r="D1857">
        <v>1855</v>
      </c>
    </row>
    <row r="1858" spans="4:4">
      <c r="D1858">
        <v>1856</v>
      </c>
    </row>
    <row r="1859" spans="4:4">
      <c r="D1859">
        <v>1857</v>
      </c>
    </row>
    <row r="1860" spans="4:4">
      <c r="D1860">
        <v>1858</v>
      </c>
    </row>
    <row r="1861" spans="4:4">
      <c r="D1861">
        <v>1859</v>
      </c>
    </row>
    <row r="1862" spans="4:4">
      <c r="D1862">
        <v>1860</v>
      </c>
    </row>
    <row r="1863" spans="4:4">
      <c r="D1863">
        <v>1861</v>
      </c>
    </row>
    <row r="1864" spans="4:4">
      <c r="D1864">
        <v>1862</v>
      </c>
    </row>
    <row r="1865" spans="4:4">
      <c r="D1865">
        <v>1863</v>
      </c>
    </row>
    <row r="1866" spans="4:4">
      <c r="D1866">
        <v>1864</v>
      </c>
    </row>
    <row r="1867" spans="4:4">
      <c r="D1867">
        <v>1865</v>
      </c>
    </row>
    <row r="1868" spans="4:4">
      <c r="D1868">
        <v>1866</v>
      </c>
    </row>
    <row r="1869" spans="4:4">
      <c r="D1869">
        <v>1867</v>
      </c>
    </row>
    <row r="1870" spans="4:4">
      <c r="D1870">
        <v>1868</v>
      </c>
    </row>
    <row r="1871" spans="4:4">
      <c r="D1871">
        <v>1869</v>
      </c>
    </row>
    <row r="1872" spans="4:4">
      <c r="D1872">
        <v>1870</v>
      </c>
    </row>
    <row r="1873" spans="4:4">
      <c r="D1873">
        <v>1871</v>
      </c>
    </row>
    <row r="1874" spans="4:4">
      <c r="D1874">
        <v>1872</v>
      </c>
    </row>
    <row r="1875" spans="4:4">
      <c r="D1875">
        <v>1873</v>
      </c>
    </row>
    <row r="1876" spans="4:4">
      <c r="D1876">
        <v>1874</v>
      </c>
    </row>
    <row r="1877" spans="4:4">
      <c r="D1877">
        <v>1875</v>
      </c>
    </row>
    <row r="1878" spans="4:4">
      <c r="D1878">
        <v>1876</v>
      </c>
    </row>
    <row r="1879" spans="4:4">
      <c r="D1879">
        <v>1877</v>
      </c>
    </row>
    <row r="1880" spans="4:4">
      <c r="D1880">
        <v>1878</v>
      </c>
    </row>
    <row r="1881" spans="4:4">
      <c r="D1881">
        <v>1879</v>
      </c>
    </row>
    <row r="1882" spans="4:4">
      <c r="D1882">
        <v>1880</v>
      </c>
    </row>
    <row r="1883" spans="4:4">
      <c r="D1883">
        <v>1881</v>
      </c>
    </row>
    <row r="1884" spans="4:4">
      <c r="D1884">
        <v>1882</v>
      </c>
    </row>
    <row r="1885" spans="4:4">
      <c r="D1885">
        <v>1883</v>
      </c>
    </row>
    <row r="1886" spans="4:4">
      <c r="D1886">
        <v>1884</v>
      </c>
    </row>
    <row r="1887" spans="4:4">
      <c r="D1887">
        <v>1885</v>
      </c>
    </row>
    <row r="1888" spans="4:4">
      <c r="D1888">
        <v>1886</v>
      </c>
    </row>
    <row r="1889" spans="4:4">
      <c r="D1889">
        <v>1887</v>
      </c>
    </row>
    <row r="1890" spans="4:4">
      <c r="D1890">
        <v>1888</v>
      </c>
    </row>
    <row r="1891" spans="4:4">
      <c r="D1891">
        <v>1889</v>
      </c>
    </row>
    <row r="1892" spans="4:4">
      <c r="D1892">
        <v>1890</v>
      </c>
    </row>
    <row r="1893" spans="4:4">
      <c r="D1893">
        <v>1891</v>
      </c>
    </row>
    <row r="1894" spans="4:4">
      <c r="D1894">
        <v>1892</v>
      </c>
    </row>
    <row r="1895" spans="4:4">
      <c r="D1895">
        <v>1893</v>
      </c>
    </row>
    <row r="1896" spans="4:4">
      <c r="D1896">
        <v>1894</v>
      </c>
    </row>
    <row r="1897" spans="4:4">
      <c r="D1897">
        <v>1895</v>
      </c>
    </row>
    <row r="1898" spans="4:4">
      <c r="D1898">
        <v>1896</v>
      </c>
    </row>
    <row r="1899" spans="4:4">
      <c r="D1899">
        <v>1897</v>
      </c>
    </row>
    <row r="1900" spans="4:4">
      <c r="D1900">
        <v>1898</v>
      </c>
    </row>
    <row r="1901" spans="4:4">
      <c r="D1901">
        <v>1899</v>
      </c>
    </row>
    <row r="1902" spans="4:4">
      <c r="D1902">
        <v>1900</v>
      </c>
    </row>
    <row r="1903" spans="4:4">
      <c r="D1903">
        <v>1901</v>
      </c>
    </row>
    <row r="1904" spans="4:4">
      <c r="D1904">
        <v>1902</v>
      </c>
    </row>
    <row r="1905" spans="4:4">
      <c r="D1905">
        <v>1903</v>
      </c>
    </row>
    <row r="1906" spans="4:4">
      <c r="D1906">
        <v>1904</v>
      </c>
    </row>
    <row r="1907" spans="4:4">
      <c r="D1907">
        <v>1905</v>
      </c>
    </row>
    <row r="1908" spans="4:4">
      <c r="D1908">
        <v>1906</v>
      </c>
    </row>
    <row r="1909" spans="4:4">
      <c r="D1909">
        <v>1907</v>
      </c>
    </row>
    <row r="1910" spans="4:4">
      <c r="D1910">
        <v>1908</v>
      </c>
    </row>
    <row r="1911" spans="4:4">
      <c r="D1911">
        <v>1909</v>
      </c>
    </row>
    <row r="1912" spans="4:4">
      <c r="D1912">
        <v>1910</v>
      </c>
    </row>
    <row r="1913" spans="4:4">
      <c r="D1913">
        <v>1911</v>
      </c>
    </row>
    <row r="1914" spans="4:4">
      <c r="D1914">
        <v>1912</v>
      </c>
    </row>
    <row r="1915" spans="4:4">
      <c r="D1915">
        <v>1913</v>
      </c>
    </row>
    <row r="1916" spans="4:4">
      <c r="D1916">
        <v>1914</v>
      </c>
    </row>
    <row r="1917" spans="4:4">
      <c r="D1917">
        <v>1915</v>
      </c>
    </row>
    <row r="1918" spans="4:4">
      <c r="D1918">
        <v>1916</v>
      </c>
    </row>
    <row r="1919" spans="4:4">
      <c r="D1919">
        <v>1917</v>
      </c>
    </row>
    <row r="1920" spans="4:4">
      <c r="D1920">
        <v>1918</v>
      </c>
    </row>
    <row r="1921" spans="4:4">
      <c r="D1921">
        <v>1919</v>
      </c>
    </row>
    <row r="1922" spans="4:4">
      <c r="D1922">
        <v>1920</v>
      </c>
    </row>
    <row r="1923" spans="4:4">
      <c r="D1923">
        <v>1921</v>
      </c>
    </row>
    <row r="1924" spans="4:4">
      <c r="D1924">
        <v>1922</v>
      </c>
    </row>
    <row r="1925" spans="4:4">
      <c r="D1925">
        <v>1923</v>
      </c>
    </row>
    <row r="1926" spans="4:4">
      <c r="D1926">
        <v>1924</v>
      </c>
    </row>
    <row r="1927" spans="4:4">
      <c r="D1927">
        <v>1925</v>
      </c>
    </row>
    <row r="1928" spans="4:4">
      <c r="D1928">
        <v>1926</v>
      </c>
    </row>
    <row r="1929" spans="4:4">
      <c r="D1929">
        <v>1927</v>
      </c>
    </row>
    <row r="1930" spans="4:4">
      <c r="D1930">
        <v>1928</v>
      </c>
    </row>
    <row r="1931" spans="4:4">
      <c r="D1931">
        <v>1929</v>
      </c>
    </row>
    <row r="1932" spans="4:4">
      <c r="D1932">
        <v>1930</v>
      </c>
    </row>
    <row r="1933" spans="4:4">
      <c r="D1933">
        <v>1931</v>
      </c>
    </row>
    <row r="1934" spans="4:4">
      <c r="D1934">
        <v>1932</v>
      </c>
    </row>
    <row r="1935" spans="4:4">
      <c r="D1935">
        <v>1933</v>
      </c>
    </row>
    <row r="1936" spans="4:4">
      <c r="D1936">
        <v>1934</v>
      </c>
    </row>
    <row r="1937" spans="4:4">
      <c r="D1937">
        <v>1935</v>
      </c>
    </row>
    <row r="1938" spans="4:4">
      <c r="D1938">
        <v>1936</v>
      </c>
    </row>
    <row r="1939" spans="4:4">
      <c r="D1939">
        <v>1937</v>
      </c>
    </row>
    <row r="1940" spans="4:4">
      <c r="D1940">
        <v>1938</v>
      </c>
    </row>
    <row r="1941" spans="4:4">
      <c r="D1941">
        <v>1939</v>
      </c>
    </row>
    <row r="1942" spans="4:4">
      <c r="D1942">
        <v>1940</v>
      </c>
    </row>
    <row r="1943" spans="4:4">
      <c r="D1943">
        <v>1941</v>
      </c>
    </row>
    <row r="1944" spans="4:4">
      <c r="D1944">
        <v>1942</v>
      </c>
    </row>
    <row r="1945" spans="4:4">
      <c r="D1945">
        <v>1943</v>
      </c>
    </row>
    <row r="1946" spans="4:4">
      <c r="D1946">
        <v>1944</v>
      </c>
    </row>
    <row r="1947" spans="4:4">
      <c r="D1947">
        <v>1945</v>
      </c>
    </row>
    <row r="1948" spans="4:4">
      <c r="D1948">
        <v>1946</v>
      </c>
    </row>
    <row r="1949" spans="4:4">
      <c r="D1949">
        <v>1947</v>
      </c>
    </row>
    <row r="1950" spans="4:4">
      <c r="D1950">
        <v>1948</v>
      </c>
    </row>
    <row r="1951" spans="4:4">
      <c r="D1951">
        <v>1949</v>
      </c>
    </row>
    <row r="1952" spans="4:4">
      <c r="D1952">
        <v>1950</v>
      </c>
    </row>
    <row r="1953" spans="4:4">
      <c r="D1953">
        <v>1951</v>
      </c>
    </row>
    <row r="1954" spans="4:4">
      <c r="D1954">
        <v>1952</v>
      </c>
    </row>
    <row r="1955" spans="4:4">
      <c r="D1955">
        <v>1953</v>
      </c>
    </row>
    <row r="1956" spans="4:4">
      <c r="D1956">
        <v>1954</v>
      </c>
    </row>
    <row r="1957" spans="4:4">
      <c r="D1957">
        <v>1955</v>
      </c>
    </row>
    <row r="1958" spans="4:4">
      <c r="D1958">
        <v>1956</v>
      </c>
    </row>
    <row r="1959" spans="4:4">
      <c r="D1959">
        <v>1957</v>
      </c>
    </row>
    <row r="1960" spans="4:4">
      <c r="D1960">
        <v>1958</v>
      </c>
    </row>
    <row r="1961" spans="4:4">
      <c r="D1961">
        <v>1959</v>
      </c>
    </row>
    <row r="1962" spans="4:4">
      <c r="D1962">
        <v>1960</v>
      </c>
    </row>
    <row r="1963" spans="4:4">
      <c r="D1963">
        <v>1961</v>
      </c>
    </row>
    <row r="1964" spans="4:4">
      <c r="D1964">
        <v>1962</v>
      </c>
    </row>
    <row r="1965" spans="4:4">
      <c r="D1965">
        <v>1963</v>
      </c>
    </row>
    <row r="1966" spans="4:4">
      <c r="D1966">
        <v>1964</v>
      </c>
    </row>
    <row r="1967" spans="4:4">
      <c r="D1967">
        <v>1965</v>
      </c>
    </row>
    <row r="1968" spans="4:4">
      <c r="D1968">
        <v>1966</v>
      </c>
    </row>
    <row r="1969" spans="4:4">
      <c r="D1969">
        <v>1967</v>
      </c>
    </row>
    <row r="1970" spans="4:4">
      <c r="D1970">
        <v>1968</v>
      </c>
    </row>
    <row r="1971" spans="4:4">
      <c r="D1971">
        <v>1969</v>
      </c>
    </row>
    <row r="1972" spans="4:4">
      <c r="D1972">
        <v>1970</v>
      </c>
    </row>
    <row r="1973" spans="4:4">
      <c r="D1973">
        <v>1971</v>
      </c>
    </row>
    <row r="1974" spans="4:4">
      <c r="D1974">
        <v>1972</v>
      </c>
    </row>
    <row r="1975" spans="4:4">
      <c r="D1975">
        <v>1973</v>
      </c>
    </row>
    <row r="1976" spans="4:4">
      <c r="D1976">
        <v>1974</v>
      </c>
    </row>
    <row r="1977" spans="4:4">
      <c r="D1977">
        <v>1975</v>
      </c>
    </row>
    <row r="1978" spans="4:4">
      <c r="D1978">
        <v>1976</v>
      </c>
    </row>
    <row r="1979" spans="4:4">
      <c r="D1979">
        <v>1977</v>
      </c>
    </row>
    <row r="1980" spans="4:4">
      <c r="D1980">
        <v>1978</v>
      </c>
    </row>
    <row r="1981" spans="4:4">
      <c r="D1981">
        <v>1979</v>
      </c>
    </row>
    <row r="1982" spans="4:4">
      <c r="D1982">
        <v>1980</v>
      </c>
    </row>
    <row r="1983" spans="4:4">
      <c r="D1983">
        <v>1981</v>
      </c>
    </row>
    <row r="1984" spans="4:4">
      <c r="D1984">
        <v>1982</v>
      </c>
    </row>
    <row r="1985" spans="4:4">
      <c r="D1985">
        <v>1983</v>
      </c>
    </row>
    <row r="1986" spans="4:4">
      <c r="D1986">
        <v>1984</v>
      </c>
    </row>
    <row r="1987" spans="4:4">
      <c r="D1987">
        <v>1985</v>
      </c>
    </row>
    <row r="1988" spans="4:4">
      <c r="D1988">
        <v>1986</v>
      </c>
    </row>
    <row r="1989" spans="4:4">
      <c r="D1989">
        <v>1987</v>
      </c>
    </row>
    <row r="1990" spans="4:4">
      <c r="D1990">
        <v>1988</v>
      </c>
    </row>
    <row r="1991" spans="4:4">
      <c r="D1991">
        <v>1989</v>
      </c>
    </row>
    <row r="1992" spans="4:4">
      <c r="D1992">
        <v>1990</v>
      </c>
    </row>
    <row r="1993" spans="4:4">
      <c r="D1993">
        <v>1991</v>
      </c>
    </row>
    <row r="1994" spans="4:4">
      <c r="D1994">
        <v>1992</v>
      </c>
    </row>
    <row r="1995" spans="4:4">
      <c r="D1995">
        <v>1993</v>
      </c>
    </row>
    <row r="1996" spans="4:4">
      <c r="D1996">
        <v>1994</v>
      </c>
    </row>
    <row r="1997" spans="4:4">
      <c r="D1997">
        <v>1995</v>
      </c>
    </row>
    <row r="1998" spans="4:4">
      <c r="D1998">
        <v>1996</v>
      </c>
    </row>
    <row r="1999" spans="4:4">
      <c r="D1999">
        <v>1997</v>
      </c>
    </row>
    <row r="2000" spans="4:4">
      <c r="D2000">
        <v>1998</v>
      </c>
    </row>
    <row r="2001" spans="4:4">
      <c r="D2001">
        <v>1999</v>
      </c>
    </row>
    <row r="2002" spans="4:4">
      <c r="D2002">
        <v>2000</v>
      </c>
    </row>
    <row r="2003" spans="4:4">
      <c r="D2003">
        <v>2001</v>
      </c>
    </row>
    <row r="2004" spans="4:4">
      <c r="D2004">
        <v>2002</v>
      </c>
    </row>
    <row r="2005" spans="4:4">
      <c r="D2005">
        <v>2003</v>
      </c>
    </row>
    <row r="2006" spans="4:4">
      <c r="D2006">
        <v>2004</v>
      </c>
    </row>
    <row r="2007" spans="4:4">
      <c r="D2007">
        <v>2005</v>
      </c>
    </row>
    <row r="2008" spans="4:4">
      <c r="D2008">
        <v>2006</v>
      </c>
    </row>
    <row r="2009" spans="4:4">
      <c r="D2009">
        <v>2007</v>
      </c>
    </row>
    <row r="2010" spans="4:4">
      <c r="D2010">
        <v>2008</v>
      </c>
    </row>
    <row r="2011" spans="4:4">
      <c r="D2011">
        <v>2009</v>
      </c>
    </row>
    <row r="2012" spans="4:4">
      <c r="D2012">
        <v>2010</v>
      </c>
    </row>
    <row r="2013" spans="4:4">
      <c r="D2013">
        <v>2011</v>
      </c>
    </row>
    <row r="2014" spans="4:4">
      <c r="D2014">
        <v>2012</v>
      </c>
    </row>
    <row r="2015" spans="4:4">
      <c r="D2015">
        <v>2013</v>
      </c>
    </row>
    <row r="2016" spans="4:4">
      <c r="D2016">
        <v>2014</v>
      </c>
    </row>
    <row r="2017" spans="4:4">
      <c r="D2017">
        <v>2015</v>
      </c>
    </row>
    <row r="2018" spans="4:4">
      <c r="D2018">
        <v>2016</v>
      </c>
    </row>
    <row r="2019" spans="4:4">
      <c r="D2019">
        <v>2017</v>
      </c>
    </row>
    <row r="2020" spans="4:4">
      <c r="D2020">
        <v>2018</v>
      </c>
    </row>
    <row r="2021" spans="4:4">
      <c r="D2021">
        <v>2019</v>
      </c>
    </row>
    <row r="2022" spans="4:4">
      <c r="D2022">
        <v>2020</v>
      </c>
    </row>
    <row r="2023" spans="4:4">
      <c r="D2023">
        <v>2021</v>
      </c>
    </row>
    <row r="2024" spans="4:4">
      <c r="D2024">
        <v>2022</v>
      </c>
    </row>
    <row r="2025" spans="4:4">
      <c r="D2025">
        <v>2023</v>
      </c>
    </row>
    <row r="2026" spans="4:4">
      <c r="D2026">
        <v>2024</v>
      </c>
    </row>
    <row r="2027" spans="4:4">
      <c r="D2027">
        <v>2025</v>
      </c>
    </row>
    <row r="2028" spans="4:4">
      <c r="D2028">
        <v>2026</v>
      </c>
    </row>
    <row r="2029" spans="4:4">
      <c r="D2029">
        <v>2027</v>
      </c>
    </row>
    <row r="2030" spans="4:4">
      <c r="D2030">
        <v>2028</v>
      </c>
    </row>
    <row r="2031" spans="4:4">
      <c r="D2031">
        <v>2029</v>
      </c>
    </row>
    <row r="2032" spans="4:4">
      <c r="D2032">
        <v>2030</v>
      </c>
    </row>
    <row r="2033" spans="4:4">
      <c r="D2033">
        <v>2031</v>
      </c>
    </row>
    <row r="2034" spans="4:4">
      <c r="D2034">
        <v>2032</v>
      </c>
    </row>
    <row r="2035" spans="4:4">
      <c r="D2035">
        <v>2033</v>
      </c>
    </row>
    <row r="2036" spans="4:4">
      <c r="D2036">
        <v>2034</v>
      </c>
    </row>
    <row r="2037" spans="4:4">
      <c r="D2037">
        <v>2035</v>
      </c>
    </row>
    <row r="2038" spans="4:4">
      <c r="D2038">
        <v>2036</v>
      </c>
    </row>
    <row r="2039" spans="4:4">
      <c r="D2039">
        <v>2037</v>
      </c>
    </row>
    <row r="2040" spans="4:4">
      <c r="D2040">
        <v>2038</v>
      </c>
    </row>
    <row r="2041" spans="4:4">
      <c r="D2041">
        <v>2039</v>
      </c>
    </row>
    <row r="2042" spans="4:4">
      <c r="D2042">
        <v>2040</v>
      </c>
    </row>
    <row r="2043" spans="4:4">
      <c r="D2043">
        <v>2041</v>
      </c>
    </row>
    <row r="2044" spans="4:4">
      <c r="D2044">
        <v>2042</v>
      </c>
    </row>
    <row r="2045" spans="4:4">
      <c r="D2045">
        <v>2043</v>
      </c>
    </row>
    <row r="2046" spans="4:4">
      <c r="D2046">
        <v>2044</v>
      </c>
    </row>
    <row r="2047" spans="4:4">
      <c r="D2047">
        <v>2045</v>
      </c>
    </row>
    <row r="2048" spans="4:4">
      <c r="D2048">
        <v>2046</v>
      </c>
    </row>
    <row r="2049" spans="4:4">
      <c r="D2049">
        <v>2047</v>
      </c>
    </row>
    <row r="2050" spans="4:4">
      <c r="D2050">
        <v>2048</v>
      </c>
    </row>
    <row r="2051" spans="4:4">
      <c r="D2051">
        <v>2049</v>
      </c>
    </row>
    <row r="2052" spans="4:4">
      <c r="D2052">
        <v>2050</v>
      </c>
    </row>
    <row r="2053" spans="4:4">
      <c r="D2053">
        <v>2051</v>
      </c>
    </row>
    <row r="2054" spans="4:4">
      <c r="D2054">
        <v>2052</v>
      </c>
    </row>
    <row r="2055" spans="4:4">
      <c r="D2055">
        <v>2053</v>
      </c>
    </row>
    <row r="2056" spans="4:4">
      <c r="D2056">
        <v>2054</v>
      </c>
    </row>
    <row r="2057" spans="4:4">
      <c r="D2057">
        <v>2055</v>
      </c>
    </row>
    <row r="2058" spans="4:4">
      <c r="D2058">
        <v>2056</v>
      </c>
    </row>
    <row r="2059" spans="4:4">
      <c r="D2059">
        <v>2057</v>
      </c>
    </row>
    <row r="2060" spans="4:4">
      <c r="D2060">
        <v>2058</v>
      </c>
    </row>
    <row r="2061" spans="4:4">
      <c r="D2061">
        <v>2059</v>
      </c>
    </row>
    <row r="2062" spans="4:4">
      <c r="D2062">
        <v>2060</v>
      </c>
    </row>
    <row r="2063" spans="4:4">
      <c r="D2063">
        <v>2061</v>
      </c>
    </row>
    <row r="2064" spans="4:4">
      <c r="D2064">
        <v>2062</v>
      </c>
    </row>
    <row r="2065" spans="4:4">
      <c r="D2065">
        <v>2063</v>
      </c>
    </row>
    <row r="2066" spans="4:4">
      <c r="D2066">
        <v>2064</v>
      </c>
    </row>
    <row r="2067" spans="4:4">
      <c r="D2067">
        <v>2065</v>
      </c>
    </row>
    <row r="2068" spans="4:4">
      <c r="D2068">
        <v>2066</v>
      </c>
    </row>
    <row r="2069" spans="4:4">
      <c r="D2069">
        <v>2067</v>
      </c>
    </row>
    <row r="2070" spans="4:4">
      <c r="D2070">
        <v>2068</v>
      </c>
    </row>
    <row r="2071" spans="4:4">
      <c r="D2071">
        <v>2069</v>
      </c>
    </row>
    <row r="2072" spans="4:4">
      <c r="D2072">
        <v>2070</v>
      </c>
    </row>
    <row r="2073" spans="4:4">
      <c r="D2073">
        <v>2071</v>
      </c>
    </row>
    <row r="2074" spans="4:4">
      <c r="D2074">
        <v>2072</v>
      </c>
    </row>
    <row r="2075" spans="4:4">
      <c r="D2075">
        <v>2073</v>
      </c>
    </row>
    <row r="2076" spans="4:4">
      <c r="D2076">
        <v>2074</v>
      </c>
    </row>
    <row r="2077" spans="4:4">
      <c r="D2077">
        <v>2075</v>
      </c>
    </row>
    <row r="2078" spans="4:4">
      <c r="D2078">
        <v>2076</v>
      </c>
    </row>
    <row r="2079" spans="4:4">
      <c r="D2079">
        <v>2077</v>
      </c>
    </row>
    <row r="2080" spans="4:4">
      <c r="D2080">
        <v>2078</v>
      </c>
    </row>
    <row r="2081" spans="4:4">
      <c r="D2081">
        <v>2079</v>
      </c>
    </row>
    <row r="2082" spans="4:4">
      <c r="D2082">
        <v>2080</v>
      </c>
    </row>
    <row r="2083" spans="4:4">
      <c r="D2083">
        <v>2081</v>
      </c>
    </row>
    <row r="2084" spans="4:4">
      <c r="D2084">
        <v>2082</v>
      </c>
    </row>
    <row r="2085" spans="4:4">
      <c r="D2085">
        <v>2083</v>
      </c>
    </row>
    <row r="2086" spans="4:4">
      <c r="D2086">
        <v>2084</v>
      </c>
    </row>
    <row r="2087" spans="4:4">
      <c r="D2087">
        <v>2085</v>
      </c>
    </row>
    <row r="2088" spans="4:4">
      <c r="D2088">
        <v>2086</v>
      </c>
    </row>
    <row r="2089" spans="4:4">
      <c r="D2089">
        <v>2087</v>
      </c>
    </row>
    <row r="2090" spans="4:4">
      <c r="D2090">
        <v>2088</v>
      </c>
    </row>
    <row r="2091" spans="4:4">
      <c r="D2091">
        <v>2089</v>
      </c>
    </row>
    <row r="2092" spans="4:4">
      <c r="D2092">
        <v>2090</v>
      </c>
    </row>
    <row r="2093" spans="4:4">
      <c r="D2093">
        <v>2091</v>
      </c>
    </row>
    <row r="2094" spans="4:4">
      <c r="D2094">
        <v>2092</v>
      </c>
    </row>
    <row r="2095" spans="4:4">
      <c r="D2095">
        <v>2093</v>
      </c>
    </row>
    <row r="2096" spans="4:4">
      <c r="D2096">
        <v>2094</v>
      </c>
    </row>
    <row r="2097" spans="4:4">
      <c r="D2097">
        <v>2095</v>
      </c>
    </row>
    <row r="2098" spans="4:4">
      <c r="D2098">
        <v>2096</v>
      </c>
    </row>
    <row r="2099" spans="4:4">
      <c r="D2099">
        <v>2097</v>
      </c>
    </row>
    <row r="2100" spans="4:4">
      <c r="D2100">
        <v>2098</v>
      </c>
    </row>
    <row r="2101" spans="4:4">
      <c r="D2101">
        <v>2099</v>
      </c>
    </row>
    <row r="2102" spans="4:4">
      <c r="D2102">
        <v>2100</v>
      </c>
    </row>
    <row r="2103" spans="4:4">
      <c r="D2103">
        <v>2101</v>
      </c>
    </row>
    <row r="2104" spans="4:4">
      <c r="D2104">
        <v>2102</v>
      </c>
    </row>
    <row r="2105" spans="4:4">
      <c r="D2105">
        <v>2103</v>
      </c>
    </row>
    <row r="2106" spans="4:4">
      <c r="D2106">
        <v>2104</v>
      </c>
    </row>
    <row r="2107" spans="4:4">
      <c r="D2107">
        <v>2105</v>
      </c>
    </row>
    <row r="2108" spans="4:4">
      <c r="D2108">
        <v>2106</v>
      </c>
    </row>
    <row r="2109" spans="4:4">
      <c r="D2109">
        <v>2107</v>
      </c>
    </row>
    <row r="2110" spans="4:4">
      <c r="D2110">
        <v>2108</v>
      </c>
    </row>
    <row r="2111" spans="4:4">
      <c r="D2111">
        <v>2109</v>
      </c>
    </row>
    <row r="2112" spans="4:4">
      <c r="D2112">
        <v>2110</v>
      </c>
    </row>
    <row r="2113" spans="4:4">
      <c r="D2113">
        <v>2111</v>
      </c>
    </row>
    <row r="2114" spans="4:4">
      <c r="D2114">
        <v>2112</v>
      </c>
    </row>
    <row r="2115" spans="4:4">
      <c r="D2115">
        <v>2113</v>
      </c>
    </row>
    <row r="2116" spans="4:4">
      <c r="D2116">
        <v>2114</v>
      </c>
    </row>
    <row r="2117" spans="4:4">
      <c r="D2117">
        <v>2115</v>
      </c>
    </row>
    <row r="2118" spans="4:4">
      <c r="D2118">
        <v>2116</v>
      </c>
    </row>
    <row r="2119" spans="4:4">
      <c r="D2119">
        <v>2117</v>
      </c>
    </row>
    <row r="2120" spans="4:4">
      <c r="D2120">
        <v>2118</v>
      </c>
    </row>
    <row r="2121" spans="4:4">
      <c r="D2121">
        <v>2119</v>
      </c>
    </row>
    <row r="2122" spans="4:4">
      <c r="D2122">
        <v>2120</v>
      </c>
    </row>
    <row r="2123" spans="4:4">
      <c r="D2123">
        <v>2121</v>
      </c>
    </row>
    <row r="2124" spans="4:4">
      <c r="D2124">
        <v>2122</v>
      </c>
    </row>
    <row r="2125" spans="4:4">
      <c r="D2125">
        <v>2123</v>
      </c>
    </row>
    <row r="2126" spans="4:4">
      <c r="D2126">
        <v>2124</v>
      </c>
    </row>
    <row r="2127" spans="4:4">
      <c r="D2127">
        <v>2125</v>
      </c>
    </row>
    <row r="2128" spans="4:4">
      <c r="D2128">
        <v>2126</v>
      </c>
    </row>
    <row r="2129" spans="4:4">
      <c r="D2129">
        <v>2127</v>
      </c>
    </row>
    <row r="2130" spans="4:4">
      <c r="D2130">
        <v>2128</v>
      </c>
    </row>
    <row r="2131" spans="4:4">
      <c r="D2131">
        <v>2129</v>
      </c>
    </row>
    <row r="2132" spans="4:4">
      <c r="D2132">
        <v>2130</v>
      </c>
    </row>
    <row r="2133" spans="4:4">
      <c r="D2133">
        <v>2131</v>
      </c>
    </row>
    <row r="2134" spans="4:4">
      <c r="D2134">
        <v>2132</v>
      </c>
    </row>
    <row r="2135" spans="4:4">
      <c r="D2135">
        <v>2133</v>
      </c>
    </row>
    <row r="2136" spans="4:4">
      <c r="D2136">
        <v>2134</v>
      </c>
    </row>
    <row r="2137" spans="4:4">
      <c r="D2137">
        <v>2135</v>
      </c>
    </row>
    <row r="2138" spans="4:4">
      <c r="D2138">
        <v>2136</v>
      </c>
    </row>
    <row r="2139" spans="4:4">
      <c r="D2139">
        <v>2137</v>
      </c>
    </row>
    <row r="2140" spans="4:4">
      <c r="D2140">
        <v>2138</v>
      </c>
    </row>
    <row r="2141" spans="4:4">
      <c r="D2141">
        <v>2139</v>
      </c>
    </row>
    <row r="2142" spans="4:4">
      <c r="D2142">
        <v>2140</v>
      </c>
    </row>
    <row r="2143" spans="4:4">
      <c r="D2143">
        <v>2141</v>
      </c>
    </row>
    <row r="2144" spans="4:4">
      <c r="D2144">
        <v>2142</v>
      </c>
    </row>
    <row r="2145" spans="4:4">
      <c r="D2145">
        <v>2143</v>
      </c>
    </row>
    <row r="2146" spans="4:4">
      <c r="D2146">
        <v>2144</v>
      </c>
    </row>
    <row r="2147" spans="4:4">
      <c r="D2147">
        <v>2145</v>
      </c>
    </row>
    <row r="2148" spans="4:4">
      <c r="D2148">
        <v>2146</v>
      </c>
    </row>
    <row r="2149" spans="4:4">
      <c r="D2149">
        <v>2147</v>
      </c>
    </row>
    <row r="2150" spans="4:4">
      <c r="D2150">
        <v>2148</v>
      </c>
    </row>
    <row r="2151" spans="4:4">
      <c r="D2151">
        <v>2149</v>
      </c>
    </row>
    <row r="2152" spans="4:4">
      <c r="D2152">
        <v>2150</v>
      </c>
    </row>
    <row r="2153" spans="4:4">
      <c r="D2153">
        <v>2151</v>
      </c>
    </row>
    <row r="2154" spans="4:4">
      <c r="D2154">
        <v>2152</v>
      </c>
    </row>
    <row r="2155" spans="4:4">
      <c r="D2155">
        <v>2153</v>
      </c>
    </row>
    <row r="2156" spans="4:4">
      <c r="D2156">
        <v>2154</v>
      </c>
    </row>
    <row r="2157" spans="4:4">
      <c r="D2157">
        <v>2155</v>
      </c>
    </row>
    <row r="2158" spans="4:4">
      <c r="D2158">
        <v>2156</v>
      </c>
    </row>
    <row r="2159" spans="4:4">
      <c r="D2159">
        <v>2157</v>
      </c>
    </row>
    <row r="2160" spans="4:4">
      <c r="D2160">
        <v>2158</v>
      </c>
    </row>
    <row r="2161" spans="4:4">
      <c r="D2161">
        <v>2159</v>
      </c>
    </row>
    <row r="2162" spans="4:4">
      <c r="D2162">
        <v>2160</v>
      </c>
    </row>
    <row r="2163" spans="4:4">
      <c r="D2163">
        <v>2161</v>
      </c>
    </row>
    <row r="2164" spans="4:4">
      <c r="D2164">
        <v>2162</v>
      </c>
    </row>
    <row r="2165" spans="4:4">
      <c r="D2165">
        <v>2163</v>
      </c>
    </row>
    <row r="2166" spans="4:4">
      <c r="D2166">
        <v>2164</v>
      </c>
    </row>
    <row r="2167" spans="4:4">
      <c r="D2167">
        <v>2165</v>
      </c>
    </row>
    <row r="2168" spans="4:4">
      <c r="D2168">
        <v>2166</v>
      </c>
    </row>
    <row r="2169" spans="4:4">
      <c r="D2169">
        <v>2167</v>
      </c>
    </row>
    <row r="2170" spans="4:4">
      <c r="D2170">
        <v>2168</v>
      </c>
    </row>
    <row r="2171" spans="4:4">
      <c r="D2171">
        <v>2169</v>
      </c>
    </row>
    <row r="2172" spans="4:4">
      <c r="D2172">
        <v>2170</v>
      </c>
    </row>
    <row r="2173" spans="4:4">
      <c r="D2173">
        <v>2171</v>
      </c>
    </row>
    <row r="2174" spans="4:4">
      <c r="D2174">
        <v>2172</v>
      </c>
    </row>
    <row r="2175" spans="4:4">
      <c r="D2175">
        <v>2173</v>
      </c>
    </row>
    <row r="2176" spans="4:4">
      <c r="D2176">
        <v>2174</v>
      </c>
    </row>
    <row r="2177" spans="4:4">
      <c r="D2177">
        <v>2175</v>
      </c>
    </row>
    <row r="2178" spans="4:4">
      <c r="D2178">
        <v>2176</v>
      </c>
    </row>
    <row r="2179" spans="4:4">
      <c r="D2179">
        <v>2177</v>
      </c>
    </row>
    <row r="2180" spans="4:4">
      <c r="D2180">
        <v>2178</v>
      </c>
    </row>
    <row r="2181" spans="4:4">
      <c r="D2181">
        <v>2179</v>
      </c>
    </row>
    <row r="2182" spans="4:4">
      <c r="D2182">
        <v>2180</v>
      </c>
    </row>
    <row r="2183" spans="4:4">
      <c r="D2183">
        <v>2181</v>
      </c>
    </row>
    <row r="2184" spans="4:4">
      <c r="D2184">
        <v>2182</v>
      </c>
    </row>
    <row r="2185" spans="4:4">
      <c r="D2185">
        <v>2183</v>
      </c>
    </row>
    <row r="2186" spans="4:4">
      <c r="D2186">
        <v>2184</v>
      </c>
    </row>
    <row r="2187" spans="4:4">
      <c r="D2187">
        <v>2185</v>
      </c>
    </row>
    <row r="2188" spans="4:4">
      <c r="D2188">
        <v>2186</v>
      </c>
    </row>
    <row r="2189" spans="4:4">
      <c r="D2189">
        <v>2187</v>
      </c>
    </row>
    <row r="2190" spans="4:4">
      <c r="D2190">
        <v>2188</v>
      </c>
    </row>
    <row r="2191" spans="4:4">
      <c r="D2191">
        <v>2189</v>
      </c>
    </row>
    <row r="2192" spans="4:4">
      <c r="D2192">
        <v>2190</v>
      </c>
    </row>
    <row r="2193" spans="4:4">
      <c r="D2193">
        <v>2191</v>
      </c>
    </row>
    <row r="2194" spans="4:4">
      <c r="D2194">
        <v>2192</v>
      </c>
    </row>
    <row r="2195" spans="4:4">
      <c r="D2195">
        <v>2193</v>
      </c>
    </row>
    <row r="2196" spans="4:4">
      <c r="D2196">
        <v>2194</v>
      </c>
    </row>
    <row r="2197" spans="4:4">
      <c r="D2197">
        <v>2195</v>
      </c>
    </row>
    <row r="2198" spans="4:4">
      <c r="D2198">
        <v>2196</v>
      </c>
    </row>
    <row r="2199" spans="4:4">
      <c r="D2199">
        <v>2197</v>
      </c>
    </row>
    <row r="2200" spans="4:4">
      <c r="D2200">
        <v>2198</v>
      </c>
    </row>
    <row r="2201" spans="4:4">
      <c r="D2201">
        <v>2199</v>
      </c>
    </row>
    <row r="2202" spans="4:4">
      <c r="D2202">
        <v>2200</v>
      </c>
    </row>
    <row r="2203" spans="4:4">
      <c r="D2203">
        <v>2201</v>
      </c>
    </row>
    <row r="2204" spans="4:4">
      <c r="D2204">
        <v>2202</v>
      </c>
    </row>
    <row r="2205" spans="4:4">
      <c r="D2205">
        <v>2203</v>
      </c>
    </row>
    <row r="2206" spans="4:4">
      <c r="D2206">
        <v>2204</v>
      </c>
    </row>
    <row r="2207" spans="4:4">
      <c r="D2207">
        <v>2205</v>
      </c>
    </row>
    <row r="2208" spans="4:4">
      <c r="D2208">
        <v>2206</v>
      </c>
    </row>
    <row r="2209" spans="4:4">
      <c r="D2209">
        <v>2207</v>
      </c>
    </row>
    <row r="2210" spans="4:4">
      <c r="D2210">
        <v>2208</v>
      </c>
    </row>
    <row r="2211" spans="4:4">
      <c r="D2211">
        <v>2209</v>
      </c>
    </row>
    <row r="2212" spans="4:4">
      <c r="D2212">
        <v>2210</v>
      </c>
    </row>
    <row r="2213" spans="4:4">
      <c r="D2213">
        <v>2211</v>
      </c>
    </row>
    <row r="2214" spans="4:4">
      <c r="D2214">
        <v>2212</v>
      </c>
    </row>
    <row r="2215" spans="4:4">
      <c r="D2215">
        <v>2213</v>
      </c>
    </row>
    <row r="2216" spans="4:4">
      <c r="D2216">
        <v>2214</v>
      </c>
    </row>
    <row r="2217" spans="4:4">
      <c r="D2217">
        <v>2215</v>
      </c>
    </row>
    <row r="2218" spans="4:4">
      <c r="D2218">
        <v>2216</v>
      </c>
    </row>
    <row r="2219" spans="4:4">
      <c r="D2219">
        <v>2217</v>
      </c>
    </row>
    <row r="2220" spans="4:4">
      <c r="D2220">
        <v>2218</v>
      </c>
    </row>
    <row r="2221" spans="4:4">
      <c r="D2221">
        <v>2219</v>
      </c>
    </row>
    <row r="2222" spans="4:4">
      <c r="D2222">
        <v>2220</v>
      </c>
    </row>
    <row r="2223" spans="4:4">
      <c r="D2223">
        <v>2221</v>
      </c>
    </row>
    <row r="2224" spans="4:4">
      <c r="D2224">
        <v>2222</v>
      </c>
    </row>
    <row r="2225" spans="4:4">
      <c r="D2225">
        <v>2223</v>
      </c>
    </row>
    <row r="2226" spans="4:4">
      <c r="D2226">
        <v>2224</v>
      </c>
    </row>
    <row r="2227" spans="4:4">
      <c r="D2227">
        <v>2225</v>
      </c>
    </row>
    <row r="2228" spans="4:4">
      <c r="D2228">
        <v>2226</v>
      </c>
    </row>
    <row r="2229" spans="4:4">
      <c r="D2229">
        <v>2227</v>
      </c>
    </row>
    <row r="2230" spans="4:4">
      <c r="D2230">
        <v>2228</v>
      </c>
    </row>
    <row r="2231" spans="4:4">
      <c r="D2231">
        <v>2229</v>
      </c>
    </row>
    <row r="2232" spans="4:4">
      <c r="D2232">
        <v>2230</v>
      </c>
    </row>
    <row r="2233" spans="4:4">
      <c r="D2233">
        <v>2231</v>
      </c>
    </row>
    <row r="2234" spans="4:4">
      <c r="D2234">
        <v>2232</v>
      </c>
    </row>
    <row r="2235" spans="4:4">
      <c r="D2235">
        <v>2233</v>
      </c>
    </row>
    <row r="2236" spans="4:4">
      <c r="D2236">
        <v>2234</v>
      </c>
    </row>
    <row r="2237" spans="4:4">
      <c r="D2237">
        <v>2235</v>
      </c>
    </row>
    <row r="2238" spans="4:4">
      <c r="D2238">
        <v>2236</v>
      </c>
    </row>
    <row r="2239" spans="4:4">
      <c r="D2239">
        <v>2237</v>
      </c>
    </row>
    <row r="2240" spans="4:4">
      <c r="D2240">
        <v>2238</v>
      </c>
    </row>
    <row r="2241" spans="4:4">
      <c r="D2241">
        <v>2239</v>
      </c>
    </row>
    <row r="2242" spans="4:4">
      <c r="D2242">
        <v>2240</v>
      </c>
    </row>
    <row r="2243" spans="4:4">
      <c r="D2243">
        <v>2241</v>
      </c>
    </row>
    <row r="2244" spans="4:4">
      <c r="D2244">
        <v>2242</v>
      </c>
    </row>
    <row r="2245" spans="4:4">
      <c r="D2245">
        <v>2243</v>
      </c>
    </row>
    <row r="2246" spans="4:4">
      <c r="D2246">
        <v>2244</v>
      </c>
    </row>
    <row r="2247" spans="4:4">
      <c r="D2247">
        <v>2245</v>
      </c>
    </row>
    <row r="2248" spans="4:4">
      <c r="D2248">
        <v>2246</v>
      </c>
    </row>
    <row r="2249" spans="4:4">
      <c r="D2249">
        <v>2247</v>
      </c>
    </row>
    <row r="2250" spans="4:4">
      <c r="D2250">
        <v>2248</v>
      </c>
    </row>
    <row r="2251" spans="4:4">
      <c r="D2251">
        <v>2249</v>
      </c>
    </row>
    <row r="2252" spans="4:4">
      <c r="D2252">
        <v>2250</v>
      </c>
    </row>
    <row r="2253" spans="4:4">
      <c r="D2253">
        <v>2251</v>
      </c>
    </row>
    <row r="2254" spans="4:4">
      <c r="D2254">
        <v>2252</v>
      </c>
    </row>
    <row r="2255" spans="4:4">
      <c r="D2255">
        <v>2253</v>
      </c>
    </row>
    <row r="2256" spans="4:4">
      <c r="D2256">
        <v>2254</v>
      </c>
    </row>
    <row r="2257" spans="4:4">
      <c r="D2257">
        <v>2255</v>
      </c>
    </row>
    <row r="2258" spans="4:4">
      <c r="D2258">
        <v>2256</v>
      </c>
    </row>
    <row r="2259" spans="4:4">
      <c r="D2259">
        <v>2257</v>
      </c>
    </row>
    <row r="2260" spans="4:4">
      <c r="D2260">
        <v>2258</v>
      </c>
    </row>
    <row r="2261" spans="4:4">
      <c r="D2261">
        <v>2259</v>
      </c>
    </row>
    <row r="2262" spans="4:4">
      <c r="D2262">
        <v>2260</v>
      </c>
    </row>
    <row r="2263" spans="4:4">
      <c r="D2263">
        <v>2261</v>
      </c>
    </row>
    <row r="2264" spans="4:4">
      <c r="D2264">
        <v>2262</v>
      </c>
    </row>
    <row r="2265" spans="4:4">
      <c r="D2265">
        <v>2263</v>
      </c>
    </row>
    <row r="2266" spans="4:4">
      <c r="D2266">
        <v>2264</v>
      </c>
    </row>
    <row r="2267" spans="4:4">
      <c r="D2267">
        <v>2265</v>
      </c>
    </row>
    <row r="2268" spans="4:4">
      <c r="D2268">
        <v>2266</v>
      </c>
    </row>
    <row r="2269" spans="4:4">
      <c r="D2269">
        <v>2267</v>
      </c>
    </row>
    <row r="2270" spans="4:4">
      <c r="D2270">
        <v>2268</v>
      </c>
    </row>
    <row r="2271" spans="4:4">
      <c r="D2271">
        <v>2269</v>
      </c>
    </row>
    <row r="2272" spans="4:4">
      <c r="D2272">
        <v>2270</v>
      </c>
    </row>
    <row r="2273" spans="4:4">
      <c r="D2273">
        <v>2271</v>
      </c>
    </row>
    <row r="2274" spans="4:4">
      <c r="D2274">
        <v>2272</v>
      </c>
    </row>
    <row r="2275" spans="4:4">
      <c r="D2275">
        <v>2273</v>
      </c>
    </row>
    <row r="2276" spans="4:4">
      <c r="D2276">
        <v>2274</v>
      </c>
    </row>
    <row r="2277" spans="4:4">
      <c r="D2277">
        <v>2275</v>
      </c>
    </row>
    <row r="2278" spans="4:4">
      <c r="D2278">
        <v>2276</v>
      </c>
    </row>
    <row r="2279" spans="4:4">
      <c r="D2279">
        <v>2277</v>
      </c>
    </row>
    <row r="2280" spans="4:4">
      <c r="D2280">
        <v>2278</v>
      </c>
    </row>
    <row r="2281" spans="4:4">
      <c r="D2281">
        <v>2279</v>
      </c>
    </row>
    <row r="2282" spans="4:4">
      <c r="D2282">
        <v>2280</v>
      </c>
    </row>
    <row r="2283" spans="4:4">
      <c r="D2283">
        <v>2281</v>
      </c>
    </row>
    <row r="2284" spans="4:4">
      <c r="D2284">
        <v>2282</v>
      </c>
    </row>
    <row r="2285" spans="4:4">
      <c r="D2285">
        <v>2283</v>
      </c>
    </row>
    <row r="2286" spans="4:4">
      <c r="D2286">
        <v>2284</v>
      </c>
    </row>
    <row r="2287" spans="4:4">
      <c r="D2287">
        <v>2285</v>
      </c>
    </row>
    <row r="2288" spans="4:4">
      <c r="D2288">
        <v>2286</v>
      </c>
    </row>
    <row r="2289" spans="4:4">
      <c r="D2289">
        <v>2287</v>
      </c>
    </row>
    <row r="2290" spans="4:4">
      <c r="D2290">
        <v>2288</v>
      </c>
    </row>
    <row r="2291" spans="4:4">
      <c r="D2291">
        <v>2289</v>
      </c>
    </row>
    <row r="2292" spans="4:4">
      <c r="D2292">
        <v>2290</v>
      </c>
    </row>
    <row r="2293" spans="4:4">
      <c r="D2293">
        <v>2291</v>
      </c>
    </row>
    <row r="2294" spans="4:4">
      <c r="D2294">
        <v>2292</v>
      </c>
    </row>
    <row r="2295" spans="4:4">
      <c r="D2295">
        <v>2293</v>
      </c>
    </row>
    <row r="2296" spans="4:4">
      <c r="D2296">
        <v>2294</v>
      </c>
    </row>
    <row r="2297" spans="4:4">
      <c r="D2297">
        <v>2295</v>
      </c>
    </row>
    <row r="2298" spans="4:4">
      <c r="D2298">
        <v>2296</v>
      </c>
    </row>
    <row r="2299" spans="4:4">
      <c r="D2299">
        <v>2297</v>
      </c>
    </row>
    <row r="2300" spans="4:4">
      <c r="D2300">
        <v>2298</v>
      </c>
    </row>
    <row r="2301" spans="4:4">
      <c r="D2301">
        <v>2299</v>
      </c>
    </row>
    <row r="2302" spans="4:4">
      <c r="D2302">
        <v>2300</v>
      </c>
    </row>
    <row r="2303" spans="4:4">
      <c r="D2303">
        <v>2301</v>
      </c>
    </row>
    <row r="2304" spans="4:4">
      <c r="D2304">
        <v>2302</v>
      </c>
    </row>
    <row r="2305" spans="4:4">
      <c r="D2305">
        <v>2303</v>
      </c>
    </row>
    <row r="2306" spans="4:4">
      <c r="D2306">
        <v>2304</v>
      </c>
    </row>
    <row r="2307" spans="4:4">
      <c r="D2307">
        <v>2305</v>
      </c>
    </row>
    <row r="2308" spans="4:4">
      <c r="D2308">
        <v>2306</v>
      </c>
    </row>
    <row r="2309" spans="4:4">
      <c r="D2309">
        <v>2307</v>
      </c>
    </row>
    <row r="2310" spans="4:4">
      <c r="D2310">
        <v>2308</v>
      </c>
    </row>
    <row r="2311" spans="4:4">
      <c r="D2311">
        <v>2309</v>
      </c>
    </row>
    <row r="2312" spans="4:4">
      <c r="D2312">
        <v>2310</v>
      </c>
    </row>
    <row r="2313" spans="4:4">
      <c r="D2313">
        <v>2311</v>
      </c>
    </row>
    <row r="2314" spans="4:4">
      <c r="D2314">
        <v>2312</v>
      </c>
    </row>
    <row r="2315" spans="4:4">
      <c r="D2315">
        <v>2313</v>
      </c>
    </row>
    <row r="2316" spans="4:4">
      <c r="D2316">
        <v>2314</v>
      </c>
    </row>
    <row r="2317" spans="4:4">
      <c r="D2317">
        <v>2315</v>
      </c>
    </row>
    <row r="2318" spans="4:4">
      <c r="D2318">
        <v>2316</v>
      </c>
    </row>
    <row r="2319" spans="4:4">
      <c r="D2319">
        <v>2317</v>
      </c>
    </row>
    <row r="2320" spans="4:4">
      <c r="D2320">
        <v>2318</v>
      </c>
    </row>
    <row r="2321" spans="4:4">
      <c r="D2321">
        <v>2319</v>
      </c>
    </row>
    <row r="2322" spans="4:4">
      <c r="D2322">
        <v>2320</v>
      </c>
    </row>
    <row r="2323" spans="4:4">
      <c r="D2323">
        <v>2321</v>
      </c>
    </row>
    <row r="2324" spans="4:4">
      <c r="D2324">
        <v>2322</v>
      </c>
    </row>
    <row r="2325" spans="4:4">
      <c r="D2325">
        <v>2323</v>
      </c>
    </row>
    <row r="2326" spans="4:4">
      <c r="D2326">
        <v>2324</v>
      </c>
    </row>
    <row r="2327" spans="4:4">
      <c r="D2327">
        <v>2325</v>
      </c>
    </row>
    <row r="2328" spans="4:4">
      <c r="D2328">
        <v>2326</v>
      </c>
    </row>
    <row r="2329" spans="4:4">
      <c r="D2329">
        <v>2327</v>
      </c>
    </row>
    <row r="2330" spans="4:4">
      <c r="D2330">
        <v>2328</v>
      </c>
    </row>
    <row r="2331" spans="4:4">
      <c r="D2331">
        <v>2329</v>
      </c>
    </row>
    <row r="2332" spans="4:4">
      <c r="D2332">
        <v>2330</v>
      </c>
    </row>
    <row r="2333" spans="4:4">
      <c r="D2333">
        <v>2331</v>
      </c>
    </row>
    <row r="2334" spans="4:4">
      <c r="D2334">
        <v>2332</v>
      </c>
    </row>
    <row r="2335" spans="4:4">
      <c r="D2335">
        <v>2333</v>
      </c>
    </row>
    <row r="2336" spans="4:4">
      <c r="D2336">
        <v>2334</v>
      </c>
    </row>
    <row r="2337" spans="4:4">
      <c r="D2337">
        <v>2335</v>
      </c>
    </row>
    <row r="2338" spans="4:4">
      <c r="D2338">
        <v>2336</v>
      </c>
    </row>
    <row r="2339" spans="4:4">
      <c r="D2339">
        <v>2337</v>
      </c>
    </row>
    <row r="2340" spans="4:4">
      <c r="D2340">
        <v>2338</v>
      </c>
    </row>
    <row r="2341" spans="4:4">
      <c r="D2341">
        <v>2339</v>
      </c>
    </row>
    <row r="2342" spans="4:4">
      <c r="D2342">
        <v>2340</v>
      </c>
    </row>
    <row r="2343" spans="4:4">
      <c r="D2343">
        <v>2341</v>
      </c>
    </row>
    <row r="2344" spans="4:4">
      <c r="D2344">
        <v>2342</v>
      </c>
    </row>
    <row r="2345" spans="4:4">
      <c r="D2345">
        <v>2343</v>
      </c>
    </row>
    <row r="2346" spans="4:4">
      <c r="D2346">
        <v>2344</v>
      </c>
    </row>
    <row r="2347" spans="4:4">
      <c r="D2347">
        <v>2345</v>
      </c>
    </row>
    <row r="2348" spans="4:4">
      <c r="D2348">
        <v>2346</v>
      </c>
    </row>
    <row r="2349" spans="4:4">
      <c r="D2349">
        <v>2347</v>
      </c>
    </row>
    <row r="2350" spans="4:4">
      <c r="D2350">
        <v>2348</v>
      </c>
    </row>
    <row r="2351" spans="4:4">
      <c r="D2351">
        <v>2349</v>
      </c>
    </row>
    <row r="2352" spans="4:4">
      <c r="D2352">
        <v>2350</v>
      </c>
    </row>
    <row r="2353" spans="4:4">
      <c r="D2353">
        <v>2351</v>
      </c>
    </row>
    <row r="2354" spans="4:4">
      <c r="D2354">
        <v>2352</v>
      </c>
    </row>
    <row r="2355" spans="4:4">
      <c r="D2355">
        <v>2353</v>
      </c>
    </row>
    <row r="2356" spans="4:4">
      <c r="D2356">
        <v>2354</v>
      </c>
    </row>
    <row r="2357" spans="4:4">
      <c r="D2357">
        <v>2355</v>
      </c>
    </row>
    <row r="2358" spans="4:4">
      <c r="D2358">
        <v>2356</v>
      </c>
    </row>
    <row r="2359" spans="4:4">
      <c r="D2359">
        <v>2357</v>
      </c>
    </row>
    <row r="2360" spans="4:4">
      <c r="D2360">
        <v>2358</v>
      </c>
    </row>
    <row r="2361" spans="4:4">
      <c r="D2361">
        <v>2359</v>
      </c>
    </row>
    <row r="2362" spans="4:4">
      <c r="D2362">
        <v>2360</v>
      </c>
    </row>
    <row r="2363" spans="4:4">
      <c r="D2363">
        <v>2361</v>
      </c>
    </row>
    <row r="2364" spans="4:4">
      <c r="D2364">
        <v>2362</v>
      </c>
    </row>
    <row r="2365" spans="4:4">
      <c r="D2365">
        <v>2363</v>
      </c>
    </row>
    <row r="2366" spans="4:4">
      <c r="D2366">
        <v>2364</v>
      </c>
    </row>
    <row r="2367" spans="4:4">
      <c r="D2367">
        <v>2365</v>
      </c>
    </row>
    <row r="2368" spans="4:4">
      <c r="D2368">
        <v>2366</v>
      </c>
    </row>
    <row r="2369" spans="4:4">
      <c r="D2369">
        <v>2367</v>
      </c>
    </row>
    <row r="2370" spans="4:4">
      <c r="D2370">
        <v>2368</v>
      </c>
    </row>
    <row r="2371" spans="4:4">
      <c r="D2371">
        <v>2369</v>
      </c>
    </row>
    <row r="2372" spans="4:4">
      <c r="D2372">
        <v>2370</v>
      </c>
    </row>
    <row r="2373" spans="4:4">
      <c r="D2373">
        <v>2371</v>
      </c>
    </row>
    <row r="2374" spans="4:4">
      <c r="D2374">
        <v>2372</v>
      </c>
    </row>
    <row r="2375" spans="4:4">
      <c r="D2375">
        <v>2373</v>
      </c>
    </row>
    <row r="2376" spans="4:4">
      <c r="D2376">
        <v>2374</v>
      </c>
    </row>
    <row r="2377" spans="4:4">
      <c r="D2377">
        <v>2375</v>
      </c>
    </row>
    <row r="2378" spans="4:4">
      <c r="D2378">
        <v>2376</v>
      </c>
    </row>
    <row r="2379" spans="4:4">
      <c r="D2379">
        <v>2377</v>
      </c>
    </row>
    <row r="2380" spans="4:4">
      <c r="D2380">
        <v>2378</v>
      </c>
    </row>
    <row r="2381" spans="4:4">
      <c r="D2381">
        <v>2379</v>
      </c>
    </row>
    <row r="2382" spans="4:4">
      <c r="D2382">
        <v>2380</v>
      </c>
    </row>
    <row r="2383" spans="4:4">
      <c r="D2383">
        <v>2381</v>
      </c>
    </row>
    <row r="2384" spans="4:4">
      <c r="D2384">
        <v>2382</v>
      </c>
    </row>
    <row r="2385" spans="4:4">
      <c r="D2385">
        <v>2383</v>
      </c>
    </row>
    <row r="2386" spans="4:4">
      <c r="D2386">
        <v>2384</v>
      </c>
    </row>
    <row r="2387" spans="4:4">
      <c r="D2387">
        <v>2385</v>
      </c>
    </row>
    <row r="2388" spans="4:4">
      <c r="D2388">
        <v>2386</v>
      </c>
    </row>
    <row r="2389" spans="4:4">
      <c r="D2389">
        <v>2387</v>
      </c>
    </row>
    <row r="2390" spans="4:4">
      <c r="D2390">
        <v>2388</v>
      </c>
    </row>
    <row r="2391" spans="4:4">
      <c r="D2391">
        <v>2389</v>
      </c>
    </row>
    <row r="2392" spans="4:4">
      <c r="D2392">
        <v>2390</v>
      </c>
    </row>
    <row r="2393" spans="4:4">
      <c r="D2393">
        <v>2391</v>
      </c>
    </row>
    <row r="2394" spans="4:4">
      <c r="D2394">
        <v>2392</v>
      </c>
    </row>
    <row r="2395" spans="4:4">
      <c r="D2395">
        <v>2393</v>
      </c>
    </row>
    <row r="2396" spans="4:4">
      <c r="D2396">
        <v>2394</v>
      </c>
    </row>
    <row r="2397" spans="4:4">
      <c r="D2397">
        <v>2395</v>
      </c>
    </row>
    <row r="2398" spans="4:4">
      <c r="D2398">
        <v>2396</v>
      </c>
    </row>
    <row r="2399" spans="4:4">
      <c r="D2399">
        <v>2397</v>
      </c>
    </row>
    <row r="2400" spans="4:4">
      <c r="D2400">
        <v>2398</v>
      </c>
    </row>
    <row r="2401" spans="4:4">
      <c r="D2401">
        <v>2399</v>
      </c>
    </row>
    <row r="2402" spans="4:4">
      <c r="D2402">
        <v>2400</v>
      </c>
    </row>
    <row r="2403" spans="4:4">
      <c r="D2403">
        <v>2401</v>
      </c>
    </row>
    <row r="2404" spans="4:4">
      <c r="D2404">
        <v>2402</v>
      </c>
    </row>
    <row r="2405" spans="4:4">
      <c r="D2405">
        <v>2403</v>
      </c>
    </row>
    <row r="2406" spans="4:4">
      <c r="D2406">
        <v>2404</v>
      </c>
    </row>
    <row r="2407" spans="4:4">
      <c r="D2407">
        <v>2405</v>
      </c>
    </row>
    <row r="2408" spans="4:4">
      <c r="D2408">
        <v>2406</v>
      </c>
    </row>
    <row r="2409" spans="4:4">
      <c r="D2409">
        <v>2407</v>
      </c>
    </row>
    <row r="2410" spans="4:4">
      <c r="D2410">
        <v>2408</v>
      </c>
    </row>
    <row r="2411" spans="4:4">
      <c r="D2411">
        <v>2409</v>
      </c>
    </row>
    <row r="2412" spans="4:4">
      <c r="D2412">
        <v>2410</v>
      </c>
    </row>
    <row r="2413" spans="4:4">
      <c r="D2413">
        <v>2411</v>
      </c>
    </row>
    <row r="2414" spans="4:4">
      <c r="D2414">
        <v>2412</v>
      </c>
    </row>
    <row r="2415" spans="4:4">
      <c r="D2415">
        <v>2413</v>
      </c>
    </row>
    <row r="2416" spans="4:4">
      <c r="D2416">
        <v>2414</v>
      </c>
    </row>
    <row r="2417" spans="4:4">
      <c r="D2417">
        <v>2415</v>
      </c>
    </row>
    <row r="2418" spans="4:4">
      <c r="D2418">
        <v>2416</v>
      </c>
    </row>
    <row r="2419" spans="4:4">
      <c r="D2419">
        <v>2417</v>
      </c>
    </row>
    <row r="2420" spans="4:4">
      <c r="D2420">
        <v>2418</v>
      </c>
    </row>
    <row r="2421" spans="4:4">
      <c r="D2421">
        <v>2419</v>
      </c>
    </row>
    <row r="2422" spans="4:4">
      <c r="D2422">
        <v>2420</v>
      </c>
    </row>
    <row r="2423" spans="4:4">
      <c r="D2423">
        <v>2421</v>
      </c>
    </row>
    <row r="2424" spans="4:4">
      <c r="D2424">
        <v>2422</v>
      </c>
    </row>
    <row r="2425" spans="4:4">
      <c r="D2425">
        <v>2423</v>
      </c>
    </row>
    <row r="2426" spans="4:4">
      <c r="D2426">
        <v>2424</v>
      </c>
    </row>
    <row r="2427" spans="4:4">
      <c r="D2427">
        <v>2425</v>
      </c>
    </row>
    <row r="2428" spans="4:4">
      <c r="D2428">
        <v>2426</v>
      </c>
    </row>
    <row r="2429" spans="4:4">
      <c r="D2429">
        <v>2427</v>
      </c>
    </row>
    <row r="2430" spans="4:4">
      <c r="D2430">
        <v>2428</v>
      </c>
    </row>
    <row r="2431" spans="4:4">
      <c r="D2431">
        <v>2429</v>
      </c>
    </row>
    <row r="2432" spans="4:4">
      <c r="D2432">
        <v>2430</v>
      </c>
    </row>
    <row r="2433" spans="4:4">
      <c r="D2433">
        <v>2431</v>
      </c>
    </row>
    <row r="2434" spans="4:4">
      <c r="D2434">
        <v>2432</v>
      </c>
    </row>
    <row r="2435" spans="4:4">
      <c r="D2435">
        <v>2433</v>
      </c>
    </row>
    <row r="2436" spans="4:4">
      <c r="D2436">
        <v>2434</v>
      </c>
    </row>
    <row r="2437" spans="4:4">
      <c r="D2437">
        <v>2435</v>
      </c>
    </row>
    <row r="2438" spans="4:4">
      <c r="D2438">
        <v>2436</v>
      </c>
    </row>
    <row r="2439" spans="4:4">
      <c r="D2439">
        <v>2437</v>
      </c>
    </row>
    <row r="2440" spans="4:4">
      <c r="D2440">
        <v>2438</v>
      </c>
    </row>
    <row r="2441" spans="4:4">
      <c r="D2441">
        <v>2439</v>
      </c>
    </row>
    <row r="2442" spans="4:4">
      <c r="D2442">
        <v>2440</v>
      </c>
    </row>
    <row r="2443" spans="4:4">
      <c r="D2443">
        <v>2441</v>
      </c>
    </row>
    <row r="2444" spans="4:4">
      <c r="D2444">
        <v>2442</v>
      </c>
    </row>
    <row r="2445" spans="4:4">
      <c r="D2445">
        <v>2443</v>
      </c>
    </row>
    <row r="2446" spans="4:4">
      <c r="D2446">
        <v>2444</v>
      </c>
    </row>
    <row r="2447" spans="4:4">
      <c r="D2447">
        <v>2445</v>
      </c>
    </row>
    <row r="2448" spans="4:4">
      <c r="D2448">
        <v>2446</v>
      </c>
    </row>
    <row r="2449" spans="4:4">
      <c r="D2449">
        <v>2447</v>
      </c>
    </row>
    <row r="2450" spans="4:4">
      <c r="D2450">
        <v>2448</v>
      </c>
    </row>
    <row r="2451" spans="4:4">
      <c r="D2451">
        <v>2449</v>
      </c>
    </row>
    <row r="2452" spans="4:4">
      <c r="D2452">
        <v>2450</v>
      </c>
    </row>
    <row r="2453" spans="4:4">
      <c r="D2453">
        <v>2451</v>
      </c>
    </row>
    <row r="2454" spans="4:4">
      <c r="D2454">
        <v>2452</v>
      </c>
    </row>
    <row r="2455" spans="4:4">
      <c r="D2455">
        <v>2453</v>
      </c>
    </row>
    <row r="2456" spans="4:4">
      <c r="D2456">
        <v>2454</v>
      </c>
    </row>
    <row r="2457" spans="4:4">
      <c r="D2457">
        <v>2455</v>
      </c>
    </row>
    <row r="2458" spans="4:4">
      <c r="D2458">
        <v>2456</v>
      </c>
    </row>
    <row r="2459" spans="4:4">
      <c r="D2459">
        <v>2457</v>
      </c>
    </row>
    <row r="2460" spans="4:4">
      <c r="D2460">
        <v>2458</v>
      </c>
    </row>
    <row r="2461" spans="4:4">
      <c r="D2461">
        <v>2459</v>
      </c>
    </row>
    <row r="2462" spans="4:4">
      <c r="D2462">
        <v>2460</v>
      </c>
    </row>
    <row r="2463" spans="4:4">
      <c r="D2463">
        <v>2461</v>
      </c>
    </row>
    <row r="2464" spans="4:4">
      <c r="D2464">
        <v>2462</v>
      </c>
    </row>
    <row r="2465" spans="4:4">
      <c r="D2465">
        <v>2463</v>
      </c>
    </row>
    <row r="2466" spans="4:4">
      <c r="D2466">
        <v>2464</v>
      </c>
    </row>
    <row r="2467" spans="4:4">
      <c r="D2467">
        <v>2465</v>
      </c>
    </row>
    <row r="2468" spans="4:4">
      <c r="D2468">
        <v>2466</v>
      </c>
    </row>
    <row r="2469" spans="4:4">
      <c r="D2469">
        <v>2467</v>
      </c>
    </row>
    <row r="2470" spans="4:4">
      <c r="D2470">
        <v>2468</v>
      </c>
    </row>
    <row r="2471" spans="4:4">
      <c r="D2471">
        <v>2469</v>
      </c>
    </row>
    <row r="2472" spans="4:4">
      <c r="D2472">
        <v>2470</v>
      </c>
    </row>
    <row r="2473" spans="4:4">
      <c r="D2473">
        <v>2471</v>
      </c>
    </row>
    <row r="2474" spans="4:4">
      <c r="D2474">
        <v>2472</v>
      </c>
    </row>
    <row r="2475" spans="4:4">
      <c r="D2475">
        <v>2473</v>
      </c>
    </row>
    <row r="2476" spans="4:4">
      <c r="D2476">
        <v>2474</v>
      </c>
    </row>
    <row r="2477" spans="4:4">
      <c r="D2477">
        <v>2475</v>
      </c>
    </row>
    <row r="2478" spans="4:4">
      <c r="D2478">
        <v>2476</v>
      </c>
    </row>
    <row r="2479" spans="4:4">
      <c r="D2479">
        <v>2477</v>
      </c>
    </row>
    <row r="2480" spans="4:4">
      <c r="D2480">
        <v>2478</v>
      </c>
    </row>
    <row r="2481" spans="4:4">
      <c r="D2481">
        <v>2479</v>
      </c>
    </row>
    <row r="2482" spans="4:4">
      <c r="D2482">
        <v>2480</v>
      </c>
    </row>
    <row r="2483" spans="4:4">
      <c r="D2483">
        <v>2481</v>
      </c>
    </row>
    <row r="2484" spans="4:4">
      <c r="D2484">
        <v>2482</v>
      </c>
    </row>
    <row r="2485" spans="4:4">
      <c r="D2485">
        <v>2483</v>
      </c>
    </row>
    <row r="2486" spans="4:4">
      <c r="D2486">
        <v>2484</v>
      </c>
    </row>
    <row r="2487" spans="4:4">
      <c r="D2487">
        <v>2485</v>
      </c>
    </row>
    <row r="2488" spans="4:4">
      <c r="D2488">
        <v>2486</v>
      </c>
    </row>
    <row r="2489" spans="4:4">
      <c r="D2489">
        <v>2487</v>
      </c>
    </row>
    <row r="2490" spans="4:4">
      <c r="D2490">
        <v>2488</v>
      </c>
    </row>
    <row r="2491" spans="4:4">
      <c r="D2491">
        <v>2489</v>
      </c>
    </row>
    <row r="2492" spans="4:4">
      <c r="D2492">
        <v>2490</v>
      </c>
    </row>
    <row r="2493" spans="4:4">
      <c r="D2493">
        <v>2491</v>
      </c>
    </row>
    <row r="2494" spans="4:4">
      <c r="D2494">
        <v>2492</v>
      </c>
    </row>
    <row r="2495" spans="4:4">
      <c r="D2495">
        <v>2493</v>
      </c>
    </row>
    <row r="2496" spans="4:4">
      <c r="D2496">
        <v>2494</v>
      </c>
    </row>
    <row r="2497" spans="4:4">
      <c r="D2497">
        <v>2495</v>
      </c>
    </row>
    <row r="2498" spans="4:4">
      <c r="D2498">
        <v>2496</v>
      </c>
    </row>
    <row r="2499" spans="4:4">
      <c r="D2499">
        <v>2497</v>
      </c>
    </row>
    <row r="2500" spans="4:4">
      <c r="D2500">
        <v>2498</v>
      </c>
    </row>
    <row r="2501" spans="4:4">
      <c r="D2501">
        <v>2499</v>
      </c>
    </row>
    <row r="2502" spans="4:4">
      <c r="D2502">
        <v>2500</v>
      </c>
    </row>
    <row r="2503" spans="4:4">
      <c r="D2503">
        <v>2501</v>
      </c>
    </row>
    <row r="2504" spans="4:4">
      <c r="D2504">
        <v>2502</v>
      </c>
    </row>
    <row r="2505" spans="4:4">
      <c r="D2505">
        <v>2503</v>
      </c>
    </row>
    <row r="2506" spans="4:4">
      <c r="D2506">
        <v>2504</v>
      </c>
    </row>
    <row r="2507" spans="4:4">
      <c r="D2507">
        <v>2505</v>
      </c>
    </row>
    <row r="2508" spans="4:4">
      <c r="D2508">
        <v>2506</v>
      </c>
    </row>
    <row r="2509" spans="4:4">
      <c r="D2509">
        <v>2507</v>
      </c>
    </row>
    <row r="2510" spans="4:4">
      <c r="D2510">
        <v>2508</v>
      </c>
    </row>
    <row r="2511" spans="4:4">
      <c r="D2511">
        <v>2509</v>
      </c>
    </row>
    <row r="2512" spans="4:4">
      <c r="D2512">
        <v>2510</v>
      </c>
    </row>
    <row r="2513" spans="4:4">
      <c r="D2513">
        <v>2511</v>
      </c>
    </row>
    <row r="2514" spans="4:4">
      <c r="D2514">
        <v>2512</v>
      </c>
    </row>
    <row r="2515" spans="4:4">
      <c r="D2515">
        <v>2513</v>
      </c>
    </row>
    <row r="2516" spans="4:4">
      <c r="D2516">
        <v>2514</v>
      </c>
    </row>
    <row r="2517" spans="4:4">
      <c r="D2517">
        <v>2515</v>
      </c>
    </row>
    <row r="2518" spans="4:4">
      <c r="D2518">
        <v>2516</v>
      </c>
    </row>
    <row r="2519" spans="4:4">
      <c r="D2519">
        <v>2517</v>
      </c>
    </row>
    <row r="2520" spans="4:4">
      <c r="D2520">
        <v>2518</v>
      </c>
    </row>
    <row r="2521" spans="4:4">
      <c r="D2521">
        <v>2519</v>
      </c>
    </row>
    <row r="2522" spans="4:4">
      <c r="D2522">
        <v>2520</v>
      </c>
    </row>
    <row r="2523" spans="4:4">
      <c r="D2523">
        <v>2521</v>
      </c>
    </row>
    <row r="2524" spans="4:4">
      <c r="D2524">
        <v>2522</v>
      </c>
    </row>
    <row r="2525" spans="4:4">
      <c r="D2525">
        <v>2523</v>
      </c>
    </row>
    <row r="2526" spans="4:4">
      <c r="D2526">
        <v>2524</v>
      </c>
    </row>
    <row r="2527" spans="4:4">
      <c r="D2527">
        <v>2525</v>
      </c>
    </row>
    <row r="2528" spans="4:4">
      <c r="D2528">
        <v>2526</v>
      </c>
    </row>
    <row r="2529" spans="4:4">
      <c r="D2529">
        <v>2527</v>
      </c>
    </row>
    <row r="2530" spans="4:4">
      <c r="D2530">
        <v>2528</v>
      </c>
    </row>
    <row r="2531" spans="4:4">
      <c r="D2531">
        <v>2529</v>
      </c>
    </row>
    <row r="2532" spans="4:4">
      <c r="D2532">
        <v>2530</v>
      </c>
    </row>
    <row r="2533" spans="4:4">
      <c r="D2533">
        <v>2531</v>
      </c>
    </row>
    <row r="2534" spans="4:4">
      <c r="D2534">
        <v>2532</v>
      </c>
    </row>
    <row r="2535" spans="4:4">
      <c r="D2535">
        <v>2533</v>
      </c>
    </row>
    <row r="2536" spans="4:4">
      <c r="D2536">
        <v>2534</v>
      </c>
    </row>
    <row r="2537" spans="4:4">
      <c r="D2537">
        <v>2535</v>
      </c>
    </row>
    <row r="2538" spans="4:4">
      <c r="D2538">
        <v>2536</v>
      </c>
    </row>
    <row r="2539" spans="4:4">
      <c r="D2539">
        <v>2537</v>
      </c>
    </row>
    <row r="2540" spans="4:4">
      <c r="D2540">
        <v>2538</v>
      </c>
    </row>
    <row r="2541" spans="4:4">
      <c r="D2541">
        <v>2539</v>
      </c>
    </row>
    <row r="2542" spans="4:4">
      <c r="D2542">
        <v>2540</v>
      </c>
    </row>
    <row r="2543" spans="4:4">
      <c r="D2543">
        <v>2541</v>
      </c>
    </row>
    <row r="2544" spans="4:4">
      <c r="D2544">
        <v>2542</v>
      </c>
    </row>
    <row r="2545" spans="4:4">
      <c r="D2545">
        <v>2543</v>
      </c>
    </row>
    <row r="2546" spans="4:4">
      <c r="D2546">
        <v>2544</v>
      </c>
    </row>
    <row r="2547" spans="4:4">
      <c r="D2547">
        <v>2545</v>
      </c>
    </row>
    <row r="2548" spans="4:4">
      <c r="D2548">
        <v>2546</v>
      </c>
    </row>
    <row r="2549" spans="4:4">
      <c r="D2549">
        <v>2547</v>
      </c>
    </row>
    <row r="2550" spans="4:4">
      <c r="D2550">
        <v>2548</v>
      </c>
    </row>
    <row r="2551" spans="4:4">
      <c r="D2551">
        <v>2549</v>
      </c>
    </row>
    <row r="2552" spans="4:4">
      <c r="D2552">
        <v>2550</v>
      </c>
    </row>
    <row r="2553" spans="4:4">
      <c r="D2553">
        <v>2551</v>
      </c>
    </row>
    <row r="2554" spans="4:4">
      <c r="D2554">
        <v>2552</v>
      </c>
    </row>
    <row r="2555" spans="4:4">
      <c r="D2555">
        <v>2553</v>
      </c>
    </row>
    <row r="2556" spans="4:4">
      <c r="D2556">
        <v>2554</v>
      </c>
    </row>
    <row r="2557" spans="4:4">
      <c r="D2557">
        <v>2555</v>
      </c>
    </row>
    <row r="2558" spans="4:4">
      <c r="D2558">
        <v>2556</v>
      </c>
    </row>
    <row r="2559" spans="4:4">
      <c r="D2559">
        <v>2557</v>
      </c>
    </row>
    <row r="2560" spans="4:4">
      <c r="D2560">
        <v>2558</v>
      </c>
    </row>
    <row r="2561" spans="4:4">
      <c r="D2561">
        <v>2559</v>
      </c>
    </row>
    <row r="2562" spans="4:4">
      <c r="D2562">
        <v>2560</v>
      </c>
    </row>
    <row r="2563" spans="4:4">
      <c r="D2563">
        <v>2561</v>
      </c>
    </row>
    <row r="2564" spans="4:4">
      <c r="D2564">
        <v>2562</v>
      </c>
    </row>
    <row r="2565" spans="4:4">
      <c r="D2565">
        <v>2563</v>
      </c>
    </row>
    <row r="2566" spans="4:4">
      <c r="D2566">
        <v>2564</v>
      </c>
    </row>
    <row r="2567" spans="4:4">
      <c r="D2567">
        <v>2565</v>
      </c>
    </row>
    <row r="2568" spans="4:4">
      <c r="D2568">
        <v>2566</v>
      </c>
    </row>
    <row r="2569" spans="4:4">
      <c r="D2569">
        <v>2567</v>
      </c>
    </row>
    <row r="2570" spans="4:4">
      <c r="D2570">
        <v>2568</v>
      </c>
    </row>
    <row r="2571" spans="4:4">
      <c r="D2571">
        <v>2569</v>
      </c>
    </row>
    <row r="2572" spans="4:4">
      <c r="D2572">
        <v>2570</v>
      </c>
    </row>
    <row r="2573" spans="4:4">
      <c r="D2573">
        <v>2571</v>
      </c>
    </row>
    <row r="2574" spans="4:4">
      <c r="D2574">
        <v>2572</v>
      </c>
    </row>
    <row r="2575" spans="4:4">
      <c r="D2575">
        <v>2573</v>
      </c>
    </row>
    <row r="2576" spans="4:4">
      <c r="D2576">
        <v>2574</v>
      </c>
    </row>
    <row r="2577" spans="4:4">
      <c r="D2577">
        <v>2575</v>
      </c>
    </row>
    <row r="2578" spans="4:4">
      <c r="D2578">
        <v>2576</v>
      </c>
    </row>
    <row r="2579" spans="4:4">
      <c r="D2579">
        <v>2577</v>
      </c>
    </row>
    <row r="2580" spans="4:4">
      <c r="D2580">
        <v>2578</v>
      </c>
    </row>
    <row r="2581" spans="4:4">
      <c r="D2581">
        <v>2579</v>
      </c>
    </row>
    <row r="2582" spans="4:4">
      <c r="D2582">
        <v>2580</v>
      </c>
    </row>
    <row r="2583" spans="4:4">
      <c r="D2583">
        <v>2581</v>
      </c>
    </row>
    <row r="2584" spans="4:4">
      <c r="D2584">
        <v>2582</v>
      </c>
    </row>
    <row r="2585" spans="4:4">
      <c r="D2585">
        <v>2583</v>
      </c>
    </row>
    <row r="2586" spans="4:4">
      <c r="D2586">
        <v>2584</v>
      </c>
    </row>
    <row r="2587" spans="4:4">
      <c r="D2587">
        <v>2585</v>
      </c>
    </row>
    <row r="2588" spans="4:4">
      <c r="D2588">
        <v>2586</v>
      </c>
    </row>
    <row r="2589" spans="4:4">
      <c r="D2589">
        <v>2587</v>
      </c>
    </row>
    <row r="2590" spans="4:4">
      <c r="D2590">
        <v>2588</v>
      </c>
    </row>
    <row r="2591" spans="4:4">
      <c r="D2591">
        <v>2589</v>
      </c>
    </row>
    <row r="2592" spans="4:4">
      <c r="D2592">
        <v>2590</v>
      </c>
    </row>
    <row r="2593" spans="4:4">
      <c r="D2593">
        <v>2591</v>
      </c>
    </row>
    <row r="2594" spans="4:4">
      <c r="D2594">
        <v>2592</v>
      </c>
    </row>
    <row r="2595" spans="4:4">
      <c r="D2595">
        <v>2593</v>
      </c>
    </row>
    <row r="2596" spans="4:4">
      <c r="D2596">
        <v>2594</v>
      </c>
    </row>
    <row r="2597" spans="4:4">
      <c r="D2597">
        <v>2595</v>
      </c>
    </row>
    <row r="2598" spans="4:4">
      <c r="D2598">
        <v>2596</v>
      </c>
    </row>
    <row r="2599" spans="4:4">
      <c r="D2599">
        <v>2597</v>
      </c>
    </row>
    <row r="2600" spans="4:4">
      <c r="D2600">
        <v>2598</v>
      </c>
    </row>
    <row r="2601" spans="4:4">
      <c r="D2601">
        <v>2599</v>
      </c>
    </row>
    <row r="2602" spans="4:4">
      <c r="D2602">
        <v>2600</v>
      </c>
    </row>
    <row r="2603" spans="4:4">
      <c r="D2603">
        <v>2601</v>
      </c>
    </row>
    <row r="2604" spans="4:4">
      <c r="D2604">
        <v>2602</v>
      </c>
    </row>
    <row r="2605" spans="4:4">
      <c r="D2605">
        <v>2603</v>
      </c>
    </row>
    <row r="2606" spans="4:4">
      <c r="D2606">
        <v>2604</v>
      </c>
    </row>
    <row r="2607" spans="4:4">
      <c r="D2607">
        <v>2605</v>
      </c>
    </row>
    <row r="2608" spans="4:4">
      <c r="D2608">
        <v>2606</v>
      </c>
    </row>
    <row r="2609" spans="4:4">
      <c r="D2609">
        <v>2607</v>
      </c>
    </row>
    <row r="2610" spans="4:4">
      <c r="D2610">
        <v>2608</v>
      </c>
    </row>
    <row r="2611" spans="4:4">
      <c r="D2611">
        <v>2609</v>
      </c>
    </row>
    <row r="2612" spans="4:4">
      <c r="D2612">
        <v>2610</v>
      </c>
    </row>
    <row r="2613" spans="4:4">
      <c r="D2613">
        <v>2611</v>
      </c>
    </row>
    <row r="2614" spans="4:4">
      <c r="D2614">
        <v>2612</v>
      </c>
    </row>
    <row r="2615" spans="4:4">
      <c r="D2615">
        <v>2613</v>
      </c>
    </row>
    <row r="2616" spans="4:4">
      <c r="D2616">
        <v>2614</v>
      </c>
    </row>
    <row r="2617" spans="4:4">
      <c r="D2617">
        <v>2615</v>
      </c>
    </row>
    <row r="2618" spans="4:4">
      <c r="D2618">
        <v>2616</v>
      </c>
    </row>
    <row r="2619" spans="4:4">
      <c r="D2619">
        <v>2617</v>
      </c>
    </row>
    <row r="2620" spans="4:4">
      <c r="D2620">
        <v>2618</v>
      </c>
    </row>
    <row r="2621" spans="4:4">
      <c r="D2621">
        <v>2619</v>
      </c>
    </row>
    <row r="2622" spans="4:4">
      <c r="D2622">
        <v>2620</v>
      </c>
    </row>
    <row r="2623" spans="4:4">
      <c r="D2623">
        <v>2621</v>
      </c>
    </row>
    <row r="2624" spans="4:4">
      <c r="D2624">
        <v>2622</v>
      </c>
    </row>
    <row r="2625" spans="4:4">
      <c r="D2625">
        <v>2623</v>
      </c>
    </row>
    <row r="2626" spans="4:4">
      <c r="D2626">
        <v>2624</v>
      </c>
    </row>
    <row r="2627" spans="4:4">
      <c r="D2627">
        <v>2625</v>
      </c>
    </row>
    <row r="2628" spans="4:4">
      <c r="D2628">
        <v>2626</v>
      </c>
    </row>
    <row r="2629" spans="4:4">
      <c r="D2629">
        <v>2627</v>
      </c>
    </row>
    <row r="2630" spans="4:4">
      <c r="D2630">
        <v>2628</v>
      </c>
    </row>
    <row r="2631" spans="4:4">
      <c r="D2631">
        <v>2629</v>
      </c>
    </row>
    <row r="2632" spans="4:4">
      <c r="D2632">
        <v>2630</v>
      </c>
    </row>
    <row r="2633" spans="4:4">
      <c r="D2633">
        <v>2631</v>
      </c>
    </row>
    <row r="2634" spans="4:4">
      <c r="D2634">
        <v>2632</v>
      </c>
    </row>
    <row r="2635" spans="4:4">
      <c r="D2635">
        <v>2633</v>
      </c>
    </row>
    <row r="2636" spans="4:4">
      <c r="D2636">
        <v>2634</v>
      </c>
    </row>
    <row r="2637" spans="4:4">
      <c r="D2637">
        <v>2635</v>
      </c>
    </row>
    <row r="2638" spans="4:4">
      <c r="D2638">
        <v>2636</v>
      </c>
    </row>
    <row r="2639" spans="4:4">
      <c r="D2639">
        <v>2637</v>
      </c>
    </row>
    <row r="2640" spans="4:4">
      <c r="D2640">
        <v>2638</v>
      </c>
    </row>
    <row r="2641" spans="4:4">
      <c r="D2641">
        <v>2639</v>
      </c>
    </row>
    <row r="2642" spans="4:4">
      <c r="D2642">
        <v>2640</v>
      </c>
    </row>
    <row r="2643" spans="4:4">
      <c r="D2643">
        <v>2641</v>
      </c>
    </row>
    <row r="2644" spans="4:4">
      <c r="D2644">
        <v>2642</v>
      </c>
    </row>
    <row r="2645" spans="4:4">
      <c r="D2645">
        <v>2643</v>
      </c>
    </row>
    <row r="2646" spans="4:4">
      <c r="D2646">
        <v>2644</v>
      </c>
    </row>
    <row r="2647" spans="4:4">
      <c r="D2647">
        <v>2645</v>
      </c>
    </row>
    <row r="2648" spans="4:4">
      <c r="D2648">
        <v>2646</v>
      </c>
    </row>
    <row r="2649" spans="4:4">
      <c r="D2649">
        <v>2647</v>
      </c>
    </row>
    <row r="2650" spans="4:4">
      <c r="D2650">
        <v>2648</v>
      </c>
    </row>
    <row r="2651" spans="4:4">
      <c r="D2651">
        <v>2649</v>
      </c>
    </row>
    <row r="2652" spans="4:4">
      <c r="D2652">
        <v>2650</v>
      </c>
    </row>
    <row r="2653" spans="4:4">
      <c r="D2653">
        <v>2651</v>
      </c>
    </row>
    <row r="2654" spans="4:4">
      <c r="D2654">
        <v>2652</v>
      </c>
    </row>
    <row r="2655" spans="4:4">
      <c r="D2655">
        <v>2653</v>
      </c>
    </row>
    <row r="2656" spans="4:4">
      <c r="D2656">
        <v>2654</v>
      </c>
    </row>
    <row r="2657" spans="4:4">
      <c r="D2657">
        <v>2655</v>
      </c>
    </row>
    <row r="2658" spans="4:4">
      <c r="D2658">
        <v>2656</v>
      </c>
    </row>
    <row r="2659" spans="4:4">
      <c r="D2659">
        <v>2657</v>
      </c>
    </row>
    <row r="2660" spans="4:4">
      <c r="D2660">
        <v>2658</v>
      </c>
    </row>
    <row r="2661" spans="4:4">
      <c r="D2661">
        <v>2659</v>
      </c>
    </row>
    <row r="2662" spans="4:4">
      <c r="D2662">
        <v>2660</v>
      </c>
    </row>
    <row r="2663" spans="4:4">
      <c r="D2663">
        <v>2661</v>
      </c>
    </row>
    <row r="2664" spans="4:4">
      <c r="D2664">
        <v>2662</v>
      </c>
    </row>
    <row r="2665" spans="4:4">
      <c r="D2665">
        <v>2663</v>
      </c>
    </row>
    <row r="2666" spans="4:4">
      <c r="D2666">
        <v>2664</v>
      </c>
    </row>
    <row r="2667" spans="4:4">
      <c r="D2667">
        <v>2665</v>
      </c>
    </row>
    <row r="2668" spans="4:4">
      <c r="D2668">
        <v>2666</v>
      </c>
    </row>
    <row r="2669" spans="4:4">
      <c r="D2669">
        <v>2667</v>
      </c>
    </row>
    <row r="2670" spans="4:4">
      <c r="D2670">
        <v>2668</v>
      </c>
    </row>
    <row r="2671" spans="4:4">
      <c r="D2671">
        <v>2669</v>
      </c>
    </row>
    <row r="2672" spans="4:4">
      <c r="D2672">
        <v>2670</v>
      </c>
    </row>
    <row r="2673" spans="4:4">
      <c r="D2673">
        <v>2671</v>
      </c>
    </row>
    <row r="2674" spans="4:4">
      <c r="D2674">
        <v>2672</v>
      </c>
    </row>
    <row r="2675" spans="4:4">
      <c r="D2675">
        <v>2673</v>
      </c>
    </row>
    <row r="2676" spans="4:4">
      <c r="D2676">
        <v>2674</v>
      </c>
    </row>
    <row r="2677" spans="4:4">
      <c r="D2677">
        <v>2675</v>
      </c>
    </row>
    <row r="2678" spans="4:4">
      <c r="D2678">
        <v>2676</v>
      </c>
    </row>
    <row r="2679" spans="4:4">
      <c r="D2679">
        <v>2677</v>
      </c>
    </row>
    <row r="2680" spans="4:4">
      <c r="D2680">
        <v>2678</v>
      </c>
    </row>
    <row r="2681" spans="4:4">
      <c r="D2681">
        <v>2679</v>
      </c>
    </row>
    <row r="2682" spans="4:4">
      <c r="D2682">
        <v>2680</v>
      </c>
    </row>
    <row r="2683" spans="4:4">
      <c r="D2683">
        <v>2681</v>
      </c>
    </row>
    <row r="2684" spans="4:4">
      <c r="D2684">
        <v>2682</v>
      </c>
    </row>
    <row r="2685" spans="4:4">
      <c r="D2685">
        <v>2683</v>
      </c>
    </row>
    <row r="2686" spans="4:4">
      <c r="D2686">
        <v>2684</v>
      </c>
    </row>
    <row r="2687" spans="4:4">
      <c r="D2687">
        <v>2685</v>
      </c>
    </row>
    <row r="2688" spans="4:4">
      <c r="D2688">
        <v>2686</v>
      </c>
    </row>
    <row r="2689" spans="4:4">
      <c r="D2689">
        <v>2687</v>
      </c>
    </row>
    <row r="2690" spans="4:4">
      <c r="D2690">
        <v>2688</v>
      </c>
    </row>
    <row r="2691" spans="4:4">
      <c r="D2691">
        <v>2689</v>
      </c>
    </row>
    <row r="2692" spans="4:4">
      <c r="D2692">
        <v>2690</v>
      </c>
    </row>
    <row r="2693" spans="4:4">
      <c r="D2693">
        <v>2691</v>
      </c>
    </row>
    <row r="2694" spans="4:4">
      <c r="D2694">
        <v>2692</v>
      </c>
    </row>
    <row r="2695" spans="4:4">
      <c r="D2695">
        <v>2693</v>
      </c>
    </row>
    <row r="2696" spans="4:4">
      <c r="D2696">
        <v>2694</v>
      </c>
    </row>
    <row r="2697" spans="4:4">
      <c r="D2697">
        <v>2695</v>
      </c>
    </row>
    <row r="2698" spans="4:4">
      <c r="D2698">
        <v>2696</v>
      </c>
    </row>
    <row r="2699" spans="4:4">
      <c r="D2699">
        <v>2697</v>
      </c>
    </row>
    <row r="2700" spans="4:4">
      <c r="D2700">
        <v>2698</v>
      </c>
    </row>
    <row r="2701" spans="4:4">
      <c r="D2701">
        <v>2699</v>
      </c>
    </row>
    <row r="2702" spans="4:4">
      <c r="D2702">
        <v>2700</v>
      </c>
    </row>
    <row r="2703" spans="4:4">
      <c r="D2703">
        <v>2701</v>
      </c>
    </row>
    <row r="2704" spans="4:4">
      <c r="D2704">
        <v>2702</v>
      </c>
    </row>
    <row r="2705" spans="4:4">
      <c r="D2705">
        <v>2703</v>
      </c>
    </row>
    <row r="2706" spans="4:4">
      <c r="D2706">
        <v>2704</v>
      </c>
    </row>
    <row r="2707" spans="4:4">
      <c r="D2707">
        <v>2705</v>
      </c>
    </row>
    <row r="2708" spans="4:4">
      <c r="D2708">
        <v>2706</v>
      </c>
    </row>
    <row r="2709" spans="4:4">
      <c r="D2709">
        <v>2707</v>
      </c>
    </row>
    <row r="2710" spans="4:4">
      <c r="D2710">
        <v>2708</v>
      </c>
    </row>
    <row r="2711" spans="4:4">
      <c r="D2711">
        <v>2709</v>
      </c>
    </row>
    <row r="2712" spans="4:4">
      <c r="D2712">
        <v>2710</v>
      </c>
    </row>
    <row r="2713" spans="4:4">
      <c r="D2713">
        <v>2711</v>
      </c>
    </row>
    <row r="2714" spans="4:4">
      <c r="D2714">
        <v>2712</v>
      </c>
    </row>
    <row r="2715" spans="4:4">
      <c r="D2715">
        <v>2713</v>
      </c>
    </row>
    <row r="2716" spans="4:4">
      <c r="D2716">
        <v>2714</v>
      </c>
    </row>
    <row r="2717" spans="4:4">
      <c r="D2717">
        <v>2715</v>
      </c>
    </row>
    <row r="2718" spans="4:4">
      <c r="D2718">
        <v>2716</v>
      </c>
    </row>
    <row r="2719" spans="4:4">
      <c r="D2719">
        <v>2717</v>
      </c>
    </row>
    <row r="2720" spans="4:4">
      <c r="D2720">
        <v>2718</v>
      </c>
    </row>
    <row r="2721" spans="4:4">
      <c r="D2721">
        <v>2719</v>
      </c>
    </row>
    <row r="2722" spans="4:4">
      <c r="D2722">
        <v>2720</v>
      </c>
    </row>
    <row r="2723" spans="4:4">
      <c r="D2723">
        <v>2721</v>
      </c>
    </row>
    <row r="2724" spans="4:4">
      <c r="D2724">
        <v>2722</v>
      </c>
    </row>
    <row r="2725" spans="4:4">
      <c r="D2725">
        <v>2723</v>
      </c>
    </row>
    <row r="2726" spans="4:4">
      <c r="D2726">
        <v>2724</v>
      </c>
    </row>
    <row r="2727" spans="4:4">
      <c r="D2727">
        <v>2725</v>
      </c>
    </row>
    <row r="2728" spans="4:4">
      <c r="D2728">
        <v>2726</v>
      </c>
    </row>
    <row r="2729" spans="4:4">
      <c r="D2729">
        <v>2727</v>
      </c>
    </row>
    <row r="2730" spans="4:4">
      <c r="D2730">
        <v>2728</v>
      </c>
    </row>
    <row r="2731" spans="4:4">
      <c r="D2731">
        <v>2729</v>
      </c>
    </row>
    <row r="2732" spans="4:4">
      <c r="D2732">
        <v>2730</v>
      </c>
    </row>
    <row r="2733" spans="4:4">
      <c r="D2733">
        <v>2731</v>
      </c>
    </row>
    <row r="2734" spans="4:4">
      <c r="D2734">
        <v>2732</v>
      </c>
    </row>
    <row r="2735" spans="4:4">
      <c r="D2735">
        <v>2733</v>
      </c>
    </row>
    <row r="2736" spans="4:4">
      <c r="D2736">
        <v>2734</v>
      </c>
    </row>
    <row r="2737" spans="4:4">
      <c r="D2737">
        <v>2735</v>
      </c>
    </row>
    <row r="2738" spans="4:4">
      <c r="D2738">
        <v>2736</v>
      </c>
    </row>
    <row r="2739" spans="4:4">
      <c r="D2739">
        <v>2737</v>
      </c>
    </row>
    <row r="2740" spans="4:4">
      <c r="D2740">
        <v>2738</v>
      </c>
    </row>
    <row r="2741" spans="4:4">
      <c r="D2741">
        <v>2739</v>
      </c>
    </row>
    <row r="2742" spans="4:4">
      <c r="D2742">
        <v>2740</v>
      </c>
    </row>
    <row r="2743" spans="4:4">
      <c r="D2743">
        <v>2741</v>
      </c>
    </row>
    <row r="2744" spans="4:4">
      <c r="D2744">
        <v>2742</v>
      </c>
    </row>
    <row r="2745" spans="4:4">
      <c r="D2745">
        <v>2743</v>
      </c>
    </row>
    <row r="2746" spans="4:4">
      <c r="D2746">
        <v>2744</v>
      </c>
    </row>
    <row r="2747" spans="4:4">
      <c r="D2747">
        <v>2745</v>
      </c>
    </row>
    <row r="2748" spans="4:4">
      <c r="D2748">
        <v>2746</v>
      </c>
    </row>
    <row r="2749" spans="4:4">
      <c r="D2749">
        <v>2747</v>
      </c>
    </row>
    <row r="2750" spans="4:4">
      <c r="D2750">
        <v>2748</v>
      </c>
    </row>
    <row r="2751" spans="4:4">
      <c r="D2751">
        <v>2749</v>
      </c>
    </row>
    <row r="2752" spans="4:4">
      <c r="D2752">
        <v>2750</v>
      </c>
    </row>
    <row r="2753" spans="4:4">
      <c r="D2753">
        <v>2751</v>
      </c>
    </row>
    <row r="2754" spans="4:4">
      <c r="D2754">
        <v>2752</v>
      </c>
    </row>
    <row r="2755" spans="4:4">
      <c r="D2755">
        <v>2753</v>
      </c>
    </row>
    <row r="2756" spans="4:4">
      <c r="D2756">
        <v>2754</v>
      </c>
    </row>
    <row r="2757" spans="4:4">
      <c r="D2757">
        <v>2755</v>
      </c>
    </row>
    <row r="2758" spans="4:4">
      <c r="D2758">
        <v>2756</v>
      </c>
    </row>
    <row r="2759" spans="4:4">
      <c r="D2759">
        <v>2757</v>
      </c>
    </row>
    <row r="2760" spans="4:4">
      <c r="D2760">
        <v>2758</v>
      </c>
    </row>
    <row r="2761" spans="4:4">
      <c r="D2761">
        <v>2759</v>
      </c>
    </row>
    <row r="2762" spans="4:4">
      <c r="D2762">
        <v>2760</v>
      </c>
    </row>
    <row r="2763" spans="4:4">
      <c r="D2763">
        <v>2761</v>
      </c>
    </row>
    <row r="2764" spans="4:4">
      <c r="D2764">
        <v>2762</v>
      </c>
    </row>
    <row r="2765" spans="4:4">
      <c r="D2765">
        <v>2763</v>
      </c>
    </row>
    <row r="2766" spans="4:4">
      <c r="D2766">
        <v>2764</v>
      </c>
    </row>
    <row r="2767" spans="4:4">
      <c r="D2767">
        <v>2765</v>
      </c>
    </row>
    <row r="2768" spans="4:4">
      <c r="D2768">
        <v>2766</v>
      </c>
    </row>
    <row r="2769" spans="4:4">
      <c r="D2769">
        <v>2767</v>
      </c>
    </row>
    <row r="2770" spans="4:4">
      <c r="D2770">
        <v>2768</v>
      </c>
    </row>
    <row r="2771" spans="4:4">
      <c r="D2771">
        <v>2769</v>
      </c>
    </row>
    <row r="2772" spans="4:4">
      <c r="D2772">
        <v>2770</v>
      </c>
    </row>
    <row r="2773" spans="4:4">
      <c r="D2773">
        <v>2771</v>
      </c>
    </row>
    <row r="2774" spans="4:4">
      <c r="D2774">
        <v>2772</v>
      </c>
    </row>
    <row r="2775" spans="4:4">
      <c r="D2775">
        <v>2773</v>
      </c>
    </row>
    <row r="2776" spans="4:4">
      <c r="D2776">
        <v>2774</v>
      </c>
    </row>
    <row r="2777" spans="4:4">
      <c r="D2777">
        <v>2775</v>
      </c>
    </row>
    <row r="2778" spans="4:4">
      <c r="D2778">
        <v>2776</v>
      </c>
    </row>
    <row r="2779" spans="4:4">
      <c r="D2779">
        <v>2777</v>
      </c>
    </row>
    <row r="2780" spans="4:4">
      <c r="D2780">
        <v>2778</v>
      </c>
    </row>
    <row r="2781" spans="4:4">
      <c r="D2781">
        <v>2779</v>
      </c>
    </row>
    <row r="2782" spans="4:4">
      <c r="D2782">
        <v>2780</v>
      </c>
    </row>
    <row r="2783" spans="4:4">
      <c r="D2783">
        <v>2781</v>
      </c>
    </row>
    <row r="2784" spans="4:4">
      <c r="D2784">
        <v>2782</v>
      </c>
    </row>
    <row r="2785" spans="4:4">
      <c r="D2785">
        <v>2783</v>
      </c>
    </row>
    <row r="2786" spans="4:4">
      <c r="D2786">
        <v>2784</v>
      </c>
    </row>
    <row r="2787" spans="4:4">
      <c r="D2787">
        <v>2785</v>
      </c>
    </row>
    <row r="2788" spans="4:4">
      <c r="D2788">
        <v>2786</v>
      </c>
    </row>
    <row r="2789" spans="4:4">
      <c r="D2789">
        <v>2787</v>
      </c>
    </row>
    <row r="2790" spans="4:4">
      <c r="D2790">
        <v>2788</v>
      </c>
    </row>
    <row r="2791" spans="4:4">
      <c r="D2791">
        <v>2789</v>
      </c>
    </row>
    <row r="2792" spans="4:4">
      <c r="D2792">
        <v>2790</v>
      </c>
    </row>
    <row r="2793" spans="4:4">
      <c r="D2793">
        <v>2791</v>
      </c>
    </row>
    <row r="2794" spans="4:4">
      <c r="D2794">
        <v>2792</v>
      </c>
    </row>
    <row r="2795" spans="4:4">
      <c r="D2795">
        <v>2793</v>
      </c>
    </row>
    <row r="2796" spans="4:4">
      <c r="D2796">
        <v>2794</v>
      </c>
    </row>
    <row r="2797" spans="4:4">
      <c r="D2797">
        <v>2795</v>
      </c>
    </row>
    <row r="2798" spans="4:4">
      <c r="D2798">
        <v>2796</v>
      </c>
    </row>
    <row r="2799" spans="4:4">
      <c r="D2799">
        <v>2797</v>
      </c>
    </row>
    <row r="2800" spans="4:4">
      <c r="D2800">
        <v>2798</v>
      </c>
    </row>
    <row r="2801" spans="4:4">
      <c r="D2801">
        <v>2799</v>
      </c>
    </row>
    <row r="2802" spans="4:4">
      <c r="D2802">
        <v>2800</v>
      </c>
    </row>
    <row r="2803" spans="4:4">
      <c r="D2803">
        <v>2801</v>
      </c>
    </row>
    <row r="2804" spans="4:4">
      <c r="D2804">
        <v>2802</v>
      </c>
    </row>
    <row r="2805" spans="4:4">
      <c r="D2805">
        <v>2803</v>
      </c>
    </row>
    <row r="2806" spans="4:4">
      <c r="D2806">
        <v>2804</v>
      </c>
    </row>
    <row r="2807" spans="4:4">
      <c r="D2807">
        <v>2805</v>
      </c>
    </row>
    <row r="2808" spans="4:4">
      <c r="D2808">
        <v>2806</v>
      </c>
    </row>
    <row r="2809" spans="4:4">
      <c r="D2809">
        <v>2807</v>
      </c>
    </row>
    <row r="2810" spans="4:4">
      <c r="D2810">
        <v>2808</v>
      </c>
    </row>
    <row r="2811" spans="4:4">
      <c r="D2811">
        <v>2809</v>
      </c>
    </row>
    <row r="2812" spans="4:4">
      <c r="D2812">
        <v>2810</v>
      </c>
    </row>
    <row r="2813" spans="4:4">
      <c r="D2813">
        <v>2811</v>
      </c>
    </row>
    <row r="2814" spans="4:4">
      <c r="D2814">
        <v>2812</v>
      </c>
    </row>
    <row r="2815" spans="4:4">
      <c r="D2815">
        <v>2813</v>
      </c>
    </row>
    <row r="2816" spans="4:4">
      <c r="D2816">
        <v>2814</v>
      </c>
    </row>
    <row r="2817" spans="4:4">
      <c r="D2817">
        <v>2815</v>
      </c>
    </row>
    <row r="2818" spans="4:4">
      <c r="D2818">
        <v>2816</v>
      </c>
    </row>
    <row r="2819" spans="4:4">
      <c r="D2819">
        <v>2817</v>
      </c>
    </row>
    <row r="2820" spans="4:4">
      <c r="D2820">
        <v>2818</v>
      </c>
    </row>
    <row r="2821" spans="4:4">
      <c r="D2821">
        <v>2819</v>
      </c>
    </row>
    <row r="2822" spans="4:4">
      <c r="D2822">
        <v>2820</v>
      </c>
    </row>
    <row r="2823" spans="4:4">
      <c r="D2823">
        <v>2821</v>
      </c>
    </row>
    <row r="2824" spans="4:4">
      <c r="D2824">
        <v>2822</v>
      </c>
    </row>
    <row r="2825" spans="4:4">
      <c r="D2825">
        <v>2823</v>
      </c>
    </row>
    <row r="2826" spans="4:4">
      <c r="D2826">
        <v>2824</v>
      </c>
    </row>
    <row r="2827" spans="4:4">
      <c r="D2827">
        <v>2825</v>
      </c>
    </row>
    <row r="2828" spans="4:4">
      <c r="D2828">
        <v>2826</v>
      </c>
    </row>
    <row r="2829" spans="4:4">
      <c r="D2829">
        <v>2827</v>
      </c>
    </row>
    <row r="2830" spans="4:4">
      <c r="D2830">
        <v>2828</v>
      </c>
    </row>
    <row r="2831" spans="4:4">
      <c r="D2831">
        <v>2829</v>
      </c>
    </row>
    <row r="2832" spans="4:4">
      <c r="D2832">
        <v>2830</v>
      </c>
    </row>
    <row r="2833" spans="4:4">
      <c r="D2833">
        <v>2831</v>
      </c>
    </row>
    <row r="2834" spans="4:4">
      <c r="D2834">
        <v>2832</v>
      </c>
    </row>
    <row r="2835" spans="4:4">
      <c r="D2835">
        <v>2833</v>
      </c>
    </row>
    <row r="2836" spans="4:4">
      <c r="D2836">
        <v>2834</v>
      </c>
    </row>
    <row r="2837" spans="4:4">
      <c r="D2837">
        <v>2835</v>
      </c>
    </row>
    <row r="2838" spans="4:4">
      <c r="D2838">
        <v>2836</v>
      </c>
    </row>
    <row r="2839" spans="4:4">
      <c r="D2839">
        <v>2837</v>
      </c>
    </row>
    <row r="2840" spans="4:4">
      <c r="D2840">
        <v>2838</v>
      </c>
    </row>
    <row r="2841" spans="4:4">
      <c r="D2841">
        <v>2839</v>
      </c>
    </row>
    <row r="2842" spans="4:4">
      <c r="D2842">
        <v>2840</v>
      </c>
    </row>
    <row r="2843" spans="4:4">
      <c r="D2843">
        <v>2841</v>
      </c>
    </row>
    <row r="2844" spans="4:4">
      <c r="D2844">
        <v>2842</v>
      </c>
    </row>
    <row r="2845" spans="4:4">
      <c r="D2845">
        <v>2843</v>
      </c>
    </row>
    <row r="2846" spans="4:4">
      <c r="D2846">
        <v>2844</v>
      </c>
    </row>
    <row r="2847" spans="4:4">
      <c r="D2847">
        <v>2845</v>
      </c>
    </row>
    <row r="2848" spans="4:4">
      <c r="D2848">
        <v>2846</v>
      </c>
    </row>
    <row r="2849" spans="4:4">
      <c r="D2849">
        <v>2847</v>
      </c>
    </row>
    <row r="2850" spans="4:4">
      <c r="D2850">
        <v>2848</v>
      </c>
    </row>
    <row r="2851" spans="4:4">
      <c r="D2851">
        <v>2849</v>
      </c>
    </row>
    <row r="2852" spans="4:4">
      <c r="D2852">
        <v>2850</v>
      </c>
    </row>
    <row r="2853" spans="4:4">
      <c r="D2853">
        <v>2851</v>
      </c>
    </row>
    <row r="2854" spans="4:4">
      <c r="D2854">
        <v>2852</v>
      </c>
    </row>
    <row r="2855" spans="4:4">
      <c r="D2855">
        <v>2853</v>
      </c>
    </row>
    <row r="2856" spans="4:4">
      <c r="D2856">
        <v>2854</v>
      </c>
    </row>
    <row r="2857" spans="4:4">
      <c r="D2857">
        <v>2855</v>
      </c>
    </row>
    <row r="2858" spans="4:4">
      <c r="D2858">
        <v>2856</v>
      </c>
    </row>
    <row r="2859" spans="4:4">
      <c r="D2859">
        <v>2857</v>
      </c>
    </row>
    <row r="2860" spans="4:4">
      <c r="D2860">
        <v>2858</v>
      </c>
    </row>
    <row r="2861" spans="4:4">
      <c r="D2861">
        <v>2859</v>
      </c>
    </row>
    <row r="2862" spans="4:4">
      <c r="D2862">
        <v>2860</v>
      </c>
    </row>
    <row r="2863" spans="4:4">
      <c r="D2863">
        <v>2861</v>
      </c>
    </row>
    <row r="2864" spans="4:4">
      <c r="D2864">
        <v>2862</v>
      </c>
    </row>
    <row r="2865" spans="4:4">
      <c r="D2865">
        <v>2863</v>
      </c>
    </row>
    <row r="2866" spans="4:4">
      <c r="D2866">
        <v>2864</v>
      </c>
    </row>
    <row r="2867" spans="4:4">
      <c r="D2867">
        <v>2865</v>
      </c>
    </row>
    <row r="2868" spans="4:4">
      <c r="D2868">
        <v>2866</v>
      </c>
    </row>
    <row r="2869" spans="4:4">
      <c r="D2869">
        <v>2867</v>
      </c>
    </row>
    <row r="2870" spans="4:4">
      <c r="D2870">
        <v>2868</v>
      </c>
    </row>
    <row r="2871" spans="4:4">
      <c r="D2871">
        <v>2869</v>
      </c>
    </row>
    <row r="2872" spans="4:4">
      <c r="D2872">
        <v>2870</v>
      </c>
    </row>
    <row r="2873" spans="4:4">
      <c r="D2873">
        <v>2871</v>
      </c>
    </row>
    <row r="2874" spans="4:4">
      <c r="D2874">
        <v>2872</v>
      </c>
    </row>
    <row r="2875" spans="4:4">
      <c r="D2875">
        <v>2873</v>
      </c>
    </row>
    <row r="2876" spans="4:4">
      <c r="D2876">
        <v>2874</v>
      </c>
    </row>
    <row r="2877" spans="4:4">
      <c r="D2877">
        <v>2875</v>
      </c>
    </row>
    <row r="2878" spans="4:4">
      <c r="D2878">
        <v>2876</v>
      </c>
    </row>
    <row r="2879" spans="4:4">
      <c r="D2879">
        <v>2877</v>
      </c>
    </row>
    <row r="2880" spans="4:4">
      <c r="D2880">
        <v>2878</v>
      </c>
    </row>
    <row r="2881" spans="4:4">
      <c r="D2881">
        <v>2879</v>
      </c>
    </row>
    <row r="2882" spans="4:4">
      <c r="D2882">
        <v>2880</v>
      </c>
    </row>
    <row r="2883" spans="4:4">
      <c r="D2883">
        <v>2881</v>
      </c>
    </row>
    <row r="2884" spans="4:4">
      <c r="D2884">
        <v>2882</v>
      </c>
    </row>
    <row r="2885" spans="4:4">
      <c r="D2885">
        <v>2883</v>
      </c>
    </row>
    <row r="2886" spans="4:4">
      <c r="D2886">
        <v>2884</v>
      </c>
    </row>
    <row r="2887" spans="4:4">
      <c r="D2887">
        <v>2885</v>
      </c>
    </row>
    <row r="2888" spans="4:4">
      <c r="D2888">
        <v>2886</v>
      </c>
    </row>
    <row r="2889" spans="4:4">
      <c r="D2889">
        <v>2887</v>
      </c>
    </row>
    <row r="2890" spans="4:4">
      <c r="D2890">
        <v>2888</v>
      </c>
    </row>
    <row r="2891" spans="4:4">
      <c r="D2891">
        <v>2889</v>
      </c>
    </row>
    <row r="2892" spans="4:4">
      <c r="D2892">
        <v>2890</v>
      </c>
    </row>
    <row r="2893" spans="4:4">
      <c r="D2893">
        <v>2891</v>
      </c>
    </row>
    <row r="2894" spans="4:4">
      <c r="D2894">
        <v>2892</v>
      </c>
    </row>
    <row r="2895" spans="4:4">
      <c r="D2895">
        <v>2893</v>
      </c>
    </row>
    <row r="2896" spans="4:4">
      <c r="D2896">
        <v>2894</v>
      </c>
    </row>
    <row r="2897" spans="4:4">
      <c r="D2897">
        <v>2895</v>
      </c>
    </row>
    <row r="2898" spans="4:4">
      <c r="D2898">
        <v>2896</v>
      </c>
    </row>
    <row r="2899" spans="4:4">
      <c r="D2899">
        <v>2897</v>
      </c>
    </row>
    <row r="2900" spans="4:4">
      <c r="D2900">
        <v>2898</v>
      </c>
    </row>
    <row r="2901" spans="4:4">
      <c r="D2901">
        <v>2899</v>
      </c>
    </row>
    <row r="2902" spans="4:4">
      <c r="D2902">
        <v>2900</v>
      </c>
    </row>
    <row r="2903" spans="4:4">
      <c r="D2903">
        <v>2901</v>
      </c>
    </row>
    <row r="2904" spans="4:4">
      <c r="D2904">
        <v>2902</v>
      </c>
    </row>
    <row r="2905" spans="4:4">
      <c r="D2905">
        <v>2903</v>
      </c>
    </row>
    <row r="2906" spans="4:4">
      <c r="D2906">
        <v>2904</v>
      </c>
    </row>
    <row r="2907" spans="4:4">
      <c r="D2907">
        <v>2905</v>
      </c>
    </row>
    <row r="2908" spans="4:4">
      <c r="D2908">
        <v>2906</v>
      </c>
    </row>
    <row r="2909" spans="4:4">
      <c r="D2909">
        <v>2907</v>
      </c>
    </row>
    <row r="2910" spans="4:4">
      <c r="D2910">
        <v>2908</v>
      </c>
    </row>
    <row r="2911" spans="4:4">
      <c r="D2911">
        <v>2909</v>
      </c>
    </row>
    <row r="2912" spans="4:4">
      <c r="D2912">
        <v>2910</v>
      </c>
    </row>
    <row r="2913" spans="4:4">
      <c r="D2913">
        <v>2911</v>
      </c>
    </row>
    <row r="2914" spans="4:4">
      <c r="D2914">
        <v>2912</v>
      </c>
    </row>
    <row r="2915" spans="4:4">
      <c r="D2915">
        <v>2913</v>
      </c>
    </row>
    <row r="2916" spans="4:4">
      <c r="D2916">
        <v>2914</v>
      </c>
    </row>
    <row r="2917" spans="4:4">
      <c r="D2917">
        <v>2915</v>
      </c>
    </row>
    <row r="2918" spans="4:4">
      <c r="D2918">
        <v>2916</v>
      </c>
    </row>
    <row r="2919" spans="4:4">
      <c r="D2919">
        <v>2917</v>
      </c>
    </row>
    <row r="2920" spans="4:4">
      <c r="D2920">
        <v>2918</v>
      </c>
    </row>
    <row r="2921" spans="4:4">
      <c r="D2921">
        <v>2919</v>
      </c>
    </row>
    <row r="2922" spans="4:4">
      <c r="D2922">
        <v>2920</v>
      </c>
    </row>
    <row r="2923" spans="4:4">
      <c r="D2923">
        <v>2921</v>
      </c>
    </row>
    <row r="2924" spans="4:4">
      <c r="D2924">
        <v>2922</v>
      </c>
    </row>
    <row r="2925" spans="4:4">
      <c r="D2925">
        <v>2923</v>
      </c>
    </row>
    <row r="2926" spans="4:4">
      <c r="D2926">
        <v>2924</v>
      </c>
    </row>
    <row r="2927" spans="4:4">
      <c r="D2927">
        <v>2925</v>
      </c>
    </row>
    <row r="2928" spans="4:4">
      <c r="D2928">
        <v>2926</v>
      </c>
    </row>
    <row r="2929" spans="4:4">
      <c r="D2929">
        <v>2927</v>
      </c>
    </row>
    <row r="2930" spans="4:4">
      <c r="D2930">
        <v>2928</v>
      </c>
    </row>
    <row r="2931" spans="4:4">
      <c r="D2931">
        <v>2929</v>
      </c>
    </row>
    <row r="2932" spans="4:4">
      <c r="D2932">
        <v>2930</v>
      </c>
    </row>
    <row r="2933" spans="4:4">
      <c r="D2933">
        <v>2931</v>
      </c>
    </row>
    <row r="2934" spans="4:4">
      <c r="D2934">
        <v>2932</v>
      </c>
    </row>
    <row r="2935" spans="4:4">
      <c r="D2935">
        <v>2933</v>
      </c>
    </row>
    <row r="2936" spans="4:4">
      <c r="D2936">
        <v>2934</v>
      </c>
    </row>
    <row r="2937" spans="4:4">
      <c r="D2937">
        <v>2935</v>
      </c>
    </row>
    <row r="2938" spans="4:4">
      <c r="D2938">
        <v>2936</v>
      </c>
    </row>
    <row r="2939" spans="4:4">
      <c r="D2939">
        <v>2937</v>
      </c>
    </row>
    <row r="2940" spans="4:4">
      <c r="D2940">
        <v>2938</v>
      </c>
    </row>
    <row r="2941" spans="4:4">
      <c r="D2941">
        <v>2939</v>
      </c>
    </row>
    <row r="2942" spans="4:4">
      <c r="D2942">
        <v>2940</v>
      </c>
    </row>
    <row r="2943" spans="4:4">
      <c r="D2943">
        <v>2941</v>
      </c>
    </row>
    <row r="2944" spans="4:4">
      <c r="D2944">
        <v>2942</v>
      </c>
    </row>
    <row r="2945" spans="4:4">
      <c r="D2945">
        <v>2943</v>
      </c>
    </row>
    <row r="2946" spans="4:4">
      <c r="D2946">
        <v>2944</v>
      </c>
    </row>
    <row r="2947" spans="4:4">
      <c r="D2947">
        <v>2945</v>
      </c>
    </row>
    <row r="2948" spans="4:4">
      <c r="D2948">
        <v>2946</v>
      </c>
    </row>
    <row r="2949" spans="4:4">
      <c r="D2949">
        <v>2947</v>
      </c>
    </row>
    <row r="2950" spans="4:4">
      <c r="D2950">
        <v>2948</v>
      </c>
    </row>
    <row r="2951" spans="4:4">
      <c r="D2951">
        <v>2949</v>
      </c>
    </row>
    <row r="2952" spans="4:4">
      <c r="D2952">
        <v>2950</v>
      </c>
    </row>
    <row r="2953" spans="4:4">
      <c r="D2953">
        <v>2951</v>
      </c>
    </row>
    <row r="2954" spans="4:4">
      <c r="D2954">
        <v>2952</v>
      </c>
    </row>
    <row r="2955" spans="4:4">
      <c r="D2955">
        <v>2953</v>
      </c>
    </row>
    <row r="2956" spans="4:4">
      <c r="D2956">
        <v>2954</v>
      </c>
    </row>
    <row r="2957" spans="4:4">
      <c r="D2957">
        <v>2955</v>
      </c>
    </row>
    <row r="2958" spans="4:4">
      <c r="D2958">
        <v>2956</v>
      </c>
    </row>
    <row r="2959" spans="4:4">
      <c r="D2959">
        <v>2957</v>
      </c>
    </row>
    <row r="2960" spans="4:4">
      <c r="D2960">
        <v>2958</v>
      </c>
    </row>
    <row r="2961" spans="4:4">
      <c r="D2961">
        <v>2959</v>
      </c>
    </row>
    <row r="2962" spans="4:4">
      <c r="D2962">
        <v>2960</v>
      </c>
    </row>
    <row r="2963" spans="4:4">
      <c r="D2963">
        <v>2961</v>
      </c>
    </row>
    <row r="2964" spans="4:4">
      <c r="D2964">
        <v>2962</v>
      </c>
    </row>
    <row r="2965" spans="4:4">
      <c r="D2965">
        <v>2963</v>
      </c>
    </row>
    <row r="2966" spans="4:4">
      <c r="D2966">
        <v>2964</v>
      </c>
    </row>
    <row r="2967" spans="4:4">
      <c r="D2967">
        <v>2965</v>
      </c>
    </row>
    <row r="2968" spans="4:4">
      <c r="D2968">
        <v>2966</v>
      </c>
    </row>
    <row r="2969" spans="4:4">
      <c r="D2969">
        <v>2967</v>
      </c>
    </row>
    <row r="2970" spans="4:4">
      <c r="D2970">
        <v>2968</v>
      </c>
    </row>
    <row r="2971" spans="4:4">
      <c r="D2971">
        <v>2969</v>
      </c>
    </row>
    <row r="2972" spans="4:4">
      <c r="D2972">
        <v>2970</v>
      </c>
    </row>
    <row r="2973" spans="4:4">
      <c r="D2973">
        <v>2971</v>
      </c>
    </row>
    <row r="2974" spans="4:4">
      <c r="D2974">
        <v>2972</v>
      </c>
    </row>
    <row r="2975" spans="4:4">
      <c r="D2975">
        <v>2973</v>
      </c>
    </row>
    <row r="2976" spans="4:4">
      <c r="D2976">
        <v>2974</v>
      </c>
    </row>
    <row r="2977" spans="4:4">
      <c r="D2977">
        <v>2975</v>
      </c>
    </row>
    <row r="2978" spans="4:4">
      <c r="D2978">
        <v>2976</v>
      </c>
    </row>
    <row r="2979" spans="4:4">
      <c r="D2979">
        <v>2977</v>
      </c>
    </row>
    <row r="2980" spans="4:4">
      <c r="D2980">
        <v>2978</v>
      </c>
    </row>
    <row r="2981" spans="4:4">
      <c r="D2981">
        <v>2979</v>
      </c>
    </row>
    <row r="2982" spans="4:4">
      <c r="D2982">
        <v>2980</v>
      </c>
    </row>
    <row r="2983" spans="4:4">
      <c r="D2983">
        <v>2981</v>
      </c>
    </row>
    <row r="2984" spans="4:4">
      <c r="D2984">
        <v>2982</v>
      </c>
    </row>
    <row r="2985" spans="4:4">
      <c r="D2985">
        <v>2983</v>
      </c>
    </row>
    <row r="2986" spans="4:4">
      <c r="D2986">
        <v>2984</v>
      </c>
    </row>
    <row r="2987" spans="4:4">
      <c r="D2987">
        <v>2985</v>
      </c>
    </row>
    <row r="2988" spans="4:4">
      <c r="D2988">
        <v>2986</v>
      </c>
    </row>
    <row r="2989" spans="4:4">
      <c r="D2989">
        <v>2987</v>
      </c>
    </row>
    <row r="2990" spans="4:4">
      <c r="D2990">
        <v>2988</v>
      </c>
    </row>
    <row r="2991" spans="4:4">
      <c r="D2991">
        <v>2989</v>
      </c>
    </row>
    <row r="2992" spans="4:4">
      <c r="D2992">
        <v>2990</v>
      </c>
    </row>
    <row r="2993" spans="4:4">
      <c r="D2993">
        <v>2991</v>
      </c>
    </row>
    <row r="2994" spans="4:4">
      <c r="D2994">
        <v>2992</v>
      </c>
    </row>
    <row r="2995" spans="4:4">
      <c r="D2995">
        <v>2993</v>
      </c>
    </row>
    <row r="2996" spans="4:4">
      <c r="D2996">
        <v>2994</v>
      </c>
    </row>
    <row r="2997" spans="4:4">
      <c r="D2997">
        <v>2995</v>
      </c>
    </row>
    <row r="2998" spans="4:4">
      <c r="D2998">
        <v>2996</v>
      </c>
    </row>
    <row r="2999" spans="4:4">
      <c r="D2999">
        <v>2997</v>
      </c>
    </row>
    <row r="3000" spans="4:4">
      <c r="D3000">
        <v>2998</v>
      </c>
    </row>
    <row r="3001" spans="4:4">
      <c r="D3001">
        <v>2999</v>
      </c>
    </row>
    <row r="3002" spans="4:4">
      <c r="D3002">
        <v>3000</v>
      </c>
    </row>
    <row r="3003" spans="4:4">
      <c r="D3003">
        <v>3001</v>
      </c>
    </row>
    <row r="3004" spans="4:4">
      <c r="D3004">
        <v>3002</v>
      </c>
    </row>
    <row r="3005" spans="4:4">
      <c r="D3005">
        <v>3003</v>
      </c>
    </row>
    <row r="3006" spans="4:4">
      <c r="D3006">
        <v>3004</v>
      </c>
    </row>
    <row r="3007" spans="4:4">
      <c r="D3007">
        <v>3005</v>
      </c>
    </row>
    <row r="3008" spans="4:4">
      <c r="D3008">
        <v>3006</v>
      </c>
    </row>
    <row r="3009" spans="4:4">
      <c r="D3009">
        <v>3007</v>
      </c>
    </row>
    <row r="3010" spans="4:4">
      <c r="D3010">
        <v>3008</v>
      </c>
    </row>
    <row r="3011" spans="4:4">
      <c r="D3011">
        <v>3009</v>
      </c>
    </row>
    <row r="3012" spans="4:4">
      <c r="D3012">
        <v>3010</v>
      </c>
    </row>
    <row r="3013" spans="4:4">
      <c r="D3013">
        <v>3011</v>
      </c>
    </row>
    <row r="3014" spans="4:4">
      <c r="D3014">
        <v>3012</v>
      </c>
    </row>
    <row r="3015" spans="4:4">
      <c r="D3015">
        <v>3013</v>
      </c>
    </row>
    <row r="3016" spans="4:4">
      <c r="D3016">
        <v>3014</v>
      </c>
    </row>
    <row r="3017" spans="4:4">
      <c r="D3017">
        <v>3015</v>
      </c>
    </row>
    <row r="3018" spans="4:4">
      <c r="D3018">
        <v>3016</v>
      </c>
    </row>
    <row r="3019" spans="4:4">
      <c r="D3019">
        <v>3017</v>
      </c>
    </row>
    <row r="3020" spans="4:4">
      <c r="D3020">
        <v>3018</v>
      </c>
    </row>
    <row r="3021" spans="4:4">
      <c r="D3021">
        <v>3019</v>
      </c>
    </row>
    <row r="3022" spans="4:4">
      <c r="D3022">
        <v>3020</v>
      </c>
    </row>
    <row r="3023" spans="4:4">
      <c r="D3023">
        <v>3021</v>
      </c>
    </row>
    <row r="3024" spans="4:4">
      <c r="D3024">
        <v>3022</v>
      </c>
    </row>
    <row r="3025" spans="4:4">
      <c r="D3025">
        <v>3023</v>
      </c>
    </row>
    <row r="3026" spans="4:4">
      <c r="D3026">
        <v>3024</v>
      </c>
    </row>
    <row r="3027" spans="4:4">
      <c r="D3027">
        <v>3025</v>
      </c>
    </row>
    <row r="3028" spans="4:4">
      <c r="D3028">
        <v>3026</v>
      </c>
    </row>
    <row r="3029" spans="4:4">
      <c r="D3029">
        <v>3027</v>
      </c>
    </row>
    <row r="3030" spans="4:4">
      <c r="D3030">
        <v>3028</v>
      </c>
    </row>
    <row r="3031" spans="4:4">
      <c r="D3031">
        <v>3029</v>
      </c>
    </row>
    <row r="3032" spans="4:4">
      <c r="D3032">
        <v>3030</v>
      </c>
    </row>
    <row r="3033" spans="4:4">
      <c r="D3033">
        <v>3031</v>
      </c>
    </row>
    <row r="3034" spans="4:4">
      <c r="D3034">
        <v>3032</v>
      </c>
    </row>
    <row r="3035" spans="4:4">
      <c r="D3035">
        <v>3033</v>
      </c>
    </row>
    <row r="3036" spans="4:4">
      <c r="D3036">
        <v>3034</v>
      </c>
    </row>
    <row r="3037" spans="4:4">
      <c r="D3037">
        <v>3035</v>
      </c>
    </row>
    <row r="3038" spans="4:4">
      <c r="D3038">
        <v>3036</v>
      </c>
    </row>
    <row r="3039" spans="4:4">
      <c r="D3039">
        <v>3037</v>
      </c>
    </row>
    <row r="3040" spans="4:4">
      <c r="D3040">
        <v>3038</v>
      </c>
    </row>
    <row r="3041" spans="4:4">
      <c r="D3041">
        <v>3039</v>
      </c>
    </row>
    <row r="3042" spans="4:4">
      <c r="D3042">
        <v>3040</v>
      </c>
    </row>
    <row r="3043" spans="4:4">
      <c r="D3043">
        <v>3041</v>
      </c>
    </row>
    <row r="3044" spans="4:4">
      <c r="D3044">
        <v>3042</v>
      </c>
    </row>
    <row r="3045" spans="4:4">
      <c r="D3045">
        <v>3043</v>
      </c>
    </row>
    <row r="3046" spans="4:4">
      <c r="D3046">
        <v>3044</v>
      </c>
    </row>
    <row r="3047" spans="4:4">
      <c r="D3047">
        <v>3045</v>
      </c>
    </row>
    <row r="3048" spans="4:4">
      <c r="D3048">
        <v>3046</v>
      </c>
    </row>
    <row r="3049" spans="4:4">
      <c r="D3049">
        <v>3047</v>
      </c>
    </row>
    <row r="3050" spans="4:4">
      <c r="D3050">
        <v>3048</v>
      </c>
    </row>
    <row r="3051" spans="4:4">
      <c r="D3051">
        <v>3049</v>
      </c>
    </row>
    <row r="3052" spans="4:4">
      <c r="D3052">
        <v>3050</v>
      </c>
    </row>
    <row r="3053" spans="4:4">
      <c r="D3053">
        <v>3051</v>
      </c>
    </row>
    <row r="3054" spans="4:4">
      <c r="D3054">
        <v>3052</v>
      </c>
    </row>
    <row r="3055" spans="4:4">
      <c r="D3055">
        <v>3053</v>
      </c>
    </row>
    <row r="3056" spans="4:4">
      <c r="D3056">
        <v>3054</v>
      </c>
    </row>
    <row r="3057" spans="4:4">
      <c r="D3057">
        <v>3055</v>
      </c>
    </row>
    <row r="3058" spans="4:4">
      <c r="D3058">
        <v>3056</v>
      </c>
    </row>
    <row r="3059" spans="4:4">
      <c r="D3059">
        <v>3057</v>
      </c>
    </row>
    <row r="3060" spans="4:4">
      <c r="D3060">
        <v>3058</v>
      </c>
    </row>
    <row r="3061" spans="4:4">
      <c r="D3061">
        <v>3059</v>
      </c>
    </row>
    <row r="3062" spans="4:4">
      <c r="D3062">
        <v>3060</v>
      </c>
    </row>
    <row r="3063" spans="4:4">
      <c r="D3063">
        <v>3061</v>
      </c>
    </row>
    <row r="3064" spans="4:4">
      <c r="D3064">
        <v>3062</v>
      </c>
    </row>
    <row r="3065" spans="4:4">
      <c r="D3065">
        <v>3063</v>
      </c>
    </row>
    <row r="3066" spans="4:4">
      <c r="D3066">
        <v>3064</v>
      </c>
    </row>
    <row r="3067" spans="4:4">
      <c r="D3067">
        <v>3065</v>
      </c>
    </row>
    <row r="3068" spans="4:4">
      <c r="D3068">
        <v>3066</v>
      </c>
    </row>
    <row r="3069" spans="4:4">
      <c r="D3069">
        <v>3067</v>
      </c>
    </row>
    <row r="3070" spans="4:4">
      <c r="D3070">
        <v>3068</v>
      </c>
    </row>
    <row r="3071" spans="4:4">
      <c r="D3071">
        <v>3069</v>
      </c>
    </row>
    <row r="3072" spans="4:4">
      <c r="D3072">
        <v>3070</v>
      </c>
    </row>
    <row r="3073" spans="4:4">
      <c r="D3073">
        <v>3071</v>
      </c>
    </row>
    <row r="3074" spans="4:4">
      <c r="D3074">
        <v>3072</v>
      </c>
    </row>
    <row r="3075" spans="4:4">
      <c r="D3075">
        <v>3073</v>
      </c>
    </row>
    <row r="3076" spans="4:4">
      <c r="D3076">
        <v>3074</v>
      </c>
    </row>
    <row r="3077" spans="4:4">
      <c r="D3077">
        <v>3075</v>
      </c>
    </row>
    <row r="3078" spans="4:4">
      <c r="D3078">
        <v>3076</v>
      </c>
    </row>
    <row r="3079" spans="4:4">
      <c r="D3079">
        <v>3077</v>
      </c>
    </row>
    <row r="3080" spans="4:4">
      <c r="D3080">
        <v>3078</v>
      </c>
    </row>
    <row r="3081" spans="4:4">
      <c r="D3081">
        <v>3079</v>
      </c>
    </row>
    <row r="3082" spans="4:4">
      <c r="D3082">
        <v>3080</v>
      </c>
    </row>
    <row r="3083" spans="4:4">
      <c r="D3083">
        <v>3081</v>
      </c>
    </row>
    <row r="3084" spans="4:4">
      <c r="D3084">
        <v>3082</v>
      </c>
    </row>
    <row r="3085" spans="4:4">
      <c r="D3085">
        <v>3083</v>
      </c>
    </row>
    <row r="3086" spans="4:4">
      <c r="D3086">
        <v>3084</v>
      </c>
    </row>
    <row r="3087" spans="4:4">
      <c r="D3087">
        <v>3085</v>
      </c>
    </row>
    <row r="3088" spans="4:4">
      <c r="D3088">
        <v>3086</v>
      </c>
    </row>
    <row r="3089" spans="4:4">
      <c r="D3089">
        <v>3087</v>
      </c>
    </row>
    <row r="3090" spans="4:4">
      <c r="D3090">
        <v>3088</v>
      </c>
    </row>
    <row r="3091" spans="4:4">
      <c r="D3091">
        <v>3089</v>
      </c>
    </row>
    <row r="3092" spans="4:4">
      <c r="D3092">
        <v>3090</v>
      </c>
    </row>
    <row r="3093" spans="4:4">
      <c r="D3093">
        <v>3091</v>
      </c>
    </row>
    <row r="3094" spans="4:4">
      <c r="D3094">
        <v>3092</v>
      </c>
    </row>
    <row r="3095" spans="4:4">
      <c r="D3095">
        <v>3093</v>
      </c>
    </row>
    <row r="3096" spans="4:4">
      <c r="D3096">
        <v>3094</v>
      </c>
    </row>
    <row r="3097" spans="4:4">
      <c r="D3097">
        <v>3095</v>
      </c>
    </row>
    <row r="3098" spans="4:4">
      <c r="D3098">
        <v>3096</v>
      </c>
    </row>
    <row r="3099" spans="4:4">
      <c r="D3099">
        <v>3097</v>
      </c>
    </row>
    <row r="3100" spans="4:4">
      <c r="D3100">
        <v>3098</v>
      </c>
    </row>
    <row r="3101" spans="4:4">
      <c r="D3101">
        <v>3099</v>
      </c>
    </row>
    <row r="3102" spans="4:4">
      <c r="D3102">
        <v>3100</v>
      </c>
    </row>
    <row r="3103" spans="4:4">
      <c r="D3103">
        <v>3101</v>
      </c>
    </row>
    <row r="3104" spans="4:4">
      <c r="D3104">
        <v>3102</v>
      </c>
    </row>
    <row r="3105" spans="4:4">
      <c r="D3105">
        <v>3103</v>
      </c>
    </row>
    <row r="3106" spans="4:4">
      <c r="D3106">
        <v>3104</v>
      </c>
    </row>
    <row r="3107" spans="4:4">
      <c r="D3107">
        <v>3105</v>
      </c>
    </row>
    <row r="3108" spans="4:4">
      <c r="D3108">
        <v>3106</v>
      </c>
    </row>
    <row r="3109" spans="4:4">
      <c r="D3109">
        <v>3107</v>
      </c>
    </row>
    <row r="3110" spans="4:4">
      <c r="D3110">
        <v>3108</v>
      </c>
    </row>
    <row r="3111" spans="4:4">
      <c r="D3111">
        <v>3109</v>
      </c>
    </row>
    <row r="3112" spans="4:4">
      <c r="D3112">
        <v>3110</v>
      </c>
    </row>
    <row r="3113" spans="4:4">
      <c r="D3113">
        <v>3111</v>
      </c>
    </row>
    <row r="3114" spans="4:4">
      <c r="D3114">
        <v>3112</v>
      </c>
    </row>
    <row r="3115" spans="4:4">
      <c r="D3115">
        <v>3113</v>
      </c>
    </row>
    <row r="3116" spans="4:4">
      <c r="D3116">
        <v>3114</v>
      </c>
    </row>
    <row r="3117" spans="4:4">
      <c r="D3117">
        <v>3115</v>
      </c>
    </row>
    <row r="3118" spans="4:4">
      <c r="D3118">
        <v>3116</v>
      </c>
    </row>
    <row r="3119" spans="4:4">
      <c r="D3119">
        <v>3117</v>
      </c>
    </row>
    <row r="3120" spans="4:4">
      <c r="D3120">
        <v>3118</v>
      </c>
    </row>
    <row r="3121" spans="4:4">
      <c r="D3121">
        <v>3119</v>
      </c>
    </row>
    <row r="3122" spans="4:4">
      <c r="D3122">
        <v>3120</v>
      </c>
    </row>
    <row r="3123" spans="4:4">
      <c r="D3123">
        <v>3121</v>
      </c>
    </row>
    <row r="3124" spans="4:4">
      <c r="D3124">
        <v>3122</v>
      </c>
    </row>
    <row r="3125" spans="4:4">
      <c r="D3125">
        <v>3123</v>
      </c>
    </row>
    <row r="3126" spans="4:4">
      <c r="D3126">
        <v>3124</v>
      </c>
    </row>
    <row r="3127" spans="4:4">
      <c r="D3127">
        <v>3125</v>
      </c>
    </row>
    <row r="3128" spans="4:4">
      <c r="D3128">
        <v>3126</v>
      </c>
    </row>
    <row r="3129" spans="4:4">
      <c r="D3129">
        <v>3127</v>
      </c>
    </row>
    <row r="3130" spans="4:4">
      <c r="D3130">
        <v>3128</v>
      </c>
    </row>
    <row r="3131" spans="4:4">
      <c r="D3131">
        <v>3129</v>
      </c>
    </row>
    <row r="3132" spans="4:4">
      <c r="D3132">
        <v>3130</v>
      </c>
    </row>
    <row r="3133" spans="4:4">
      <c r="D3133">
        <v>3131</v>
      </c>
    </row>
    <row r="3134" spans="4:4">
      <c r="D3134">
        <v>3132</v>
      </c>
    </row>
    <row r="3135" spans="4:4">
      <c r="D3135">
        <v>3133</v>
      </c>
    </row>
    <row r="3136" spans="4:4">
      <c r="D3136">
        <v>3134</v>
      </c>
    </row>
    <row r="3137" spans="4:4">
      <c r="D3137">
        <v>3135</v>
      </c>
    </row>
    <row r="3138" spans="4:4">
      <c r="D3138">
        <v>3136</v>
      </c>
    </row>
    <row r="3139" spans="4:4">
      <c r="D3139">
        <v>3137</v>
      </c>
    </row>
    <row r="3140" spans="4:4">
      <c r="D3140">
        <v>3138</v>
      </c>
    </row>
    <row r="3141" spans="4:4">
      <c r="D3141">
        <v>3139</v>
      </c>
    </row>
    <row r="3142" spans="4:4">
      <c r="D3142">
        <v>3140</v>
      </c>
    </row>
    <row r="3143" spans="4:4">
      <c r="D3143">
        <v>3141</v>
      </c>
    </row>
    <row r="3144" spans="4:4">
      <c r="D3144">
        <v>3142</v>
      </c>
    </row>
    <row r="3145" spans="4:4">
      <c r="D3145">
        <v>3143</v>
      </c>
    </row>
    <row r="3146" spans="4:4">
      <c r="D3146">
        <v>3144</v>
      </c>
    </row>
    <row r="3147" spans="4:4">
      <c r="D3147">
        <v>3145</v>
      </c>
    </row>
    <row r="3148" spans="4:4">
      <c r="D3148">
        <v>3146</v>
      </c>
    </row>
    <row r="3149" spans="4:4">
      <c r="D3149">
        <v>3147</v>
      </c>
    </row>
    <row r="3150" spans="4:4">
      <c r="D3150">
        <v>3148</v>
      </c>
    </row>
    <row r="3151" spans="4:4">
      <c r="D3151">
        <v>3149</v>
      </c>
    </row>
    <row r="3152" spans="4:4">
      <c r="D3152">
        <v>3150</v>
      </c>
    </row>
    <row r="3153" spans="4:4">
      <c r="D3153">
        <v>3151</v>
      </c>
    </row>
    <row r="3154" spans="4:4">
      <c r="D3154">
        <v>3152</v>
      </c>
    </row>
    <row r="3155" spans="4:4">
      <c r="D3155">
        <v>3153</v>
      </c>
    </row>
    <row r="3156" spans="4:4">
      <c r="D3156">
        <v>3154</v>
      </c>
    </row>
    <row r="3157" spans="4:4">
      <c r="D3157">
        <v>3155</v>
      </c>
    </row>
    <row r="3158" spans="4:4">
      <c r="D3158">
        <v>3156</v>
      </c>
    </row>
    <row r="3159" spans="4:4">
      <c r="D3159">
        <v>3157</v>
      </c>
    </row>
    <row r="3160" spans="4:4">
      <c r="D3160">
        <v>3158</v>
      </c>
    </row>
    <row r="3161" spans="4:4">
      <c r="D3161">
        <v>3159</v>
      </c>
    </row>
    <row r="3162" spans="4:4">
      <c r="D3162">
        <v>3160</v>
      </c>
    </row>
    <row r="3163" spans="4:4">
      <c r="D3163">
        <v>3161</v>
      </c>
    </row>
    <row r="3164" spans="4:4">
      <c r="D3164">
        <v>3162</v>
      </c>
    </row>
    <row r="3165" spans="4:4">
      <c r="D3165">
        <v>3163</v>
      </c>
    </row>
    <row r="3166" spans="4:4">
      <c r="D3166">
        <v>3164</v>
      </c>
    </row>
    <row r="3167" spans="4:4">
      <c r="D3167">
        <v>3165</v>
      </c>
    </row>
    <row r="3168" spans="4:4">
      <c r="D3168">
        <v>3166</v>
      </c>
    </row>
    <row r="3169" spans="4:4">
      <c r="D3169">
        <v>3167</v>
      </c>
    </row>
    <row r="3170" spans="4:4">
      <c r="D3170">
        <v>3168</v>
      </c>
    </row>
    <row r="3171" spans="4:4">
      <c r="D3171">
        <v>3169</v>
      </c>
    </row>
    <row r="3172" spans="4:4">
      <c r="D3172">
        <v>3170</v>
      </c>
    </row>
    <row r="3173" spans="4:4">
      <c r="D3173">
        <v>3171</v>
      </c>
    </row>
    <row r="3174" spans="4:4">
      <c r="D3174">
        <v>3172</v>
      </c>
    </row>
    <row r="3175" spans="4:4">
      <c r="D3175">
        <v>3173</v>
      </c>
    </row>
    <row r="3176" spans="4:4">
      <c r="D3176">
        <v>3174</v>
      </c>
    </row>
    <row r="3177" spans="4:4">
      <c r="D3177">
        <v>3175</v>
      </c>
    </row>
    <row r="3178" spans="4:4">
      <c r="D3178">
        <v>3176</v>
      </c>
    </row>
    <row r="3179" spans="4:4">
      <c r="D3179">
        <v>3177</v>
      </c>
    </row>
    <row r="3180" spans="4:4">
      <c r="D3180">
        <v>3178</v>
      </c>
    </row>
    <row r="3181" spans="4:4">
      <c r="D3181">
        <v>3179</v>
      </c>
    </row>
    <row r="3182" spans="4:4">
      <c r="D3182">
        <v>3180</v>
      </c>
    </row>
    <row r="3183" spans="4:4">
      <c r="D3183">
        <v>3181</v>
      </c>
    </row>
    <row r="3184" spans="4:4">
      <c r="D3184">
        <v>3182</v>
      </c>
    </row>
    <row r="3185" spans="4:4">
      <c r="D3185">
        <v>3183</v>
      </c>
    </row>
    <row r="3186" spans="4:4">
      <c r="D3186">
        <v>3184</v>
      </c>
    </row>
    <row r="3187" spans="4:4">
      <c r="D3187">
        <v>3185</v>
      </c>
    </row>
    <row r="3188" spans="4:4">
      <c r="D3188">
        <v>3186</v>
      </c>
    </row>
    <row r="3189" spans="4:4">
      <c r="D3189">
        <v>3187</v>
      </c>
    </row>
    <row r="3190" spans="4:4">
      <c r="D3190">
        <v>3188</v>
      </c>
    </row>
    <row r="3191" spans="4:4">
      <c r="D3191">
        <v>3189</v>
      </c>
    </row>
    <row r="3192" spans="4:4">
      <c r="D3192">
        <v>3190</v>
      </c>
    </row>
    <row r="3193" spans="4:4">
      <c r="D3193">
        <v>3191</v>
      </c>
    </row>
    <row r="3194" spans="4:4">
      <c r="D3194">
        <v>3192</v>
      </c>
    </row>
    <row r="3195" spans="4:4">
      <c r="D3195">
        <v>3193</v>
      </c>
    </row>
    <row r="3196" spans="4:4">
      <c r="D3196">
        <v>3194</v>
      </c>
    </row>
    <row r="3197" spans="4:4">
      <c r="D3197">
        <v>3195</v>
      </c>
    </row>
    <row r="3198" spans="4:4">
      <c r="D3198">
        <v>3196</v>
      </c>
    </row>
    <row r="3199" spans="4:4">
      <c r="D3199">
        <v>3197</v>
      </c>
    </row>
    <row r="3200" spans="4:4">
      <c r="D3200">
        <v>3198</v>
      </c>
    </row>
    <row r="3201" spans="4:4">
      <c r="D3201">
        <v>3199</v>
      </c>
    </row>
    <row r="3202" spans="4:4">
      <c r="D3202">
        <v>3200</v>
      </c>
    </row>
    <row r="3203" spans="4:4">
      <c r="D3203">
        <v>3201</v>
      </c>
    </row>
    <row r="3204" spans="4:4">
      <c r="D3204">
        <v>3202</v>
      </c>
    </row>
    <row r="3205" spans="4:4">
      <c r="D3205">
        <v>3203</v>
      </c>
    </row>
    <row r="3206" spans="4:4">
      <c r="D3206">
        <v>3204</v>
      </c>
    </row>
    <row r="3207" spans="4:4">
      <c r="D3207">
        <v>3205</v>
      </c>
    </row>
    <row r="3208" spans="4:4">
      <c r="D3208">
        <v>3206</v>
      </c>
    </row>
    <row r="3209" spans="4:4">
      <c r="D3209">
        <v>3207</v>
      </c>
    </row>
    <row r="3210" spans="4:4">
      <c r="D3210">
        <v>3208</v>
      </c>
    </row>
    <row r="3211" spans="4:4">
      <c r="D3211">
        <v>3209</v>
      </c>
    </row>
    <row r="3212" spans="4:4">
      <c r="D3212">
        <v>3210</v>
      </c>
    </row>
    <row r="3213" spans="4:4">
      <c r="D3213">
        <v>3211</v>
      </c>
    </row>
    <row r="3214" spans="4:4">
      <c r="D3214">
        <v>3212</v>
      </c>
    </row>
    <row r="3215" spans="4:4">
      <c r="D3215">
        <v>3213</v>
      </c>
    </row>
    <row r="3216" spans="4:4">
      <c r="D3216">
        <v>3214</v>
      </c>
    </row>
    <row r="3217" spans="4:4">
      <c r="D3217">
        <v>3215</v>
      </c>
    </row>
    <row r="3218" spans="4:4">
      <c r="D3218">
        <v>3216</v>
      </c>
    </row>
    <row r="3219" spans="4:4">
      <c r="D3219">
        <v>3217</v>
      </c>
    </row>
    <row r="3220" spans="4:4">
      <c r="D3220">
        <v>3218</v>
      </c>
    </row>
    <row r="3221" spans="4:4">
      <c r="D3221">
        <v>3219</v>
      </c>
    </row>
    <row r="3222" spans="4:4">
      <c r="D3222">
        <v>3220</v>
      </c>
    </row>
    <row r="3223" spans="4:4">
      <c r="D3223">
        <v>3221</v>
      </c>
    </row>
    <row r="3224" spans="4:4">
      <c r="D3224">
        <v>3222</v>
      </c>
    </row>
    <row r="3225" spans="4:4">
      <c r="D3225">
        <v>3223</v>
      </c>
    </row>
    <row r="3226" spans="4:4">
      <c r="D3226">
        <v>3224</v>
      </c>
    </row>
    <row r="3227" spans="4:4">
      <c r="D3227">
        <v>3225</v>
      </c>
    </row>
    <row r="3228" spans="4:4">
      <c r="D3228">
        <v>3226</v>
      </c>
    </row>
    <row r="3229" spans="4:4">
      <c r="D3229">
        <v>3227</v>
      </c>
    </row>
    <row r="3230" spans="4:4">
      <c r="D3230">
        <v>3228</v>
      </c>
    </row>
    <row r="3231" spans="4:4">
      <c r="D3231">
        <v>3229</v>
      </c>
    </row>
    <row r="3232" spans="4:4">
      <c r="D3232">
        <v>3230</v>
      </c>
    </row>
    <row r="3233" spans="4:4">
      <c r="D3233">
        <v>3231</v>
      </c>
    </row>
    <row r="3234" spans="4:4">
      <c r="D3234">
        <v>3232</v>
      </c>
    </row>
    <row r="3235" spans="4:4">
      <c r="D3235">
        <v>3233</v>
      </c>
    </row>
    <row r="3236" spans="4:4">
      <c r="D3236">
        <v>3234</v>
      </c>
    </row>
    <row r="3237" spans="4:4">
      <c r="D3237">
        <v>3235</v>
      </c>
    </row>
    <row r="3238" spans="4:4">
      <c r="D3238">
        <v>3236</v>
      </c>
    </row>
    <row r="3239" spans="4:4">
      <c r="D3239">
        <v>3237</v>
      </c>
    </row>
    <row r="3240" spans="4:4">
      <c r="D3240">
        <v>3238</v>
      </c>
    </row>
    <row r="3241" spans="4:4">
      <c r="D3241">
        <v>3239</v>
      </c>
    </row>
    <row r="3242" spans="4:4">
      <c r="D3242">
        <v>3240</v>
      </c>
    </row>
    <row r="3243" spans="4:4">
      <c r="D3243">
        <v>3241</v>
      </c>
    </row>
    <row r="3244" spans="4:4">
      <c r="D3244">
        <v>3242</v>
      </c>
    </row>
    <row r="3245" spans="4:4">
      <c r="D3245">
        <v>3243</v>
      </c>
    </row>
    <row r="3246" spans="4:4">
      <c r="D3246">
        <v>3244</v>
      </c>
    </row>
    <row r="3247" spans="4:4">
      <c r="D3247">
        <v>3245</v>
      </c>
    </row>
    <row r="3248" spans="4:4">
      <c r="D3248">
        <v>3246</v>
      </c>
    </row>
    <row r="3249" spans="4:4">
      <c r="D3249">
        <v>3247</v>
      </c>
    </row>
    <row r="3250" spans="4:4">
      <c r="D3250">
        <v>3248</v>
      </c>
    </row>
    <row r="3251" spans="4:4">
      <c r="D3251">
        <v>3249</v>
      </c>
    </row>
    <row r="3252" spans="4:4">
      <c r="D3252">
        <v>3250</v>
      </c>
    </row>
    <row r="3253" spans="4:4">
      <c r="D3253">
        <v>3251</v>
      </c>
    </row>
    <row r="3254" spans="4:4">
      <c r="D3254">
        <v>3252</v>
      </c>
    </row>
    <row r="3255" spans="4:4">
      <c r="D3255">
        <v>3253</v>
      </c>
    </row>
    <row r="3256" spans="4:4">
      <c r="D3256">
        <v>3254</v>
      </c>
    </row>
    <row r="3257" spans="4:4">
      <c r="D3257">
        <v>3255</v>
      </c>
    </row>
    <row r="3258" spans="4:4">
      <c r="D3258">
        <v>3256</v>
      </c>
    </row>
    <row r="3259" spans="4:4">
      <c r="D3259">
        <v>3257</v>
      </c>
    </row>
    <row r="3260" spans="4:4">
      <c r="D3260">
        <v>3258</v>
      </c>
    </row>
    <row r="3261" spans="4:4">
      <c r="D3261">
        <v>3259</v>
      </c>
    </row>
    <row r="3262" spans="4:4">
      <c r="D3262">
        <v>3260</v>
      </c>
    </row>
    <row r="3263" spans="4:4">
      <c r="D3263">
        <v>3261</v>
      </c>
    </row>
    <row r="3264" spans="4:4">
      <c r="D3264">
        <v>3262</v>
      </c>
    </row>
    <row r="3265" spans="4:4">
      <c r="D3265">
        <v>3263</v>
      </c>
    </row>
    <row r="3266" spans="4:4">
      <c r="D3266">
        <v>3264</v>
      </c>
    </row>
    <row r="3267" spans="4:4">
      <c r="D3267">
        <v>3265</v>
      </c>
    </row>
    <row r="3268" spans="4:4">
      <c r="D3268">
        <v>3266</v>
      </c>
    </row>
    <row r="3269" spans="4:4">
      <c r="D3269">
        <v>3267</v>
      </c>
    </row>
    <row r="3270" spans="4:4">
      <c r="D3270">
        <v>3268</v>
      </c>
    </row>
    <row r="3271" spans="4:4">
      <c r="D3271">
        <v>3269</v>
      </c>
    </row>
    <row r="3272" spans="4:4">
      <c r="D3272">
        <v>3270</v>
      </c>
    </row>
    <row r="3273" spans="4:4">
      <c r="D3273">
        <v>3271</v>
      </c>
    </row>
    <row r="3274" spans="4:4">
      <c r="D3274">
        <v>3272</v>
      </c>
    </row>
    <row r="3275" spans="4:4">
      <c r="D3275">
        <v>3273</v>
      </c>
    </row>
    <row r="3276" spans="4:4">
      <c r="D3276">
        <v>3274</v>
      </c>
    </row>
    <row r="3277" spans="4:4">
      <c r="D3277">
        <v>3275</v>
      </c>
    </row>
    <row r="3278" spans="4:4">
      <c r="D3278">
        <v>3276</v>
      </c>
    </row>
    <row r="3279" spans="4:4">
      <c r="D3279">
        <v>3277</v>
      </c>
    </row>
    <row r="3280" spans="4:4">
      <c r="D3280">
        <v>3278</v>
      </c>
    </row>
    <row r="3281" spans="4:4">
      <c r="D3281">
        <v>3279</v>
      </c>
    </row>
    <row r="3282" spans="4:4">
      <c r="D3282">
        <v>3280</v>
      </c>
    </row>
    <row r="3283" spans="4:4">
      <c r="D3283">
        <v>3281</v>
      </c>
    </row>
    <row r="3284" spans="4:4">
      <c r="D3284">
        <v>3282</v>
      </c>
    </row>
    <row r="3285" spans="4:4">
      <c r="D3285">
        <v>3283</v>
      </c>
    </row>
    <row r="3286" spans="4:4">
      <c r="D3286">
        <v>3284</v>
      </c>
    </row>
    <row r="3287" spans="4:4">
      <c r="D3287">
        <v>3285</v>
      </c>
    </row>
    <row r="3288" spans="4:4">
      <c r="D3288">
        <v>3286</v>
      </c>
    </row>
    <row r="3289" spans="4:4">
      <c r="D3289">
        <v>3287</v>
      </c>
    </row>
    <row r="3290" spans="4:4">
      <c r="D3290">
        <v>3288</v>
      </c>
    </row>
    <row r="3291" spans="4:4">
      <c r="D3291">
        <v>3289</v>
      </c>
    </row>
    <row r="3292" spans="4:4">
      <c r="D3292">
        <v>3290</v>
      </c>
    </row>
    <row r="3293" spans="4:4">
      <c r="D3293">
        <v>3291</v>
      </c>
    </row>
    <row r="3294" spans="4:4">
      <c r="D3294">
        <v>3292</v>
      </c>
    </row>
    <row r="3295" spans="4:4">
      <c r="D3295">
        <v>3293</v>
      </c>
    </row>
    <row r="3296" spans="4:4">
      <c r="D3296">
        <v>3294</v>
      </c>
    </row>
    <row r="3297" spans="4:4">
      <c r="D3297">
        <v>3295</v>
      </c>
    </row>
    <row r="3298" spans="4:4">
      <c r="D3298">
        <v>3296</v>
      </c>
    </row>
    <row r="3299" spans="4:4">
      <c r="D3299">
        <v>3297</v>
      </c>
    </row>
    <row r="3300" spans="4:4">
      <c r="D3300">
        <v>3298</v>
      </c>
    </row>
    <row r="3301" spans="4:4">
      <c r="D3301">
        <v>3299</v>
      </c>
    </row>
    <row r="3302" spans="4:4">
      <c r="D3302">
        <v>3300</v>
      </c>
    </row>
    <row r="3303" spans="4:4">
      <c r="D3303">
        <v>3301</v>
      </c>
    </row>
    <row r="3304" spans="4:4">
      <c r="D3304">
        <v>3302</v>
      </c>
    </row>
    <row r="3305" spans="4:4">
      <c r="D3305">
        <v>3303</v>
      </c>
    </row>
    <row r="3306" spans="4:4">
      <c r="D3306">
        <v>3304</v>
      </c>
    </row>
    <row r="3307" spans="4:4">
      <c r="D3307">
        <v>3305</v>
      </c>
    </row>
    <row r="3308" spans="4:4">
      <c r="D3308">
        <v>3306</v>
      </c>
    </row>
    <row r="3309" spans="4:4">
      <c r="D3309">
        <v>3307</v>
      </c>
    </row>
    <row r="3310" spans="4:4">
      <c r="D3310">
        <v>3308</v>
      </c>
    </row>
    <row r="3311" spans="4:4">
      <c r="D3311">
        <v>3309</v>
      </c>
    </row>
    <row r="3312" spans="4:4">
      <c r="D3312">
        <v>3310</v>
      </c>
    </row>
    <row r="3313" spans="4:4">
      <c r="D3313">
        <v>3311</v>
      </c>
    </row>
    <row r="3314" spans="4:4">
      <c r="D3314">
        <v>3312</v>
      </c>
    </row>
    <row r="3315" spans="4:4">
      <c r="D3315">
        <v>3313</v>
      </c>
    </row>
    <row r="3316" spans="4:4">
      <c r="D3316">
        <v>3314</v>
      </c>
    </row>
    <row r="3317" spans="4:4">
      <c r="D3317">
        <v>3315</v>
      </c>
    </row>
    <row r="3318" spans="4:4">
      <c r="D3318">
        <v>3316</v>
      </c>
    </row>
    <row r="3319" spans="4:4">
      <c r="D3319">
        <v>3317</v>
      </c>
    </row>
    <row r="3320" spans="4:4">
      <c r="D3320">
        <v>3318</v>
      </c>
    </row>
    <row r="3321" spans="4:4">
      <c r="D3321">
        <v>3319</v>
      </c>
    </row>
    <row r="3322" spans="4:4">
      <c r="D3322">
        <v>3320</v>
      </c>
    </row>
    <row r="3323" spans="4:4">
      <c r="D3323">
        <v>3321</v>
      </c>
    </row>
    <row r="3324" spans="4:4">
      <c r="D3324">
        <v>3322</v>
      </c>
    </row>
    <row r="3325" spans="4:4">
      <c r="D3325">
        <v>3323</v>
      </c>
    </row>
    <row r="3326" spans="4:4">
      <c r="D3326">
        <v>3324</v>
      </c>
    </row>
    <row r="3327" spans="4:4">
      <c r="D3327">
        <v>3325</v>
      </c>
    </row>
    <row r="3328" spans="4:4">
      <c r="D3328">
        <v>3326</v>
      </c>
    </row>
    <row r="3329" spans="4:4">
      <c r="D3329">
        <v>3327</v>
      </c>
    </row>
    <row r="3330" spans="4:4">
      <c r="D3330">
        <v>3328</v>
      </c>
    </row>
    <row r="3331" spans="4:4">
      <c r="D3331">
        <v>3329</v>
      </c>
    </row>
    <row r="3332" spans="4:4">
      <c r="D3332">
        <v>3330</v>
      </c>
    </row>
    <row r="3333" spans="4:4">
      <c r="D3333">
        <v>3331</v>
      </c>
    </row>
    <row r="3334" spans="4:4">
      <c r="D3334">
        <v>3332</v>
      </c>
    </row>
    <row r="3335" spans="4:4">
      <c r="D3335">
        <v>3333</v>
      </c>
    </row>
    <row r="3336" spans="4:4">
      <c r="D3336">
        <v>3334</v>
      </c>
    </row>
    <row r="3337" spans="4:4">
      <c r="D3337">
        <v>3335</v>
      </c>
    </row>
    <row r="3338" spans="4:4">
      <c r="D3338">
        <v>3336</v>
      </c>
    </row>
    <row r="3339" spans="4:4">
      <c r="D3339">
        <v>3337</v>
      </c>
    </row>
    <row r="3340" spans="4:4">
      <c r="D3340">
        <v>3338</v>
      </c>
    </row>
    <row r="3341" spans="4:4">
      <c r="D3341">
        <v>3339</v>
      </c>
    </row>
    <row r="3342" spans="4:4">
      <c r="D3342">
        <v>3340</v>
      </c>
    </row>
    <row r="3343" spans="4:4">
      <c r="D3343">
        <v>3341</v>
      </c>
    </row>
    <row r="3344" spans="4:4">
      <c r="D3344">
        <v>3342</v>
      </c>
    </row>
    <row r="3345" spans="4:4">
      <c r="D3345">
        <v>3343</v>
      </c>
    </row>
    <row r="3346" spans="4:4">
      <c r="D3346">
        <v>3344</v>
      </c>
    </row>
    <row r="3347" spans="4:4">
      <c r="D3347">
        <v>3345</v>
      </c>
    </row>
    <row r="3348" spans="4:4">
      <c r="D3348">
        <v>3346</v>
      </c>
    </row>
    <row r="3349" spans="4:4">
      <c r="D3349">
        <v>3347</v>
      </c>
    </row>
    <row r="3350" spans="4:4">
      <c r="D3350">
        <v>3348</v>
      </c>
    </row>
    <row r="3351" spans="4:4">
      <c r="D3351">
        <v>3349</v>
      </c>
    </row>
    <row r="3352" spans="4:4">
      <c r="D3352">
        <v>3350</v>
      </c>
    </row>
    <row r="3353" spans="4:4">
      <c r="D3353">
        <v>3351</v>
      </c>
    </row>
    <row r="3354" spans="4:4">
      <c r="D3354">
        <v>3352</v>
      </c>
    </row>
    <row r="3355" spans="4:4">
      <c r="D3355">
        <v>3353</v>
      </c>
    </row>
    <row r="3356" spans="4:4">
      <c r="D3356">
        <v>3354</v>
      </c>
    </row>
    <row r="3357" spans="4:4">
      <c r="D3357">
        <v>3355</v>
      </c>
    </row>
    <row r="3358" spans="4:4">
      <c r="D3358">
        <v>3356</v>
      </c>
    </row>
    <row r="3359" spans="4:4">
      <c r="D3359">
        <v>3357</v>
      </c>
    </row>
    <row r="3360" spans="4:4">
      <c r="D3360">
        <v>3358</v>
      </c>
    </row>
    <row r="3361" spans="4:4">
      <c r="D3361">
        <v>3359</v>
      </c>
    </row>
    <row r="3362" spans="4:4">
      <c r="D3362">
        <v>3360</v>
      </c>
    </row>
    <row r="3363" spans="4:4">
      <c r="D3363">
        <v>3361</v>
      </c>
    </row>
    <row r="3364" spans="4:4">
      <c r="D3364">
        <v>3362</v>
      </c>
    </row>
    <row r="3365" spans="4:4">
      <c r="D3365">
        <v>3363</v>
      </c>
    </row>
    <row r="3366" spans="4:4">
      <c r="D3366">
        <v>3364</v>
      </c>
    </row>
    <row r="3367" spans="4:4">
      <c r="D3367">
        <v>3365</v>
      </c>
    </row>
    <row r="3368" spans="4:4">
      <c r="D3368">
        <v>3366</v>
      </c>
    </row>
    <row r="3369" spans="4:4">
      <c r="D3369">
        <v>3367</v>
      </c>
    </row>
    <row r="3370" spans="4:4">
      <c r="D3370">
        <v>3368</v>
      </c>
    </row>
    <row r="3371" spans="4:4">
      <c r="D3371">
        <v>3369</v>
      </c>
    </row>
    <row r="3372" spans="4:4">
      <c r="D3372">
        <v>3370</v>
      </c>
    </row>
    <row r="3373" spans="4:4">
      <c r="D3373">
        <v>3371</v>
      </c>
    </row>
    <row r="3374" spans="4:4">
      <c r="D3374">
        <v>3372</v>
      </c>
    </row>
    <row r="3375" spans="4:4">
      <c r="D3375">
        <v>3373</v>
      </c>
    </row>
    <row r="3376" spans="4:4">
      <c r="D3376">
        <v>3374</v>
      </c>
    </row>
    <row r="3377" spans="4:4">
      <c r="D3377">
        <v>3375</v>
      </c>
    </row>
    <row r="3378" spans="4:4">
      <c r="D3378">
        <v>3376</v>
      </c>
    </row>
    <row r="3379" spans="4:4">
      <c r="D3379">
        <v>3377</v>
      </c>
    </row>
    <row r="3380" spans="4:4">
      <c r="D3380">
        <v>3378</v>
      </c>
    </row>
    <row r="3381" spans="4:4">
      <c r="D3381">
        <v>3379</v>
      </c>
    </row>
    <row r="3382" spans="4:4">
      <c r="D3382">
        <v>3380</v>
      </c>
    </row>
    <row r="3383" spans="4:4">
      <c r="D3383">
        <v>3381</v>
      </c>
    </row>
    <row r="3384" spans="4:4">
      <c r="D3384">
        <v>3382</v>
      </c>
    </row>
    <row r="3385" spans="4:4">
      <c r="D3385">
        <v>3383</v>
      </c>
    </row>
    <row r="3386" spans="4:4">
      <c r="D3386">
        <v>3384</v>
      </c>
    </row>
    <row r="3387" spans="4:4">
      <c r="D3387">
        <v>3385</v>
      </c>
    </row>
    <row r="3388" spans="4:4">
      <c r="D3388">
        <v>3386</v>
      </c>
    </row>
    <row r="3389" spans="4:4">
      <c r="D3389">
        <v>3387</v>
      </c>
    </row>
    <row r="3390" spans="4:4">
      <c r="D3390">
        <v>3388</v>
      </c>
    </row>
    <row r="3391" spans="4:4">
      <c r="D3391">
        <v>3389</v>
      </c>
    </row>
    <row r="3392" spans="4:4">
      <c r="D3392">
        <v>3390</v>
      </c>
    </row>
    <row r="3393" spans="4:4">
      <c r="D3393">
        <v>3391</v>
      </c>
    </row>
    <row r="3394" spans="4:4">
      <c r="D3394">
        <v>3392</v>
      </c>
    </row>
    <row r="3395" spans="4:4">
      <c r="D3395">
        <v>3393</v>
      </c>
    </row>
    <row r="3396" spans="4:4">
      <c r="D3396">
        <v>3394</v>
      </c>
    </row>
    <row r="3397" spans="4:4">
      <c r="D3397">
        <v>3395</v>
      </c>
    </row>
    <row r="3398" spans="4:4">
      <c r="D3398">
        <v>3396</v>
      </c>
    </row>
    <row r="3399" spans="4:4">
      <c r="D3399">
        <v>3397</v>
      </c>
    </row>
    <row r="3400" spans="4:4">
      <c r="D3400">
        <v>3398</v>
      </c>
    </row>
    <row r="3401" spans="4:4">
      <c r="D3401">
        <v>3399</v>
      </c>
    </row>
    <row r="3402" spans="4:4">
      <c r="D3402">
        <v>3400</v>
      </c>
    </row>
    <row r="3403" spans="4:4">
      <c r="D3403">
        <v>3401</v>
      </c>
    </row>
    <row r="3404" spans="4:4">
      <c r="D3404">
        <v>3402</v>
      </c>
    </row>
    <row r="3405" spans="4:4">
      <c r="D3405">
        <v>3403</v>
      </c>
    </row>
    <row r="3406" spans="4:4">
      <c r="D3406">
        <v>3404</v>
      </c>
    </row>
    <row r="3407" spans="4:4">
      <c r="D3407">
        <v>3405</v>
      </c>
    </row>
    <row r="3408" spans="4:4">
      <c r="D3408">
        <v>3406</v>
      </c>
    </row>
    <row r="3409" spans="4:4">
      <c r="D3409">
        <v>3407</v>
      </c>
    </row>
    <row r="3410" spans="4:4">
      <c r="D3410">
        <v>3408</v>
      </c>
    </row>
    <row r="3411" spans="4:4">
      <c r="D3411">
        <v>3409</v>
      </c>
    </row>
    <row r="3412" spans="4:4">
      <c r="D3412">
        <v>3410</v>
      </c>
    </row>
    <row r="3413" spans="4:4">
      <c r="D3413">
        <v>3411</v>
      </c>
    </row>
    <row r="3414" spans="4:4">
      <c r="D3414">
        <v>3412</v>
      </c>
    </row>
    <row r="3415" spans="4:4">
      <c r="D3415">
        <v>3413</v>
      </c>
    </row>
    <row r="3416" spans="4:4">
      <c r="D3416">
        <v>3414</v>
      </c>
    </row>
    <row r="3417" spans="4:4">
      <c r="D3417">
        <v>3415</v>
      </c>
    </row>
    <row r="3418" spans="4:4">
      <c r="D3418">
        <v>3416</v>
      </c>
    </row>
    <row r="3419" spans="4:4">
      <c r="D3419">
        <v>3417</v>
      </c>
    </row>
    <row r="3420" spans="4:4">
      <c r="D3420">
        <v>3418</v>
      </c>
    </row>
    <row r="3421" spans="4:4">
      <c r="D3421">
        <v>3419</v>
      </c>
    </row>
    <row r="3422" spans="4:4">
      <c r="D3422">
        <v>3420</v>
      </c>
    </row>
    <row r="3423" spans="4:4">
      <c r="D3423">
        <v>3421</v>
      </c>
    </row>
    <row r="3424" spans="4:4">
      <c r="D3424">
        <v>3422</v>
      </c>
    </row>
    <row r="3425" spans="4:4">
      <c r="D3425">
        <v>3423</v>
      </c>
    </row>
    <row r="3426" spans="4:4">
      <c r="D3426">
        <v>3424</v>
      </c>
    </row>
    <row r="3427" spans="4:4">
      <c r="D3427">
        <v>3425</v>
      </c>
    </row>
    <row r="3428" spans="4:4">
      <c r="D3428">
        <v>3426</v>
      </c>
    </row>
    <row r="3429" spans="4:4">
      <c r="D3429">
        <v>3427</v>
      </c>
    </row>
    <row r="3430" spans="4:4">
      <c r="D3430">
        <v>3428</v>
      </c>
    </row>
    <row r="3431" spans="4:4">
      <c r="D3431">
        <v>3429</v>
      </c>
    </row>
    <row r="3432" spans="4:4">
      <c r="D3432">
        <v>3430</v>
      </c>
    </row>
    <row r="3433" spans="4:4">
      <c r="D3433">
        <v>3431</v>
      </c>
    </row>
    <row r="3434" spans="4:4">
      <c r="D3434">
        <v>3432</v>
      </c>
    </row>
    <row r="3435" spans="4:4">
      <c r="D3435">
        <v>3433</v>
      </c>
    </row>
    <row r="3436" spans="4:4">
      <c r="D3436">
        <v>3434</v>
      </c>
    </row>
    <row r="3437" spans="4:4">
      <c r="D3437">
        <v>3435</v>
      </c>
    </row>
    <row r="3438" spans="4:4">
      <c r="D3438">
        <v>3436</v>
      </c>
    </row>
    <row r="3439" spans="4:4">
      <c r="D3439">
        <v>3437</v>
      </c>
    </row>
    <row r="3440" spans="4:4">
      <c r="D3440">
        <v>3438</v>
      </c>
    </row>
    <row r="3441" spans="4:4">
      <c r="D3441">
        <v>3439</v>
      </c>
    </row>
    <row r="3442" spans="4:4">
      <c r="D3442">
        <v>3440</v>
      </c>
    </row>
    <row r="3443" spans="4:4">
      <c r="D3443">
        <v>3441</v>
      </c>
    </row>
    <row r="3444" spans="4:4">
      <c r="D3444">
        <v>3442</v>
      </c>
    </row>
    <row r="3445" spans="4:4">
      <c r="D3445">
        <v>3443</v>
      </c>
    </row>
    <row r="3446" spans="4:4">
      <c r="D3446">
        <v>3444</v>
      </c>
    </row>
    <row r="3447" spans="4:4">
      <c r="D3447">
        <v>3445</v>
      </c>
    </row>
    <row r="3448" spans="4:4">
      <c r="D3448">
        <v>3446</v>
      </c>
    </row>
    <row r="3449" spans="4:4">
      <c r="D3449">
        <v>3447</v>
      </c>
    </row>
    <row r="3450" spans="4:4">
      <c r="D3450">
        <v>3448</v>
      </c>
    </row>
    <row r="3451" spans="4:4">
      <c r="D3451">
        <v>3449</v>
      </c>
    </row>
    <row r="3452" spans="4:4">
      <c r="D3452">
        <v>3450</v>
      </c>
    </row>
    <row r="3453" spans="4:4">
      <c r="D3453">
        <v>3451</v>
      </c>
    </row>
    <row r="3454" spans="4:4">
      <c r="D3454">
        <v>3452</v>
      </c>
    </row>
    <row r="3455" spans="4:4">
      <c r="D3455">
        <v>3453</v>
      </c>
    </row>
    <row r="3456" spans="4:4">
      <c r="D3456">
        <v>3454</v>
      </c>
    </row>
    <row r="3457" spans="4:4">
      <c r="D3457">
        <v>3455</v>
      </c>
    </row>
    <row r="3458" spans="4:4">
      <c r="D3458">
        <v>3456</v>
      </c>
    </row>
    <row r="3459" spans="4:4">
      <c r="D3459">
        <v>3457</v>
      </c>
    </row>
    <row r="3460" spans="4:4">
      <c r="D3460">
        <v>3458</v>
      </c>
    </row>
    <row r="3461" spans="4:4">
      <c r="D3461">
        <v>3459</v>
      </c>
    </row>
    <row r="3462" spans="4:4">
      <c r="D3462">
        <v>3460</v>
      </c>
    </row>
    <row r="3463" spans="4:4">
      <c r="D3463">
        <v>3461</v>
      </c>
    </row>
    <row r="3464" spans="4:4">
      <c r="D3464">
        <v>3462</v>
      </c>
    </row>
    <row r="3465" spans="4:4">
      <c r="D3465">
        <v>3463</v>
      </c>
    </row>
    <row r="3466" spans="4:4">
      <c r="D3466">
        <v>3464</v>
      </c>
    </row>
    <row r="3467" spans="4:4">
      <c r="D3467">
        <v>3465</v>
      </c>
    </row>
    <row r="3468" spans="4:4">
      <c r="D3468">
        <v>3466</v>
      </c>
    </row>
    <row r="3469" spans="4:4">
      <c r="D3469">
        <v>3467</v>
      </c>
    </row>
    <row r="3470" spans="4:4">
      <c r="D3470">
        <v>3468</v>
      </c>
    </row>
    <row r="3471" spans="4:4">
      <c r="D3471">
        <v>3469</v>
      </c>
    </row>
    <row r="3472" spans="4:4">
      <c r="D3472">
        <v>3470</v>
      </c>
    </row>
    <row r="3473" spans="4:4">
      <c r="D3473">
        <v>3471</v>
      </c>
    </row>
    <row r="3474" spans="4:4">
      <c r="D3474">
        <v>3472</v>
      </c>
    </row>
    <row r="3475" spans="4:4">
      <c r="D3475">
        <v>3473</v>
      </c>
    </row>
    <row r="3476" spans="4:4">
      <c r="D3476">
        <v>3474</v>
      </c>
    </row>
    <row r="3477" spans="4:4">
      <c r="D3477">
        <v>3475</v>
      </c>
    </row>
    <row r="3478" spans="4:4">
      <c r="D3478">
        <v>3476</v>
      </c>
    </row>
    <row r="3479" spans="4:4">
      <c r="D3479">
        <v>3477</v>
      </c>
    </row>
    <row r="3480" spans="4:4">
      <c r="D3480">
        <v>3478</v>
      </c>
    </row>
    <row r="3481" spans="4:4">
      <c r="D3481">
        <v>3479</v>
      </c>
    </row>
    <row r="3482" spans="4:4">
      <c r="D3482">
        <v>3480</v>
      </c>
    </row>
    <row r="3483" spans="4:4">
      <c r="D3483">
        <v>3481</v>
      </c>
    </row>
    <row r="3484" spans="4:4">
      <c r="D3484">
        <v>3482</v>
      </c>
    </row>
    <row r="3485" spans="4:4">
      <c r="D3485">
        <v>3483</v>
      </c>
    </row>
    <row r="3486" spans="4:4">
      <c r="D3486">
        <v>3484</v>
      </c>
    </row>
    <row r="3487" spans="4:4">
      <c r="D3487">
        <v>3485</v>
      </c>
    </row>
    <row r="3488" spans="4:4">
      <c r="D3488">
        <v>3486</v>
      </c>
    </row>
    <row r="3489" spans="4:4">
      <c r="D3489">
        <v>3487</v>
      </c>
    </row>
    <row r="3490" spans="4:4">
      <c r="D3490">
        <v>3488</v>
      </c>
    </row>
    <row r="3491" spans="4:4">
      <c r="D3491">
        <v>3489</v>
      </c>
    </row>
    <row r="3492" spans="4:4">
      <c r="D3492">
        <v>3490</v>
      </c>
    </row>
    <row r="3493" spans="4:4">
      <c r="D3493">
        <v>3491</v>
      </c>
    </row>
    <row r="3494" spans="4:4">
      <c r="D3494">
        <v>3492</v>
      </c>
    </row>
    <row r="3495" spans="4:4">
      <c r="D3495">
        <v>3493</v>
      </c>
    </row>
    <row r="3496" spans="4:4">
      <c r="D3496">
        <v>3494</v>
      </c>
    </row>
    <row r="3497" spans="4:4">
      <c r="D3497">
        <v>3495</v>
      </c>
    </row>
    <row r="3498" spans="4:4">
      <c r="D3498">
        <v>3496</v>
      </c>
    </row>
    <row r="3499" spans="4:4">
      <c r="D3499">
        <v>3497</v>
      </c>
    </row>
    <row r="3500" spans="4:4">
      <c r="D3500">
        <v>3498</v>
      </c>
    </row>
    <row r="3501" spans="4:4">
      <c r="D3501">
        <v>3499</v>
      </c>
    </row>
    <row r="3502" spans="4:4">
      <c r="D3502">
        <v>3500</v>
      </c>
    </row>
    <row r="3503" spans="4:4">
      <c r="D3503">
        <v>3501</v>
      </c>
    </row>
    <row r="3504" spans="4:4">
      <c r="D3504">
        <v>3502</v>
      </c>
    </row>
    <row r="3505" spans="4:4">
      <c r="D3505">
        <v>3503</v>
      </c>
    </row>
    <row r="3506" spans="4:4">
      <c r="D3506">
        <v>3504</v>
      </c>
    </row>
    <row r="3507" spans="4:4">
      <c r="D3507">
        <v>3505</v>
      </c>
    </row>
    <row r="3508" spans="4:4">
      <c r="D3508">
        <v>3506</v>
      </c>
    </row>
    <row r="3509" spans="4:4">
      <c r="D3509">
        <v>3507</v>
      </c>
    </row>
    <row r="3510" spans="4:4">
      <c r="D3510">
        <v>3508</v>
      </c>
    </row>
    <row r="3511" spans="4:4">
      <c r="D3511">
        <v>3509</v>
      </c>
    </row>
    <row r="3512" spans="4:4">
      <c r="D3512">
        <v>3510</v>
      </c>
    </row>
    <row r="3513" spans="4:4">
      <c r="D3513">
        <v>3511</v>
      </c>
    </row>
    <row r="3514" spans="4:4">
      <c r="D3514">
        <v>3512</v>
      </c>
    </row>
    <row r="3515" spans="4:4">
      <c r="D3515">
        <v>3513</v>
      </c>
    </row>
    <row r="3516" spans="4:4">
      <c r="D3516">
        <v>3514</v>
      </c>
    </row>
    <row r="3517" spans="4:4">
      <c r="D3517">
        <v>3515</v>
      </c>
    </row>
    <row r="3518" spans="4:4">
      <c r="D3518">
        <v>3516</v>
      </c>
    </row>
    <row r="3519" spans="4:4">
      <c r="D3519">
        <v>3517</v>
      </c>
    </row>
    <row r="3520" spans="4:4">
      <c r="D3520">
        <v>3518</v>
      </c>
    </row>
    <row r="3521" spans="4:4">
      <c r="D3521">
        <v>3519</v>
      </c>
    </row>
    <row r="3522" spans="4:4">
      <c r="D3522">
        <v>3520</v>
      </c>
    </row>
    <row r="3523" spans="4:4">
      <c r="D3523">
        <v>3521</v>
      </c>
    </row>
    <row r="3524" spans="4:4">
      <c r="D3524">
        <v>3522</v>
      </c>
    </row>
    <row r="3525" spans="4:4">
      <c r="D3525">
        <v>3523</v>
      </c>
    </row>
    <row r="3526" spans="4:4">
      <c r="D3526">
        <v>3524</v>
      </c>
    </row>
    <row r="3527" spans="4:4">
      <c r="D3527">
        <v>3525</v>
      </c>
    </row>
    <row r="3528" spans="4:4">
      <c r="D3528">
        <v>3526</v>
      </c>
    </row>
    <row r="3529" spans="4:4">
      <c r="D3529">
        <v>3527</v>
      </c>
    </row>
    <row r="3530" spans="4:4">
      <c r="D3530">
        <v>3528</v>
      </c>
    </row>
    <row r="3531" spans="4:4">
      <c r="D3531">
        <v>3529</v>
      </c>
    </row>
    <row r="3532" spans="4:4">
      <c r="D3532">
        <v>3530</v>
      </c>
    </row>
    <row r="3533" spans="4:4">
      <c r="D3533">
        <v>3531</v>
      </c>
    </row>
    <row r="3534" spans="4:4">
      <c r="D3534">
        <v>3532</v>
      </c>
    </row>
    <row r="3535" spans="4:4">
      <c r="D3535">
        <v>3533</v>
      </c>
    </row>
    <row r="3536" spans="4:4">
      <c r="D3536">
        <v>3534</v>
      </c>
    </row>
    <row r="3537" spans="4:4">
      <c r="D3537">
        <v>3535</v>
      </c>
    </row>
    <row r="3538" spans="4:4">
      <c r="D3538">
        <v>3536</v>
      </c>
    </row>
    <row r="3539" spans="4:4">
      <c r="D3539">
        <v>3537</v>
      </c>
    </row>
    <row r="3540" spans="4:4">
      <c r="D3540">
        <v>3538</v>
      </c>
    </row>
    <row r="3541" spans="4:4">
      <c r="D3541">
        <v>3539</v>
      </c>
    </row>
    <row r="3542" spans="4:4">
      <c r="D3542">
        <v>3540</v>
      </c>
    </row>
    <row r="3543" spans="4:4">
      <c r="D3543">
        <v>3541</v>
      </c>
    </row>
    <row r="3544" spans="4:4">
      <c r="D3544">
        <v>3542</v>
      </c>
    </row>
    <row r="3545" spans="4:4">
      <c r="D3545">
        <v>3543</v>
      </c>
    </row>
    <row r="3546" spans="4:4">
      <c r="D3546">
        <v>3544</v>
      </c>
    </row>
    <row r="3547" spans="4:4">
      <c r="D3547">
        <v>3545</v>
      </c>
    </row>
    <row r="3548" spans="4:4">
      <c r="D3548">
        <v>3546</v>
      </c>
    </row>
    <row r="3549" spans="4:4">
      <c r="D3549">
        <v>3547</v>
      </c>
    </row>
    <row r="3550" spans="4:4">
      <c r="D3550">
        <v>3548</v>
      </c>
    </row>
    <row r="3551" spans="4:4">
      <c r="D3551">
        <v>3549</v>
      </c>
    </row>
    <row r="3552" spans="4:4">
      <c r="D3552">
        <v>3550</v>
      </c>
    </row>
    <row r="3553" spans="4:4">
      <c r="D3553">
        <v>3551</v>
      </c>
    </row>
    <row r="3554" spans="4:4">
      <c r="D3554">
        <v>3552</v>
      </c>
    </row>
    <row r="3555" spans="4:4">
      <c r="D3555">
        <v>3553</v>
      </c>
    </row>
    <row r="3556" spans="4:4">
      <c r="D3556">
        <v>3554</v>
      </c>
    </row>
    <row r="3557" spans="4:4">
      <c r="D3557">
        <v>3555</v>
      </c>
    </row>
    <row r="3558" spans="4:4">
      <c r="D3558">
        <v>3556</v>
      </c>
    </row>
    <row r="3559" spans="4:4">
      <c r="D3559">
        <v>3557</v>
      </c>
    </row>
    <row r="3560" spans="4:4">
      <c r="D3560">
        <v>3558</v>
      </c>
    </row>
    <row r="3561" spans="4:4">
      <c r="D3561">
        <v>3559</v>
      </c>
    </row>
    <row r="3562" spans="4:4">
      <c r="D3562">
        <v>3560</v>
      </c>
    </row>
    <row r="3563" spans="4:4">
      <c r="D3563">
        <v>3561</v>
      </c>
    </row>
    <row r="3564" spans="4:4">
      <c r="D3564">
        <v>3562</v>
      </c>
    </row>
    <row r="3565" spans="4:4">
      <c r="D3565">
        <v>3563</v>
      </c>
    </row>
    <row r="3566" spans="4:4">
      <c r="D3566">
        <v>3564</v>
      </c>
    </row>
    <row r="3567" spans="4:4">
      <c r="D3567">
        <v>3565</v>
      </c>
    </row>
    <row r="3568" spans="4:4">
      <c r="D3568">
        <v>3566</v>
      </c>
    </row>
    <row r="3569" spans="4:4">
      <c r="D3569">
        <v>3567</v>
      </c>
    </row>
    <row r="3570" spans="4:4">
      <c r="D3570">
        <v>3568</v>
      </c>
    </row>
    <row r="3571" spans="4:4">
      <c r="D3571">
        <v>3569</v>
      </c>
    </row>
    <row r="3572" spans="4:4">
      <c r="D3572">
        <v>3570</v>
      </c>
    </row>
    <row r="3573" spans="4:4">
      <c r="D3573">
        <v>3571</v>
      </c>
    </row>
    <row r="3574" spans="4:4">
      <c r="D3574">
        <v>3572</v>
      </c>
    </row>
    <row r="3575" spans="4:4">
      <c r="D3575">
        <v>3573</v>
      </c>
    </row>
    <row r="3576" spans="4:4">
      <c r="D3576">
        <v>3574</v>
      </c>
    </row>
    <row r="3577" spans="4:4">
      <c r="D3577">
        <v>3575</v>
      </c>
    </row>
    <row r="3578" spans="4:4">
      <c r="D3578">
        <v>3576</v>
      </c>
    </row>
    <row r="3579" spans="4:4">
      <c r="D3579">
        <v>3577</v>
      </c>
    </row>
    <row r="3580" spans="4:4">
      <c r="D3580">
        <v>3578</v>
      </c>
    </row>
    <row r="3581" spans="4:4">
      <c r="D3581">
        <v>3579</v>
      </c>
    </row>
    <row r="3582" spans="4:4">
      <c r="D3582">
        <v>3580</v>
      </c>
    </row>
    <row r="3583" spans="4:4">
      <c r="D3583">
        <v>3581</v>
      </c>
    </row>
    <row r="3584" spans="4:4">
      <c r="D3584">
        <v>3582</v>
      </c>
    </row>
    <row r="3585" spans="4:4">
      <c r="D3585">
        <v>3583</v>
      </c>
    </row>
    <row r="3586" spans="4:4">
      <c r="D3586">
        <v>3584</v>
      </c>
    </row>
    <row r="3587" spans="4:4">
      <c r="D3587">
        <v>3585</v>
      </c>
    </row>
    <row r="3588" spans="4:4">
      <c r="D3588">
        <v>3586</v>
      </c>
    </row>
    <row r="3589" spans="4:4">
      <c r="D3589">
        <v>3587</v>
      </c>
    </row>
    <row r="3590" spans="4:4">
      <c r="D3590">
        <v>3588</v>
      </c>
    </row>
    <row r="3591" spans="4:4">
      <c r="D3591">
        <v>3589</v>
      </c>
    </row>
    <row r="3592" spans="4:4">
      <c r="D3592">
        <v>3590</v>
      </c>
    </row>
    <row r="3593" spans="4:4">
      <c r="D3593">
        <v>3591</v>
      </c>
    </row>
    <row r="3594" spans="4:4">
      <c r="D3594">
        <v>3592</v>
      </c>
    </row>
    <row r="3595" spans="4:4">
      <c r="D3595">
        <v>3593</v>
      </c>
    </row>
    <row r="3596" spans="4:4">
      <c r="D3596">
        <v>3594</v>
      </c>
    </row>
    <row r="3597" spans="4:4">
      <c r="D3597">
        <v>3595</v>
      </c>
    </row>
    <row r="3598" spans="4:4">
      <c r="D3598">
        <v>3596</v>
      </c>
    </row>
    <row r="3599" spans="4:4">
      <c r="D3599">
        <v>3597</v>
      </c>
    </row>
    <row r="3600" spans="4:4">
      <c r="D3600">
        <v>3598</v>
      </c>
    </row>
    <row r="3601" spans="4:4">
      <c r="D3601">
        <v>3599</v>
      </c>
    </row>
    <row r="3602" spans="4:4">
      <c r="D3602">
        <v>3600</v>
      </c>
    </row>
    <row r="3603" spans="4:4">
      <c r="D3603">
        <v>3601</v>
      </c>
    </row>
    <row r="3604" spans="4:4">
      <c r="D3604">
        <v>3602</v>
      </c>
    </row>
    <row r="3605" spans="4:4">
      <c r="D3605">
        <v>3603</v>
      </c>
    </row>
    <row r="3606" spans="4:4">
      <c r="D3606">
        <v>3604</v>
      </c>
    </row>
    <row r="3607" spans="4:4">
      <c r="D3607">
        <v>3605</v>
      </c>
    </row>
    <row r="3608" spans="4:4">
      <c r="D3608">
        <v>3606</v>
      </c>
    </row>
    <row r="3609" spans="4:4">
      <c r="D3609">
        <v>3607</v>
      </c>
    </row>
    <row r="3610" spans="4:4">
      <c r="D3610">
        <v>3608</v>
      </c>
    </row>
    <row r="3611" spans="4:4">
      <c r="D3611">
        <v>3609</v>
      </c>
    </row>
    <row r="3612" spans="4:4">
      <c r="D3612">
        <v>3610</v>
      </c>
    </row>
    <row r="3613" spans="4:4">
      <c r="D3613">
        <v>3611</v>
      </c>
    </row>
    <row r="3614" spans="4:4">
      <c r="D3614">
        <v>3612</v>
      </c>
    </row>
    <row r="3615" spans="4:4">
      <c r="D3615">
        <v>3613</v>
      </c>
    </row>
    <row r="3616" spans="4:4">
      <c r="D3616">
        <v>3614</v>
      </c>
    </row>
    <row r="3617" spans="4:4">
      <c r="D3617">
        <v>3615</v>
      </c>
    </row>
    <row r="3618" spans="4:4">
      <c r="D3618">
        <v>3616</v>
      </c>
    </row>
    <row r="3619" spans="4:4">
      <c r="D3619">
        <v>3617</v>
      </c>
    </row>
    <row r="3620" spans="4:4">
      <c r="D3620">
        <v>3618</v>
      </c>
    </row>
    <row r="3621" spans="4:4">
      <c r="D3621">
        <v>3619</v>
      </c>
    </row>
    <row r="3622" spans="4:4">
      <c r="D3622">
        <v>3620</v>
      </c>
    </row>
    <row r="3623" spans="4:4">
      <c r="D3623">
        <v>3621</v>
      </c>
    </row>
    <row r="3624" spans="4:4">
      <c r="D3624">
        <v>3622</v>
      </c>
    </row>
    <row r="3625" spans="4:4">
      <c r="D3625">
        <v>3623</v>
      </c>
    </row>
    <row r="3626" spans="4:4">
      <c r="D3626">
        <v>3624</v>
      </c>
    </row>
    <row r="3627" spans="4:4">
      <c r="D3627">
        <v>3625</v>
      </c>
    </row>
    <row r="3628" spans="4:4">
      <c r="D3628">
        <v>3626</v>
      </c>
    </row>
    <row r="3629" spans="4:4">
      <c r="D3629">
        <v>3627</v>
      </c>
    </row>
    <row r="3630" spans="4:4">
      <c r="D3630">
        <v>3628</v>
      </c>
    </row>
    <row r="3631" spans="4:4">
      <c r="D3631">
        <v>3629</v>
      </c>
    </row>
    <row r="3632" spans="4:4">
      <c r="D3632">
        <v>3630</v>
      </c>
    </row>
    <row r="3633" spans="4:4">
      <c r="D3633">
        <v>3631</v>
      </c>
    </row>
    <row r="3634" spans="4:4">
      <c r="D3634">
        <v>3632</v>
      </c>
    </row>
    <row r="3635" spans="4:4">
      <c r="D3635">
        <v>3633</v>
      </c>
    </row>
    <row r="3636" spans="4:4">
      <c r="D3636">
        <v>3634</v>
      </c>
    </row>
    <row r="3637" spans="4:4">
      <c r="D3637">
        <v>3635</v>
      </c>
    </row>
    <row r="3638" spans="4:4">
      <c r="D3638">
        <v>3636</v>
      </c>
    </row>
    <row r="3639" spans="4:4">
      <c r="D3639">
        <v>3637</v>
      </c>
    </row>
    <row r="3640" spans="4:4">
      <c r="D3640">
        <v>3638</v>
      </c>
    </row>
    <row r="3641" spans="4:4">
      <c r="D3641">
        <v>3639</v>
      </c>
    </row>
    <row r="3642" spans="4:4">
      <c r="D3642">
        <v>3640</v>
      </c>
    </row>
    <row r="3643" spans="4:4">
      <c r="D3643">
        <v>3641</v>
      </c>
    </row>
    <row r="3644" spans="4:4">
      <c r="D3644">
        <v>3642</v>
      </c>
    </row>
    <row r="3645" spans="4:4">
      <c r="D3645">
        <v>3643</v>
      </c>
    </row>
    <row r="3646" spans="4:4">
      <c r="D3646">
        <v>3644</v>
      </c>
    </row>
    <row r="3647" spans="4:4">
      <c r="D3647">
        <v>3645</v>
      </c>
    </row>
    <row r="3648" spans="4:4">
      <c r="D3648">
        <v>3646</v>
      </c>
    </row>
    <row r="3649" spans="4:4">
      <c r="D3649">
        <v>3647</v>
      </c>
    </row>
    <row r="3650" spans="4:4">
      <c r="D3650">
        <v>3648</v>
      </c>
    </row>
    <row r="3651" spans="4:4">
      <c r="D3651">
        <v>3649</v>
      </c>
    </row>
    <row r="3652" spans="4:4">
      <c r="D3652">
        <v>3650</v>
      </c>
    </row>
    <row r="3653" spans="4:4">
      <c r="D3653">
        <v>3651</v>
      </c>
    </row>
    <row r="3654" spans="4:4">
      <c r="D3654">
        <v>3652</v>
      </c>
    </row>
    <row r="3655" spans="4:4">
      <c r="D3655">
        <v>3653</v>
      </c>
    </row>
    <row r="3656" spans="4:4">
      <c r="D3656">
        <v>3654</v>
      </c>
    </row>
    <row r="3657" spans="4:4">
      <c r="D3657">
        <v>3655</v>
      </c>
    </row>
    <row r="3658" spans="4:4">
      <c r="D3658">
        <v>3656</v>
      </c>
    </row>
    <row r="3659" spans="4:4">
      <c r="D3659">
        <v>3657</v>
      </c>
    </row>
    <row r="3660" spans="4:4">
      <c r="D3660">
        <v>3658</v>
      </c>
    </row>
    <row r="3661" spans="4:4">
      <c r="D3661">
        <v>3659</v>
      </c>
    </row>
    <row r="3662" spans="4:4">
      <c r="D3662">
        <v>3660</v>
      </c>
    </row>
    <row r="3663" spans="4:4">
      <c r="D3663">
        <v>3661</v>
      </c>
    </row>
    <row r="3664" spans="4:4">
      <c r="D3664">
        <v>3662</v>
      </c>
    </row>
    <row r="3665" spans="4:4">
      <c r="D3665">
        <v>3663</v>
      </c>
    </row>
    <row r="3666" spans="4:4">
      <c r="D3666">
        <v>3664</v>
      </c>
    </row>
    <row r="3667" spans="4:4">
      <c r="D3667">
        <v>3665</v>
      </c>
    </row>
    <row r="3668" spans="4:4">
      <c r="D3668">
        <v>3666</v>
      </c>
    </row>
    <row r="3669" spans="4:4">
      <c r="D3669">
        <v>3667</v>
      </c>
    </row>
    <row r="3670" spans="4:4">
      <c r="D3670">
        <v>3668</v>
      </c>
    </row>
    <row r="3671" spans="4:4">
      <c r="D3671">
        <v>3669</v>
      </c>
    </row>
    <row r="3672" spans="4:4">
      <c r="D3672">
        <v>3670</v>
      </c>
    </row>
    <row r="3673" spans="4:4">
      <c r="D3673">
        <v>3671</v>
      </c>
    </row>
    <row r="3674" spans="4:4">
      <c r="D3674">
        <v>3672</v>
      </c>
    </row>
    <row r="3675" spans="4:4">
      <c r="D3675">
        <v>3673</v>
      </c>
    </row>
    <row r="3676" spans="4:4">
      <c r="D3676">
        <v>3674</v>
      </c>
    </row>
    <row r="3677" spans="4:4">
      <c r="D3677">
        <v>3675</v>
      </c>
    </row>
    <row r="3678" spans="4:4">
      <c r="D3678">
        <v>3676</v>
      </c>
    </row>
    <row r="3679" spans="4:4">
      <c r="D3679">
        <v>3677</v>
      </c>
    </row>
    <row r="3680" spans="4:4">
      <c r="D3680">
        <v>3678</v>
      </c>
    </row>
    <row r="3681" spans="4:4">
      <c r="D3681">
        <v>3679</v>
      </c>
    </row>
    <row r="3682" spans="4:4">
      <c r="D3682">
        <v>3680</v>
      </c>
    </row>
    <row r="3683" spans="4:4">
      <c r="D3683">
        <v>3681</v>
      </c>
    </row>
    <row r="3684" spans="4:4">
      <c r="D3684">
        <v>3682</v>
      </c>
    </row>
    <row r="3685" spans="4:4">
      <c r="D3685">
        <v>3683</v>
      </c>
    </row>
    <row r="3686" spans="4:4">
      <c r="D3686">
        <v>3684</v>
      </c>
    </row>
    <row r="3687" spans="4:4">
      <c r="D3687">
        <v>3685</v>
      </c>
    </row>
    <row r="3688" spans="4:4">
      <c r="D3688">
        <v>3686</v>
      </c>
    </row>
    <row r="3689" spans="4:4">
      <c r="D3689">
        <v>3687</v>
      </c>
    </row>
    <row r="3690" spans="4:4">
      <c r="D3690">
        <v>3688</v>
      </c>
    </row>
    <row r="3691" spans="4:4">
      <c r="D3691">
        <v>3689</v>
      </c>
    </row>
    <row r="3692" spans="4:4">
      <c r="D3692">
        <v>3690</v>
      </c>
    </row>
    <row r="3693" spans="4:4">
      <c r="D3693">
        <v>3691</v>
      </c>
    </row>
    <row r="3694" spans="4:4">
      <c r="D3694">
        <v>3692</v>
      </c>
    </row>
    <row r="3695" spans="4:4">
      <c r="D3695">
        <v>3693</v>
      </c>
    </row>
    <row r="3696" spans="4:4">
      <c r="D3696">
        <v>3694</v>
      </c>
    </row>
    <row r="3697" spans="4:4">
      <c r="D3697">
        <v>3695</v>
      </c>
    </row>
    <row r="3698" spans="4:4">
      <c r="D3698">
        <v>3696</v>
      </c>
    </row>
    <row r="3699" spans="4:4">
      <c r="D3699">
        <v>3697</v>
      </c>
    </row>
    <row r="3700" spans="4:4">
      <c r="D3700">
        <v>3698</v>
      </c>
    </row>
    <row r="3701" spans="4:4">
      <c r="D3701">
        <v>3699</v>
      </c>
    </row>
    <row r="3702" spans="4:4">
      <c r="D3702">
        <v>3700</v>
      </c>
    </row>
    <row r="3703" spans="4:4">
      <c r="D3703">
        <v>3701</v>
      </c>
    </row>
    <row r="3704" spans="4:4">
      <c r="D3704">
        <v>3702</v>
      </c>
    </row>
    <row r="3705" spans="4:4">
      <c r="D3705">
        <v>3703</v>
      </c>
    </row>
    <row r="3706" spans="4:4">
      <c r="D3706">
        <v>3704</v>
      </c>
    </row>
    <row r="3707" spans="4:4">
      <c r="D3707">
        <v>3705</v>
      </c>
    </row>
    <row r="3708" spans="4:4">
      <c r="D3708">
        <v>3706</v>
      </c>
    </row>
    <row r="3709" spans="4:4">
      <c r="D3709">
        <v>3707</v>
      </c>
    </row>
    <row r="3710" spans="4:4">
      <c r="D3710">
        <v>3708</v>
      </c>
    </row>
    <row r="3711" spans="4:4">
      <c r="D3711">
        <v>3709</v>
      </c>
    </row>
    <row r="3712" spans="4:4">
      <c r="D3712">
        <v>3710</v>
      </c>
    </row>
    <row r="3713" spans="4:4">
      <c r="D3713">
        <v>3711</v>
      </c>
    </row>
    <row r="3714" spans="4:4">
      <c r="D3714">
        <v>3712</v>
      </c>
    </row>
    <row r="3715" spans="4:4">
      <c r="D3715">
        <v>3713</v>
      </c>
    </row>
    <row r="3716" spans="4:4">
      <c r="D3716">
        <v>3714</v>
      </c>
    </row>
    <row r="3717" spans="4:4">
      <c r="D3717">
        <v>3715</v>
      </c>
    </row>
    <row r="3718" spans="4:4">
      <c r="D3718">
        <v>3716</v>
      </c>
    </row>
    <row r="3719" spans="4:4">
      <c r="D3719">
        <v>3717</v>
      </c>
    </row>
    <row r="3720" spans="4:4">
      <c r="D3720">
        <v>3718</v>
      </c>
    </row>
    <row r="3721" spans="4:4">
      <c r="D3721">
        <v>3719</v>
      </c>
    </row>
    <row r="3722" spans="4:4">
      <c r="D3722">
        <v>3720</v>
      </c>
    </row>
    <row r="3723" spans="4:4">
      <c r="D3723">
        <v>3721</v>
      </c>
    </row>
    <row r="3724" spans="4:4">
      <c r="D3724">
        <v>3722</v>
      </c>
    </row>
    <row r="3725" spans="4:4">
      <c r="D3725">
        <v>3723</v>
      </c>
    </row>
    <row r="3726" spans="4:4">
      <c r="D3726">
        <v>3724</v>
      </c>
    </row>
    <row r="3727" spans="4:4">
      <c r="D3727">
        <v>3725</v>
      </c>
    </row>
    <row r="3728" spans="4:4">
      <c r="D3728">
        <v>3726</v>
      </c>
    </row>
    <row r="3729" spans="4:4">
      <c r="D3729">
        <v>3727</v>
      </c>
    </row>
    <row r="3730" spans="4:4">
      <c r="D3730">
        <v>3728</v>
      </c>
    </row>
    <row r="3731" spans="4:4">
      <c r="D3731">
        <v>3729</v>
      </c>
    </row>
    <row r="3732" spans="4:4">
      <c r="D3732">
        <v>3730</v>
      </c>
    </row>
    <row r="3733" spans="4:4">
      <c r="D3733">
        <v>3731</v>
      </c>
    </row>
    <row r="3734" spans="4:4">
      <c r="D3734">
        <v>3732</v>
      </c>
    </row>
    <row r="3735" spans="4:4">
      <c r="D3735">
        <v>3733</v>
      </c>
    </row>
    <row r="3736" spans="4:4">
      <c r="D3736">
        <v>3734</v>
      </c>
    </row>
    <row r="3737" spans="4:4">
      <c r="D3737">
        <v>3735</v>
      </c>
    </row>
    <row r="3738" spans="4:4">
      <c r="D3738">
        <v>3736</v>
      </c>
    </row>
    <row r="3739" spans="4:4">
      <c r="D3739">
        <v>3737</v>
      </c>
    </row>
    <row r="3740" spans="4:4">
      <c r="D3740">
        <v>3738</v>
      </c>
    </row>
    <row r="3741" spans="4:4">
      <c r="D3741">
        <v>3739</v>
      </c>
    </row>
    <row r="3742" spans="4:4">
      <c r="D3742">
        <v>3740</v>
      </c>
    </row>
    <row r="3743" spans="4:4">
      <c r="D3743">
        <v>3741</v>
      </c>
    </row>
    <row r="3744" spans="4:4">
      <c r="D3744">
        <v>3742</v>
      </c>
    </row>
    <row r="3745" spans="4:4">
      <c r="D3745">
        <v>3743</v>
      </c>
    </row>
    <row r="3746" spans="4:4">
      <c r="D3746">
        <v>3744</v>
      </c>
    </row>
    <row r="3747" spans="4:4">
      <c r="D3747">
        <v>3745</v>
      </c>
    </row>
    <row r="3748" spans="4:4">
      <c r="D3748">
        <v>3746</v>
      </c>
    </row>
    <row r="3749" spans="4:4">
      <c r="D3749">
        <v>3747</v>
      </c>
    </row>
    <row r="3750" spans="4:4">
      <c r="D3750">
        <v>3748</v>
      </c>
    </row>
    <row r="3751" spans="4:4">
      <c r="D3751">
        <v>3749</v>
      </c>
    </row>
    <row r="3752" spans="4:4">
      <c r="D3752">
        <v>3750</v>
      </c>
    </row>
    <row r="3753" spans="4:4">
      <c r="D3753">
        <v>3751</v>
      </c>
    </row>
    <row r="3754" spans="4:4">
      <c r="D3754">
        <v>3752</v>
      </c>
    </row>
    <row r="3755" spans="4:4">
      <c r="D3755">
        <v>3753</v>
      </c>
    </row>
    <row r="3756" spans="4:4">
      <c r="D3756">
        <v>3754</v>
      </c>
    </row>
    <row r="3757" spans="4:4">
      <c r="D3757">
        <v>3755</v>
      </c>
    </row>
    <row r="3758" spans="4:4">
      <c r="D3758">
        <v>3756</v>
      </c>
    </row>
    <row r="3759" spans="4:4">
      <c r="D3759">
        <v>3757</v>
      </c>
    </row>
    <row r="3760" spans="4:4">
      <c r="D3760">
        <v>3758</v>
      </c>
    </row>
    <row r="3761" spans="4:4">
      <c r="D3761">
        <v>3759</v>
      </c>
    </row>
    <row r="3762" spans="4:4">
      <c r="D3762">
        <v>3760</v>
      </c>
    </row>
    <row r="3763" spans="4:4">
      <c r="D3763">
        <v>3761</v>
      </c>
    </row>
    <row r="3764" spans="4:4">
      <c r="D3764">
        <v>3762</v>
      </c>
    </row>
    <row r="3765" spans="4:4">
      <c r="D3765">
        <v>3763</v>
      </c>
    </row>
    <row r="3766" spans="4:4">
      <c r="D3766">
        <v>3764</v>
      </c>
    </row>
    <row r="3767" spans="4:4">
      <c r="D3767">
        <v>3765</v>
      </c>
    </row>
    <row r="3768" spans="4:4">
      <c r="D3768">
        <v>3766</v>
      </c>
    </row>
    <row r="3769" spans="4:4">
      <c r="D3769">
        <v>3767</v>
      </c>
    </row>
    <row r="3770" spans="4:4">
      <c r="D3770">
        <v>3768</v>
      </c>
    </row>
    <row r="3771" spans="4:4">
      <c r="D3771">
        <v>3769</v>
      </c>
    </row>
    <row r="3772" spans="4:4">
      <c r="D3772">
        <v>3770</v>
      </c>
    </row>
    <row r="3773" spans="4:4">
      <c r="D3773">
        <v>3771</v>
      </c>
    </row>
    <row r="3774" spans="4:4">
      <c r="D3774">
        <v>3772</v>
      </c>
    </row>
    <row r="3775" spans="4:4">
      <c r="D3775">
        <v>3773</v>
      </c>
    </row>
    <row r="3776" spans="4:4">
      <c r="D3776">
        <v>3774</v>
      </c>
    </row>
    <row r="3777" spans="4:4">
      <c r="D3777">
        <v>3775</v>
      </c>
    </row>
    <row r="3778" spans="4:4">
      <c r="D3778">
        <v>3776</v>
      </c>
    </row>
    <row r="3779" spans="4:4">
      <c r="D3779">
        <v>3777</v>
      </c>
    </row>
    <row r="3780" spans="4:4">
      <c r="D3780">
        <v>3778</v>
      </c>
    </row>
    <row r="3781" spans="4:4">
      <c r="D3781">
        <v>3779</v>
      </c>
    </row>
    <row r="3782" spans="4:4">
      <c r="D3782">
        <v>3780</v>
      </c>
    </row>
    <row r="3783" spans="4:4">
      <c r="D3783">
        <v>3781</v>
      </c>
    </row>
    <row r="3784" spans="4:4">
      <c r="D3784">
        <v>3782</v>
      </c>
    </row>
    <row r="3785" spans="4:4">
      <c r="D3785">
        <v>3783</v>
      </c>
    </row>
    <row r="3786" spans="4:4">
      <c r="D3786">
        <v>3784</v>
      </c>
    </row>
    <row r="3787" spans="4:4">
      <c r="D3787">
        <v>3785</v>
      </c>
    </row>
    <row r="3788" spans="4:4">
      <c r="D3788">
        <v>3786</v>
      </c>
    </row>
    <row r="3789" spans="4:4">
      <c r="D3789">
        <v>3787</v>
      </c>
    </row>
    <row r="3790" spans="4:4">
      <c r="D3790">
        <v>3788</v>
      </c>
    </row>
    <row r="3791" spans="4:4">
      <c r="D3791">
        <v>3789</v>
      </c>
    </row>
    <row r="3792" spans="4:4">
      <c r="D3792">
        <v>3790</v>
      </c>
    </row>
    <row r="3793" spans="4:4">
      <c r="D3793">
        <v>3791</v>
      </c>
    </row>
    <row r="3794" spans="4:4">
      <c r="D3794">
        <v>3792</v>
      </c>
    </row>
    <row r="3795" spans="4:4">
      <c r="D3795">
        <v>3793</v>
      </c>
    </row>
    <row r="3796" spans="4:4">
      <c r="D3796">
        <v>3794</v>
      </c>
    </row>
    <row r="3797" spans="4:4">
      <c r="D3797">
        <v>3795</v>
      </c>
    </row>
    <row r="3798" spans="4:4">
      <c r="D3798">
        <v>3796</v>
      </c>
    </row>
    <row r="3799" spans="4:4">
      <c r="D3799">
        <v>3797</v>
      </c>
    </row>
    <row r="3800" spans="4:4">
      <c r="D3800">
        <v>3798</v>
      </c>
    </row>
    <row r="3801" spans="4:4">
      <c r="D3801">
        <v>3799</v>
      </c>
    </row>
    <row r="3802" spans="4:4">
      <c r="D3802">
        <v>3800</v>
      </c>
    </row>
    <row r="3803" spans="4:4">
      <c r="D3803">
        <v>3801</v>
      </c>
    </row>
    <row r="3804" spans="4:4">
      <c r="D3804">
        <v>3802</v>
      </c>
    </row>
    <row r="3805" spans="4:4">
      <c r="D3805">
        <v>3803</v>
      </c>
    </row>
    <row r="3806" spans="4:4">
      <c r="D3806">
        <v>3804</v>
      </c>
    </row>
    <row r="3807" spans="4:4">
      <c r="D3807">
        <v>3805</v>
      </c>
    </row>
    <row r="3808" spans="4:4">
      <c r="D3808">
        <v>3806</v>
      </c>
    </row>
    <row r="3809" spans="4:4">
      <c r="D3809">
        <v>3807</v>
      </c>
    </row>
    <row r="3810" spans="4:4">
      <c r="D3810">
        <v>3808</v>
      </c>
    </row>
    <row r="3811" spans="4:4">
      <c r="D3811">
        <v>3809</v>
      </c>
    </row>
    <row r="3812" spans="4:4">
      <c r="D3812">
        <v>3810</v>
      </c>
    </row>
    <row r="3813" spans="4:4">
      <c r="D3813">
        <v>3811</v>
      </c>
    </row>
    <row r="3814" spans="4:4">
      <c r="D3814">
        <v>3812</v>
      </c>
    </row>
    <row r="3815" spans="4:4">
      <c r="D3815">
        <v>3813</v>
      </c>
    </row>
    <row r="3816" spans="4:4">
      <c r="D3816">
        <v>3814</v>
      </c>
    </row>
    <row r="3817" spans="4:4">
      <c r="D3817">
        <v>3815</v>
      </c>
    </row>
    <row r="3818" spans="4:4">
      <c r="D3818">
        <v>3816</v>
      </c>
    </row>
    <row r="3819" spans="4:4">
      <c r="D3819">
        <v>3817</v>
      </c>
    </row>
    <row r="3820" spans="4:4">
      <c r="D3820">
        <v>3818</v>
      </c>
    </row>
    <row r="3821" spans="4:4">
      <c r="D3821">
        <v>3819</v>
      </c>
    </row>
    <row r="3822" spans="4:4">
      <c r="D3822">
        <v>3820</v>
      </c>
    </row>
    <row r="3823" spans="4:4">
      <c r="D3823">
        <v>3821</v>
      </c>
    </row>
    <row r="3824" spans="4:4">
      <c r="D3824">
        <v>3822</v>
      </c>
    </row>
    <row r="3825" spans="4:4">
      <c r="D3825">
        <v>3823</v>
      </c>
    </row>
    <row r="3826" spans="4:4">
      <c r="D3826">
        <v>3824</v>
      </c>
    </row>
    <row r="3827" spans="4:4">
      <c r="D3827">
        <v>3825</v>
      </c>
    </row>
    <row r="3828" spans="4:4">
      <c r="D3828">
        <v>3826</v>
      </c>
    </row>
    <row r="3829" spans="4:4">
      <c r="D3829">
        <v>3827</v>
      </c>
    </row>
    <row r="3830" spans="4:4">
      <c r="D3830">
        <v>3828</v>
      </c>
    </row>
    <row r="3831" spans="4:4">
      <c r="D3831">
        <v>3829</v>
      </c>
    </row>
    <row r="3832" spans="4:4">
      <c r="D3832">
        <v>3830</v>
      </c>
    </row>
    <row r="3833" spans="4:4">
      <c r="D3833">
        <v>3831</v>
      </c>
    </row>
    <row r="3834" spans="4:4">
      <c r="D3834">
        <v>3832</v>
      </c>
    </row>
    <row r="3835" spans="4:4">
      <c r="D3835">
        <v>3833</v>
      </c>
    </row>
    <row r="3836" spans="4:4">
      <c r="D3836">
        <v>3834</v>
      </c>
    </row>
    <row r="3837" spans="4:4">
      <c r="D3837">
        <v>3835</v>
      </c>
    </row>
    <row r="3838" spans="4:4">
      <c r="D3838">
        <v>3836</v>
      </c>
    </row>
    <row r="3839" spans="4:4">
      <c r="D3839">
        <v>3837</v>
      </c>
    </row>
    <row r="3840" spans="4:4">
      <c r="D3840">
        <v>3838</v>
      </c>
    </row>
    <row r="3841" spans="4:4">
      <c r="D3841">
        <v>3839</v>
      </c>
    </row>
    <row r="3842" spans="4:4">
      <c r="D3842">
        <v>3840</v>
      </c>
    </row>
    <row r="3843" spans="4:4">
      <c r="D3843">
        <v>3841</v>
      </c>
    </row>
    <row r="3844" spans="4:4">
      <c r="D3844">
        <v>3842</v>
      </c>
    </row>
    <row r="3845" spans="4:4">
      <c r="D3845">
        <v>3843</v>
      </c>
    </row>
    <row r="3846" spans="4:4">
      <c r="D3846">
        <v>3844</v>
      </c>
    </row>
    <row r="3847" spans="4:4">
      <c r="D3847">
        <v>3845</v>
      </c>
    </row>
    <row r="3848" spans="4:4">
      <c r="D3848">
        <v>3846</v>
      </c>
    </row>
    <row r="3849" spans="4:4">
      <c r="D3849">
        <v>3847</v>
      </c>
    </row>
    <row r="3850" spans="4:4">
      <c r="D3850">
        <v>3848</v>
      </c>
    </row>
    <row r="3851" spans="4:4">
      <c r="D3851">
        <v>3849</v>
      </c>
    </row>
    <row r="3852" spans="4:4">
      <c r="D3852">
        <v>3850</v>
      </c>
    </row>
    <row r="3853" spans="4:4">
      <c r="D3853">
        <v>3851</v>
      </c>
    </row>
    <row r="3854" spans="4:4">
      <c r="D3854">
        <v>3852</v>
      </c>
    </row>
    <row r="3855" spans="4:4">
      <c r="D3855">
        <v>3853</v>
      </c>
    </row>
    <row r="3856" spans="4:4">
      <c r="D3856">
        <v>3854</v>
      </c>
    </row>
    <row r="3857" spans="4:4">
      <c r="D3857">
        <v>3855</v>
      </c>
    </row>
    <row r="3858" spans="4:4">
      <c r="D3858">
        <v>3856</v>
      </c>
    </row>
    <row r="3859" spans="4:4">
      <c r="D3859">
        <v>3857</v>
      </c>
    </row>
    <row r="3860" spans="4:4">
      <c r="D3860">
        <v>3858</v>
      </c>
    </row>
    <row r="3861" spans="4:4">
      <c r="D3861">
        <v>3859</v>
      </c>
    </row>
    <row r="3862" spans="4:4">
      <c r="D3862">
        <v>3860</v>
      </c>
    </row>
    <row r="3863" spans="4:4">
      <c r="D3863">
        <v>3861</v>
      </c>
    </row>
    <row r="3864" spans="4:4">
      <c r="D3864">
        <v>3862</v>
      </c>
    </row>
    <row r="3865" spans="4:4">
      <c r="D3865">
        <v>3863</v>
      </c>
    </row>
    <row r="3866" spans="4:4">
      <c r="D3866">
        <v>3864</v>
      </c>
    </row>
    <row r="3867" spans="4:4">
      <c r="D3867">
        <v>3865</v>
      </c>
    </row>
    <row r="3868" spans="4:4">
      <c r="D3868">
        <v>3866</v>
      </c>
    </row>
    <row r="3869" spans="4:4">
      <c r="D3869">
        <v>3867</v>
      </c>
    </row>
    <row r="3870" spans="4:4">
      <c r="D3870">
        <v>3868</v>
      </c>
    </row>
    <row r="3871" spans="4:4">
      <c r="D3871">
        <v>3869</v>
      </c>
    </row>
    <row r="3872" spans="4:4">
      <c r="D3872">
        <v>3870</v>
      </c>
    </row>
    <row r="3873" spans="4:4">
      <c r="D3873">
        <v>3871</v>
      </c>
    </row>
    <row r="3874" spans="4:4">
      <c r="D3874">
        <v>3872</v>
      </c>
    </row>
    <row r="3875" spans="4:4">
      <c r="D3875">
        <v>3873</v>
      </c>
    </row>
    <row r="3876" spans="4:4">
      <c r="D3876">
        <v>3874</v>
      </c>
    </row>
    <row r="3877" spans="4:4">
      <c r="D3877">
        <v>3875</v>
      </c>
    </row>
    <row r="3878" spans="4:4">
      <c r="D3878">
        <v>3876</v>
      </c>
    </row>
    <row r="3879" spans="4:4">
      <c r="D3879">
        <v>3877</v>
      </c>
    </row>
    <row r="3880" spans="4:4">
      <c r="D3880">
        <v>3878</v>
      </c>
    </row>
    <row r="3881" spans="4:4">
      <c r="D3881">
        <v>3879</v>
      </c>
    </row>
    <row r="3882" spans="4:4">
      <c r="D3882">
        <v>3880</v>
      </c>
    </row>
    <row r="3883" spans="4:4">
      <c r="D3883">
        <v>3881</v>
      </c>
    </row>
    <row r="3884" spans="4:4">
      <c r="D3884">
        <v>3882</v>
      </c>
    </row>
    <row r="3885" spans="4:4">
      <c r="D3885">
        <v>3883</v>
      </c>
    </row>
    <row r="3886" spans="4:4">
      <c r="D3886">
        <v>3884</v>
      </c>
    </row>
    <row r="3887" spans="4:4">
      <c r="D3887">
        <v>3885</v>
      </c>
    </row>
    <row r="3888" spans="4:4">
      <c r="D3888">
        <v>3886</v>
      </c>
    </row>
    <row r="3889" spans="4:4">
      <c r="D3889">
        <v>3887</v>
      </c>
    </row>
    <row r="3890" spans="4:4">
      <c r="D3890">
        <v>3888</v>
      </c>
    </row>
    <row r="3891" spans="4:4">
      <c r="D3891">
        <v>3889</v>
      </c>
    </row>
    <row r="3892" spans="4:4">
      <c r="D3892">
        <v>3890</v>
      </c>
    </row>
    <row r="3893" spans="4:4">
      <c r="D3893">
        <v>3891</v>
      </c>
    </row>
    <row r="3894" spans="4:4">
      <c r="D3894">
        <v>3892</v>
      </c>
    </row>
    <row r="3895" spans="4:4">
      <c r="D3895">
        <v>3893</v>
      </c>
    </row>
    <row r="3896" spans="4:4">
      <c r="D3896">
        <v>3894</v>
      </c>
    </row>
    <row r="3897" spans="4:4">
      <c r="D3897">
        <v>3895</v>
      </c>
    </row>
    <row r="3898" spans="4:4">
      <c r="D3898">
        <v>3896</v>
      </c>
    </row>
    <row r="3899" spans="4:4">
      <c r="D3899">
        <v>3897</v>
      </c>
    </row>
    <row r="3900" spans="4:4">
      <c r="D3900">
        <v>3898</v>
      </c>
    </row>
    <row r="3901" spans="4:4">
      <c r="D3901">
        <v>3899</v>
      </c>
    </row>
    <row r="3902" spans="4:4">
      <c r="D3902">
        <v>3900</v>
      </c>
    </row>
    <row r="3903" spans="4:4">
      <c r="D3903">
        <v>3901</v>
      </c>
    </row>
    <row r="3904" spans="4:4">
      <c r="D3904">
        <v>3902</v>
      </c>
    </row>
    <row r="3905" spans="4:4">
      <c r="D3905">
        <v>3903</v>
      </c>
    </row>
    <row r="3906" spans="4:4">
      <c r="D3906">
        <v>3904</v>
      </c>
    </row>
    <row r="3907" spans="4:4">
      <c r="D3907">
        <v>3905</v>
      </c>
    </row>
    <row r="3908" spans="4:4">
      <c r="D3908">
        <v>3906</v>
      </c>
    </row>
    <row r="3909" spans="4:4">
      <c r="D3909">
        <v>3907</v>
      </c>
    </row>
    <row r="3910" spans="4:4">
      <c r="D3910">
        <v>3908</v>
      </c>
    </row>
    <row r="3911" spans="4:4">
      <c r="D3911">
        <v>3909</v>
      </c>
    </row>
    <row r="3912" spans="4:4">
      <c r="D3912">
        <v>3910</v>
      </c>
    </row>
    <row r="3913" spans="4:4">
      <c r="D3913">
        <v>3911</v>
      </c>
    </row>
    <row r="3914" spans="4:4">
      <c r="D3914">
        <v>3912</v>
      </c>
    </row>
    <row r="3915" spans="4:4">
      <c r="D3915">
        <v>3913</v>
      </c>
    </row>
    <row r="3916" spans="4:4">
      <c r="D3916">
        <v>3914</v>
      </c>
    </row>
    <row r="3917" spans="4:4">
      <c r="D3917">
        <v>3915</v>
      </c>
    </row>
    <row r="3918" spans="4:4">
      <c r="D3918">
        <v>3916</v>
      </c>
    </row>
    <row r="3919" spans="4:4">
      <c r="D3919">
        <v>3917</v>
      </c>
    </row>
    <row r="3920" spans="4:4">
      <c r="D3920">
        <v>3918</v>
      </c>
    </row>
    <row r="3921" spans="4:4">
      <c r="D3921">
        <v>3919</v>
      </c>
    </row>
    <row r="3922" spans="4:4">
      <c r="D3922">
        <v>3920</v>
      </c>
    </row>
    <row r="3923" spans="4:4">
      <c r="D3923">
        <v>3921</v>
      </c>
    </row>
    <row r="3924" spans="4:4">
      <c r="D3924">
        <v>3922</v>
      </c>
    </row>
    <row r="3925" spans="4:4">
      <c r="D3925">
        <v>3923</v>
      </c>
    </row>
    <row r="3926" spans="4:4">
      <c r="D3926">
        <v>3924</v>
      </c>
    </row>
    <row r="3927" spans="4:4">
      <c r="D3927">
        <v>3925</v>
      </c>
    </row>
    <row r="3928" spans="4:4">
      <c r="D3928">
        <v>3926</v>
      </c>
    </row>
    <row r="3929" spans="4:4">
      <c r="D3929">
        <v>3927</v>
      </c>
    </row>
    <row r="3930" spans="4:4">
      <c r="D3930">
        <v>3928</v>
      </c>
    </row>
    <row r="3931" spans="4:4">
      <c r="D3931">
        <v>3929</v>
      </c>
    </row>
    <row r="3932" spans="4:4">
      <c r="D3932">
        <v>3930</v>
      </c>
    </row>
    <row r="3933" spans="4:4">
      <c r="D3933">
        <v>3931</v>
      </c>
    </row>
    <row r="3934" spans="4:4">
      <c r="D3934">
        <v>3932</v>
      </c>
    </row>
    <row r="3935" spans="4:4">
      <c r="D3935">
        <v>3933</v>
      </c>
    </row>
    <row r="3936" spans="4:4">
      <c r="D3936">
        <v>3934</v>
      </c>
    </row>
    <row r="3937" spans="4:4">
      <c r="D3937">
        <v>3935</v>
      </c>
    </row>
    <row r="3938" spans="4:4">
      <c r="D3938">
        <v>3936</v>
      </c>
    </row>
    <row r="3939" spans="4:4">
      <c r="D3939">
        <v>3937</v>
      </c>
    </row>
    <row r="3940" spans="4:4">
      <c r="D3940">
        <v>3938</v>
      </c>
    </row>
    <row r="3941" spans="4:4">
      <c r="D3941">
        <v>3939</v>
      </c>
    </row>
    <row r="3942" spans="4:4">
      <c r="D3942">
        <v>3940</v>
      </c>
    </row>
    <row r="3943" spans="4:4">
      <c r="D3943">
        <v>3941</v>
      </c>
    </row>
    <row r="3944" spans="4:4">
      <c r="D3944">
        <v>3942</v>
      </c>
    </row>
    <row r="3945" spans="4:4">
      <c r="D3945">
        <v>3943</v>
      </c>
    </row>
    <row r="3946" spans="4:4">
      <c r="D3946">
        <v>3944</v>
      </c>
    </row>
    <row r="3947" spans="4:4">
      <c r="D3947">
        <v>3945</v>
      </c>
    </row>
    <row r="3948" spans="4:4">
      <c r="D3948">
        <v>3946</v>
      </c>
    </row>
    <row r="3949" spans="4:4">
      <c r="D3949">
        <v>3947</v>
      </c>
    </row>
    <row r="3950" spans="4:4">
      <c r="D3950">
        <v>3948</v>
      </c>
    </row>
    <row r="3951" spans="4:4">
      <c r="D3951">
        <v>3949</v>
      </c>
    </row>
    <row r="3952" spans="4:4">
      <c r="D3952">
        <v>3950</v>
      </c>
    </row>
    <row r="3953" spans="4:4">
      <c r="D3953">
        <v>3951</v>
      </c>
    </row>
    <row r="3954" spans="4:4">
      <c r="D3954">
        <v>3952</v>
      </c>
    </row>
    <row r="3955" spans="4:4">
      <c r="D3955">
        <v>3953</v>
      </c>
    </row>
    <row r="3956" spans="4:4">
      <c r="D3956">
        <v>3954</v>
      </c>
    </row>
    <row r="3957" spans="4:4">
      <c r="D3957">
        <v>3955</v>
      </c>
    </row>
    <row r="3958" spans="4:4">
      <c r="D3958">
        <v>3956</v>
      </c>
    </row>
    <row r="3959" spans="4:4">
      <c r="D3959">
        <v>3957</v>
      </c>
    </row>
    <row r="3960" spans="4:4">
      <c r="D3960">
        <v>3958</v>
      </c>
    </row>
    <row r="3961" spans="4:4">
      <c r="D3961">
        <v>3959</v>
      </c>
    </row>
    <row r="3962" spans="4:4">
      <c r="D3962">
        <v>3960</v>
      </c>
    </row>
    <row r="3963" spans="4:4">
      <c r="D3963">
        <v>3961</v>
      </c>
    </row>
    <row r="3964" spans="4:4">
      <c r="D3964">
        <v>3962</v>
      </c>
    </row>
    <row r="3965" spans="4:4">
      <c r="D3965">
        <v>3963</v>
      </c>
    </row>
    <row r="3966" spans="4:4">
      <c r="D3966">
        <v>3964</v>
      </c>
    </row>
    <row r="3967" spans="4:4">
      <c r="D3967">
        <v>3965</v>
      </c>
    </row>
    <row r="3968" spans="4:4">
      <c r="D3968">
        <v>3966</v>
      </c>
    </row>
    <row r="3969" spans="4:4">
      <c r="D3969">
        <v>3967</v>
      </c>
    </row>
    <row r="3970" spans="4:4">
      <c r="D3970">
        <v>3968</v>
      </c>
    </row>
    <row r="3971" spans="4:4">
      <c r="D3971">
        <v>3969</v>
      </c>
    </row>
    <row r="3972" spans="4:4">
      <c r="D3972">
        <v>3970</v>
      </c>
    </row>
    <row r="3973" spans="4:4">
      <c r="D3973">
        <v>3971</v>
      </c>
    </row>
    <row r="3974" spans="4:4">
      <c r="D3974">
        <v>3972</v>
      </c>
    </row>
    <row r="3975" spans="4:4">
      <c r="D3975">
        <v>3973</v>
      </c>
    </row>
    <row r="3976" spans="4:4">
      <c r="D3976">
        <v>3974</v>
      </c>
    </row>
    <row r="3977" spans="4:4">
      <c r="D3977">
        <v>3975</v>
      </c>
    </row>
    <row r="3978" spans="4:4">
      <c r="D3978">
        <v>3976</v>
      </c>
    </row>
    <row r="3979" spans="4:4">
      <c r="D3979">
        <v>3977</v>
      </c>
    </row>
    <row r="3980" spans="4:4">
      <c r="D3980">
        <v>3978</v>
      </c>
    </row>
    <row r="3981" spans="4:4">
      <c r="D3981">
        <v>3979</v>
      </c>
    </row>
    <row r="3982" spans="4:4">
      <c r="D3982">
        <v>3980</v>
      </c>
    </row>
    <row r="3983" spans="4:4">
      <c r="D3983">
        <v>3981</v>
      </c>
    </row>
    <row r="3984" spans="4:4">
      <c r="D3984">
        <v>3982</v>
      </c>
    </row>
    <row r="3985" spans="4:4">
      <c r="D3985">
        <v>3983</v>
      </c>
    </row>
    <row r="3986" spans="4:4">
      <c r="D3986">
        <v>3984</v>
      </c>
    </row>
    <row r="3987" spans="4:4">
      <c r="D3987">
        <v>3985</v>
      </c>
    </row>
    <row r="3988" spans="4:4">
      <c r="D3988">
        <v>3986</v>
      </c>
    </row>
    <row r="3989" spans="4:4">
      <c r="D3989">
        <v>3987</v>
      </c>
    </row>
    <row r="3990" spans="4:4">
      <c r="D3990">
        <v>3988</v>
      </c>
    </row>
    <row r="3991" spans="4:4">
      <c r="D3991">
        <v>3989</v>
      </c>
    </row>
    <row r="3992" spans="4:4">
      <c r="D3992">
        <v>3990</v>
      </c>
    </row>
    <row r="3993" spans="4:4">
      <c r="D3993">
        <v>3991</v>
      </c>
    </row>
    <row r="3994" spans="4:4">
      <c r="D3994">
        <v>3992</v>
      </c>
    </row>
    <row r="3995" spans="4:4">
      <c r="D3995">
        <v>3993</v>
      </c>
    </row>
    <row r="3996" spans="4:4">
      <c r="D3996">
        <v>3994</v>
      </c>
    </row>
    <row r="3997" spans="4:4">
      <c r="D3997">
        <v>3995</v>
      </c>
    </row>
    <row r="3998" spans="4:4">
      <c r="D3998">
        <v>3996</v>
      </c>
    </row>
    <row r="3999" spans="4:4">
      <c r="D3999">
        <v>3997</v>
      </c>
    </row>
    <row r="4000" spans="4:4">
      <c r="D4000">
        <v>3998</v>
      </c>
    </row>
    <row r="4001" spans="4:4">
      <c r="D4001">
        <v>3999</v>
      </c>
    </row>
    <row r="4002" spans="4:4">
      <c r="D4002">
        <v>4000</v>
      </c>
    </row>
    <row r="4003" spans="4:4">
      <c r="D4003">
        <v>4001</v>
      </c>
    </row>
    <row r="4004" spans="4:4">
      <c r="D4004">
        <v>4002</v>
      </c>
    </row>
    <row r="4005" spans="4:4">
      <c r="D4005">
        <v>4003</v>
      </c>
    </row>
    <row r="4006" spans="4:4">
      <c r="D4006">
        <v>4004</v>
      </c>
    </row>
    <row r="4007" spans="4:4">
      <c r="D4007">
        <v>4005</v>
      </c>
    </row>
    <row r="4008" spans="4:4">
      <c r="D4008">
        <v>4006</v>
      </c>
    </row>
    <row r="4009" spans="4:4">
      <c r="D4009">
        <v>4007</v>
      </c>
    </row>
    <row r="4010" spans="4:4">
      <c r="D4010">
        <v>4008</v>
      </c>
    </row>
    <row r="4011" spans="4:4">
      <c r="D4011">
        <v>4009</v>
      </c>
    </row>
    <row r="4012" spans="4:4">
      <c r="D4012">
        <v>4010</v>
      </c>
    </row>
    <row r="4013" spans="4:4">
      <c r="D4013">
        <v>4011</v>
      </c>
    </row>
    <row r="4014" spans="4:4">
      <c r="D4014">
        <v>4012</v>
      </c>
    </row>
    <row r="4015" spans="4:4">
      <c r="D4015">
        <v>4013</v>
      </c>
    </row>
    <row r="4016" spans="4:4">
      <c r="D4016">
        <v>4014</v>
      </c>
    </row>
    <row r="4017" spans="4:4">
      <c r="D4017">
        <v>4015</v>
      </c>
    </row>
    <row r="4018" spans="4:4">
      <c r="D4018">
        <v>4016</v>
      </c>
    </row>
    <row r="4019" spans="4:4">
      <c r="D4019">
        <v>4017</v>
      </c>
    </row>
    <row r="4020" spans="4:4">
      <c r="D4020">
        <v>4018</v>
      </c>
    </row>
    <row r="4021" spans="4:4">
      <c r="D4021">
        <v>4019</v>
      </c>
    </row>
    <row r="4022" spans="4:4">
      <c r="D4022">
        <v>4020</v>
      </c>
    </row>
    <row r="4023" spans="4:4">
      <c r="D4023">
        <v>4021</v>
      </c>
    </row>
    <row r="4024" spans="4:4">
      <c r="D4024">
        <v>4022</v>
      </c>
    </row>
    <row r="4025" spans="4:4">
      <c r="D4025">
        <v>4023</v>
      </c>
    </row>
    <row r="4026" spans="4:4">
      <c r="D4026">
        <v>4024</v>
      </c>
    </row>
    <row r="4027" spans="4:4">
      <c r="D4027">
        <v>4025</v>
      </c>
    </row>
    <row r="4028" spans="4:4">
      <c r="D4028">
        <v>4026</v>
      </c>
    </row>
    <row r="4029" spans="4:4">
      <c r="D4029">
        <v>4027</v>
      </c>
    </row>
    <row r="4030" spans="4:4">
      <c r="D4030">
        <v>4028</v>
      </c>
    </row>
    <row r="4031" spans="4:4">
      <c r="D4031">
        <v>4029</v>
      </c>
    </row>
    <row r="4032" spans="4:4">
      <c r="D4032">
        <v>4030</v>
      </c>
    </row>
    <row r="4033" spans="4:4">
      <c r="D4033">
        <v>4031</v>
      </c>
    </row>
    <row r="4034" spans="4:4">
      <c r="D4034">
        <v>4032</v>
      </c>
    </row>
    <row r="4035" spans="4:4">
      <c r="D4035">
        <v>4033</v>
      </c>
    </row>
    <row r="4036" spans="4:4">
      <c r="D4036">
        <v>4034</v>
      </c>
    </row>
    <row r="4037" spans="4:4">
      <c r="D4037">
        <v>4035</v>
      </c>
    </row>
    <row r="4038" spans="4:4">
      <c r="D4038">
        <v>4036</v>
      </c>
    </row>
    <row r="4039" spans="4:4">
      <c r="D4039">
        <v>4037</v>
      </c>
    </row>
    <row r="4040" spans="4:4">
      <c r="D4040">
        <v>4038</v>
      </c>
    </row>
    <row r="4041" spans="4:4">
      <c r="D4041">
        <v>4039</v>
      </c>
    </row>
    <row r="4042" spans="4:4">
      <c r="D4042">
        <v>4040</v>
      </c>
    </row>
    <row r="4043" spans="4:4">
      <c r="D4043">
        <v>4041</v>
      </c>
    </row>
    <row r="4044" spans="4:4">
      <c r="D4044">
        <v>4042</v>
      </c>
    </row>
    <row r="4045" spans="4:4">
      <c r="D4045">
        <v>4043</v>
      </c>
    </row>
    <row r="4046" spans="4:4">
      <c r="D4046">
        <v>4044</v>
      </c>
    </row>
    <row r="4047" spans="4:4">
      <c r="D4047">
        <v>4045</v>
      </c>
    </row>
    <row r="4048" spans="4:4">
      <c r="D4048">
        <v>4046</v>
      </c>
    </row>
    <row r="4049" spans="4:4">
      <c r="D4049">
        <v>4047</v>
      </c>
    </row>
    <row r="4050" spans="4:4">
      <c r="D4050">
        <v>4048</v>
      </c>
    </row>
    <row r="4051" spans="4:4">
      <c r="D4051">
        <v>4049</v>
      </c>
    </row>
    <row r="4052" spans="4:4">
      <c r="D4052">
        <v>4050</v>
      </c>
    </row>
    <row r="4053" spans="4:4">
      <c r="D4053">
        <v>4051</v>
      </c>
    </row>
    <row r="4054" spans="4:4">
      <c r="D4054">
        <v>4052</v>
      </c>
    </row>
    <row r="4055" spans="4:4">
      <c r="D4055">
        <v>4053</v>
      </c>
    </row>
    <row r="4056" spans="4:4">
      <c r="D4056">
        <v>4054</v>
      </c>
    </row>
    <row r="4057" spans="4:4">
      <c r="D4057">
        <v>4055</v>
      </c>
    </row>
    <row r="4058" spans="4:4">
      <c r="D4058">
        <v>4056</v>
      </c>
    </row>
    <row r="4059" spans="4:4">
      <c r="D4059">
        <v>4057</v>
      </c>
    </row>
    <row r="4060" spans="4:4">
      <c r="D4060">
        <v>4058</v>
      </c>
    </row>
    <row r="4061" spans="4:4">
      <c r="D4061">
        <v>4059</v>
      </c>
    </row>
    <row r="4062" spans="4:4">
      <c r="D4062">
        <v>4060</v>
      </c>
    </row>
    <row r="4063" spans="4:4">
      <c r="D4063">
        <v>4061</v>
      </c>
    </row>
    <row r="4064" spans="4:4">
      <c r="D4064">
        <v>4062</v>
      </c>
    </row>
    <row r="4065" spans="4:4">
      <c r="D4065">
        <v>4063</v>
      </c>
    </row>
    <row r="4066" spans="4:4">
      <c r="D4066">
        <v>4064</v>
      </c>
    </row>
    <row r="4067" spans="4:4">
      <c r="D4067">
        <v>4065</v>
      </c>
    </row>
    <row r="4068" spans="4:4">
      <c r="D4068">
        <v>4066</v>
      </c>
    </row>
    <row r="4069" spans="4:4">
      <c r="D4069">
        <v>4067</v>
      </c>
    </row>
    <row r="4070" spans="4:4">
      <c r="D4070">
        <v>4068</v>
      </c>
    </row>
    <row r="4071" spans="4:4">
      <c r="D4071">
        <v>4069</v>
      </c>
    </row>
    <row r="4072" spans="4:4">
      <c r="D4072">
        <v>4070</v>
      </c>
    </row>
    <row r="4073" spans="4:4">
      <c r="D4073">
        <v>4071</v>
      </c>
    </row>
    <row r="4074" spans="4:4">
      <c r="D4074">
        <v>4072</v>
      </c>
    </row>
    <row r="4075" spans="4:4">
      <c r="D4075">
        <v>4073</v>
      </c>
    </row>
    <row r="4076" spans="4:4">
      <c r="D4076">
        <v>4074</v>
      </c>
    </row>
    <row r="4077" spans="4:4">
      <c r="D4077">
        <v>4075</v>
      </c>
    </row>
    <row r="4078" spans="4:4">
      <c r="D4078">
        <v>4076</v>
      </c>
    </row>
    <row r="4079" spans="4:4">
      <c r="D4079">
        <v>4077</v>
      </c>
    </row>
    <row r="4080" spans="4:4">
      <c r="D4080">
        <v>4078</v>
      </c>
    </row>
    <row r="4081" spans="4:4">
      <c r="D4081">
        <v>4079</v>
      </c>
    </row>
    <row r="4082" spans="4:4">
      <c r="D4082">
        <v>4080</v>
      </c>
    </row>
    <row r="4083" spans="4:4">
      <c r="D4083">
        <v>4081</v>
      </c>
    </row>
    <row r="4084" spans="4:4">
      <c r="D4084">
        <v>4082</v>
      </c>
    </row>
    <row r="4085" spans="4:4">
      <c r="D4085">
        <v>4083</v>
      </c>
    </row>
    <row r="4086" spans="4:4">
      <c r="D4086">
        <v>4084</v>
      </c>
    </row>
    <row r="4087" spans="4:4">
      <c r="D4087">
        <v>4085</v>
      </c>
    </row>
    <row r="4088" spans="4:4">
      <c r="D4088">
        <v>4086</v>
      </c>
    </row>
    <row r="4089" spans="4:4">
      <c r="D4089">
        <v>4087</v>
      </c>
    </row>
    <row r="4090" spans="4:4">
      <c r="D4090">
        <v>4088</v>
      </c>
    </row>
    <row r="4091" spans="4:4">
      <c r="D4091">
        <v>4089</v>
      </c>
    </row>
    <row r="4092" spans="4:4">
      <c r="D4092">
        <v>4090</v>
      </c>
    </row>
    <row r="4093" spans="4:4">
      <c r="D4093">
        <v>4091</v>
      </c>
    </row>
    <row r="4094" spans="4:4">
      <c r="D4094">
        <v>4092</v>
      </c>
    </row>
    <row r="4095" spans="4:4">
      <c r="D4095">
        <v>4093</v>
      </c>
    </row>
    <row r="4096" spans="4:4">
      <c r="D4096">
        <v>4094</v>
      </c>
    </row>
    <row r="4097" spans="4:4">
      <c r="D4097">
        <v>4095</v>
      </c>
    </row>
    <row r="4098" spans="4:4">
      <c r="D4098">
        <v>4096</v>
      </c>
    </row>
    <row r="4099" spans="4:4">
      <c r="D4099">
        <v>4097</v>
      </c>
    </row>
    <row r="4100" spans="4:4">
      <c r="D4100">
        <v>4098</v>
      </c>
    </row>
    <row r="4101" spans="4:4">
      <c r="D4101">
        <v>4099</v>
      </c>
    </row>
    <row r="4102" spans="4:4">
      <c r="D4102">
        <v>4100</v>
      </c>
    </row>
    <row r="4103" spans="4:4">
      <c r="D4103">
        <v>4101</v>
      </c>
    </row>
    <row r="4104" spans="4:4">
      <c r="D4104">
        <v>4102</v>
      </c>
    </row>
    <row r="4105" spans="4:4">
      <c r="D4105">
        <v>4103</v>
      </c>
    </row>
    <row r="4106" spans="4:4">
      <c r="D4106">
        <v>4104</v>
      </c>
    </row>
    <row r="4107" spans="4:4">
      <c r="D4107">
        <v>4105</v>
      </c>
    </row>
    <row r="4108" spans="4:4">
      <c r="D4108">
        <v>4106</v>
      </c>
    </row>
    <row r="4109" spans="4:4">
      <c r="D4109">
        <v>4107</v>
      </c>
    </row>
    <row r="4110" spans="4:4">
      <c r="D4110">
        <v>4108</v>
      </c>
    </row>
    <row r="4111" spans="4:4">
      <c r="D4111">
        <v>4109</v>
      </c>
    </row>
    <row r="4112" spans="4:4">
      <c r="D4112">
        <v>4110</v>
      </c>
    </row>
    <row r="4113" spans="4:4">
      <c r="D4113">
        <v>4111</v>
      </c>
    </row>
    <row r="4114" spans="4:4">
      <c r="D4114">
        <v>4112</v>
      </c>
    </row>
    <row r="4115" spans="4:4">
      <c r="D4115">
        <v>4113</v>
      </c>
    </row>
    <row r="4116" spans="4:4">
      <c r="D4116">
        <v>4114</v>
      </c>
    </row>
    <row r="4117" spans="4:4">
      <c r="D4117">
        <v>4115</v>
      </c>
    </row>
    <row r="4118" spans="4:4">
      <c r="D4118">
        <v>4116</v>
      </c>
    </row>
    <row r="4119" spans="4:4">
      <c r="D4119">
        <v>4117</v>
      </c>
    </row>
    <row r="4120" spans="4:4">
      <c r="D4120">
        <v>4118</v>
      </c>
    </row>
    <row r="4121" spans="4:4">
      <c r="D4121">
        <v>4119</v>
      </c>
    </row>
    <row r="4122" spans="4:4">
      <c r="D4122">
        <v>4120</v>
      </c>
    </row>
    <row r="4123" spans="4:4">
      <c r="D4123">
        <v>4121</v>
      </c>
    </row>
    <row r="4124" spans="4:4">
      <c r="D4124">
        <v>4122</v>
      </c>
    </row>
    <row r="4125" spans="4:4">
      <c r="D4125">
        <v>4123</v>
      </c>
    </row>
    <row r="4126" spans="4:4">
      <c r="D4126">
        <v>4124</v>
      </c>
    </row>
    <row r="4127" spans="4:4">
      <c r="D4127">
        <v>4125</v>
      </c>
    </row>
    <row r="4128" spans="4:4">
      <c r="D4128">
        <v>4126</v>
      </c>
    </row>
    <row r="4129" spans="4:4">
      <c r="D4129">
        <v>4127</v>
      </c>
    </row>
    <row r="4130" spans="4:4">
      <c r="D4130">
        <v>4128</v>
      </c>
    </row>
    <row r="4131" spans="4:4">
      <c r="D4131">
        <v>4129</v>
      </c>
    </row>
    <row r="4132" spans="4:4">
      <c r="D4132">
        <v>4130</v>
      </c>
    </row>
    <row r="4133" spans="4:4">
      <c r="D4133">
        <v>4131</v>
      </c>
    </row>
    <row r="4134" spans="4:4">
      <c r="D4134">
        <v>4132</v>
      </c>
    </row>
    <row r="4135" spans="4:4">
      <c r="D4135">
        <v>4133</v>
      </c>
    </row>
    <row r="4136" spans="4:4">
      <c r="D4136">
        <v>4134</v>
      </c>
    </row>
    <row r="4137" spans="4:4">
      <c r="D4137">
        <v>4135</v>
      </c>
    </row>
    <row r="4138" spans="4:4">
      <c r="D4138">
        <v>4136</v>
      </c>
    </row>
    <row r="4139" spans="4:4">
      <c r="D4139">
        <v>4137</v>
      </c>
    </row>
    <row r="4140" spans="4:4">
      <c r="D4140">
        <v>4138</v>
      </c>
    </row>
    <row r="4141" spans="4:4">
      <c r="D4141">
        <v>4139</v>
      </c>
    </row>
    <row r="4142" spans="4:4">
      <c r="D4142">
        <v>4140</v>
      </c>
    </row>
    <row r="4143" spans="4:4">
      <c r="D4143">
        <v>4141</v>
      </c>
    </row>
    <row r="4144" spans="4:4">
      <c r="D4144">
        <v>4142</v>
      </c>
    </row>
    <row r="4145" spans="4:4">
      <c r="D4145">
        <v>4143</v>
      </c>
    </row>
    <row r="4146" spans="4:4">
      <c r="D4146">
        <v>4144</v>
      </c>
    </row>
    <row r="4147" spans="4:4">
      <c r="D4147">
        <v>4145</v>
      </c>
    </row>
    <row r="4148" spans="4:4">
      <c r="D4148">
        <v>4146</v>
      </c>
    </row>
    <row r="4149" spans="4:4">
      <c r="D4149">
        <v>4147</v>
      </c>
    </row>
    <row r="4150" spans="4:4">
      <c r="D4150">
        <v>4148</v>
      </c>
    </row>
    <row r="4151" spans="4:4">
      <c r="D4151">
        <v>4149</v>
      </c>
    </row>
    <row r="4152" spans="4:4">
      <c r="D4152">
        <v>4150</v>
      </c>
    </row>
    <row r="4153" spans="4:4">
      <c r="D4153">
        <v>4151</v>
      </c>
    </row>
    <row r="4154" spans="4:4">
      <c r="D4154">
        <v>4152</v>
      </c>
    </row>
    <row r="4155" spans="4:4">
      <c r="D4155">
        <v>4153</v>
      </c>
    </row>
    <row r="4156" spans="4:4">
      <c r="D4156">
        <v>4154</v>
      </c>
    </row>
    <row r="4157" spans="4:4">
      <c r="D4157">
        <v>4155</v>
      </c>
    </row>
    <row r="4158" spans="4:4">
      <c r="D4158">
        <v>4156</v>
      </c>
    </row>
    <row r="4159" spans="4:4">
      <c r="D4159">
        <v>4157</v>
      </c>
    </row>
    <row r="4160" spans="4:4">
      <c r="D4160">
        <v>4158</v>
      </c>
    </row>
    <row r="4161" spans="4:4">
      <c r="D4161">
        <v>4159</v>
      </c>
    </row>
    <row r="4162" spans="4:4">
      <c r="D4162">
        <v>4160</v>
      </c>
    </row>
    <row r="4163" spans="4:4">
      <c r="D4163">
        <v>4161</v>
      </c>
    </row>
    <row r="4164" spans="4:4">
      <c r="D4164">
        <v>4162</v>
      </c>
    </row>
    <row r="4165" spans="4:4">
      <c r="D4165">
        <v>4163</v>
      </c>
    </row>
    <row r="4166" spans="4:4">
      <c r="D4166">
        <v>4164</v>
      </c>
    </row>
    <row r="4167" spans="4:4">
      <c r="D4167">
        <v>4165</v>
      </c>
    </row>
    <row r="4168" spans="4:4">
      <c r="D4168">
        <v>4166</v>
      </c>
    </row>
    <row r="4169" spans="4:4">
      <c r="D4169">
        <v>4167</v>
      </c>
    </row>
    <row r="4170" spans="4:4">
      <c r="D4170">
        <v>4168</v>
      </c>
    </row>
    <row r="4171" spans="4:4">
      <c r="D4171">
        <v>4169</v>
      </c>
    </row>
    <row r="4172" spans="4:4">
      <c r="D4172">
        <v>4170</v>
      </c>
    </row>
    <row r="4173" spans="4:4">
      <c r="D4173">
        <v>4171</v>
      </c>
    </row>
    <row r="4174" spans="4:4">
      <c r="D4174">
        <v>4172</v>
      </c>
    </row>
    <row r="4175" spans="4:4">
      <c r="D4175">
        <v>4173</v>
      </c>
    </row>
    <row r="4176" spans="4:4">
      <c r="D4176">
        <v>4174</v>
      </c>
    </row>
    <row r="4177" spans="4:4">
      <c r="D4177">
        <v>4175</v>
      </c>
    </row>
    <row r="4178" spans="4:4">
      <c r="D4178">
        <v>4176</v>
      </c>
    </row>
    <row r="4179" spans="4:4">
      <c r="D4179">
        <v>4177</v>
      </c>
    </row>
    <row r="4180" spans="4:4">
      <c r="D4180">
        <v>4178</v>
      </c>
    </row>
    <row r="4181" spans="4:4">
      <c r="D4181">
        <v>4179</v>
      </c>
    </row>
    <row r="4182" spans="4:4">
      <c r="D4182">
        <v>4180</v>
      </c>
    </row>
    <row r="4183" spans="4:4">
      <c r="D4183">
        <v>4181</v>
      </c>
    </row>
    <row r="4184" spans="4:4">
      <c r="D4184">
        <v>4182</v>
      </c>
    </row>
    <row r="4185" spans="4:4">
      <c r="D4185">
        <v>4183</v>
      </c>
    </row>
    <row r="4186" spans="4:4">
      <c r="D4186">
        <v>4184</v>
      </c>
    </row>
    <row r="4187" spans="4:4">
      <c r="D4187">
        <v>4185</v>
      </c>
    </row>
    <row r="4188" spans="4:4">
      <c r="D4188">
        <v>4186</v>
      </c>
    </row>
    <row r="4189" spans="4:4">
      <c r="D4189">
        <v>4187</v>
      </c>
    </row>
    <row r="4190" spans="4:4">
      <c r="D4190">
        <v>4188</v>
      </c>
    </row>
    <row r="4191" spans="4:4">
      <c r="D4191">
        <v>4189</v>
      </c>
    </row>
    <row r="4192" spans="4:4">
      <c r="D4192">
        <v>4190</v>
      </c>
    </row>
    <row r="4193" spans="4:4">
      <c r="D4193">
        <v>4191</v>
      </c>
    </row>
    <row r="4194" spans="4:4">
      <c r="D4194">
        <v>4192</v>
      </c>
    </row>
    <row r="4195" spans="4:4">
      <c r="D4195">
        <v>4193</v>
      </c>
    </row>
    <row r="4196" spans="4:4">
      <c r="D4196">
        <v>4194</v>
      </c>
    </row>
    <row r="4197" spans="4:4">
      <c r="D4197">
        <v>4195</v>
      </c>
    </row>
    <row r="4198" spans="4:4">
      <c r="D4198">
        <v>4196</v>
      </c>
    </row>
    <row r="4199" spans="4:4">
      <c r="D4199">
        <v>4197</v>
      </c>
    </row>
    <row r="4200" spans="4:4">
      <c r="D4200">
        <v>4198</v>
      </c>
    </row>
    <row r="4201" spans="4:4">
      <c r="D4201">
        <v>4199</v>
      </c>
    </row>
    <row r="4202" spans="4:4">
      <c r="D4202">
        <v>4200</v>
      </c>
    </row>
    <row r="4203" spans="4:4">
      <c r="D4203">
        <v>4201</v>
      </c>
    </row>
    <row r="4204" spans="4:4">
      <c r="D4204">
        <v>4202</v>
      </c>
    </row>
    <row r="4205" spans="4:4">
      <c r="D4205">
        <v>4203</v>
      </c>
    </row>
    <row r="4206" spans="4:4">
      <c r="D4206">
        <v>4204</v>
      </c>
    </row>
    <row r="4207" spans="4:4">
      <c r="D4207">
        <v>4205</v>
      </c>
    </row>
    <row r="4208" spans="4:4">
      <c r="D4208">
        <v>4206</v>
      </c>
    </row>
    <row r="4209" spans="4:4">
      <c r="D4209">
        <v>4207</v>
      </c>
    </row>
    <row r="4210" spans="4:4">
      <c r="D4210">
        <v>4208</v>
      </c>
    </row>
    <row r="4211" spans="4:4">
      <c r="D4211">
        <v>4209</v>
      </c>
    </row>
    <row r="4212" spans="4:4">
      <c r="D4212">
        <v>4210</v>
      </c>
    </row>
    <row r="4213" spans="4:4">
      <c r="D4213">
        <v>4211</v>
      </c>
    </row>
    <row r="4214" spans="4:4">
      <c r="D4214">
        <v>4212</v>
      </c>
    </row>
    <row r="4215" spans="4:4">
      <c r="D4215">
        <v>4213</v>
      </c>
    </row>
    <row r="4216" spans="4:4">
      <c r="D4216">
        <v>4214</v>
      </c>
    </row>
    <row r="4217" spans="4:4">
      <c r="D4217">
        <v>4215</v>
      </c>
    </row>
    <row r="4218" spans="4:4">
      <c r="D4218">
        <v>4216</v>
      </c>
    </row>
    <row r="4219" spans="4:4">
      <c r="D4219">
        <v>4217</v>
      </c>
    </row>
    <row r="4220" spans="4:4">
      <c r="D4220">
        <v>4218</v>
      </c>
    </row>
    <row r="4221" spans="4:4">
      <c r="D4221">
        <v>4219</v>
      </c>
    </row>
    <row r="4222" spans="4:4">
      <c r="D4222">
        <v>4220</v>
      </c>
    </row>
    <row r="4223" spans="4:4">
      <c r="D4223">
        <v>4221</v>
      </c>
    </row>
    <row r="4224" spans="4:4">
      <c r="D4224">
        <v>4222</v>
      </c>
    </row>
    <row r="4225" spans="4:4">
      <c r="D4225">
        <v>4223</v>
      </c>
    </row>
    <row r="4226" spans="4:4">
      <c r="D4226">
        <v>4224</v>
      </c>
    </row>
    <row r="4227" spans="4:4">
      <c r="D4227">
        <v>4225</v>
      </c>
    </row>
    <row r="4228" spans="4:4">
      <c r="D4228">
        <v>4226</v>
      </c>
    </row>
    <row r="4229" spans="4:4">
      <c r="D4229">
        <v>4227</v>
      </c>
    </row>
    <row r="4230" spans="4:4">
      <c r="D4230">
        <v>4228</v>
      </c>
    </row>
    <row r="4231" spans="4:4">
      <c r="D4231">
        <v>4229</v>
      </c>
    </row>
    <row r="4232" spans="4:4">
      <c r="D4232">
        <v>4230</v>
      </c>
    </row>
    <row r="4233" spans="4:4">
      <c r="D4233">
        <v>4231</v>
      </c>
    </row>
    <row r="4234" spans="4:4">
      <c r="D4234">
        <v>4232</v>
      </c>
    </row>
    <row r="4235" spans="4:4">
      <c r="D4235">
        <v>4233</v>
      </c>
    </row>
    <row r="4236" spans="4:4">
      <c r="D4236">
        <v>4234</v>
      </c>
    </row>
    <row r="4237" spans="4:4">
      <c r="D4237">
        <v>4235</v>
      </c>
    </row>
    <row r="4238" spans="4:4">
      <c r="D4238">
        <v>4236</v>
      </c>
    </row>
    <row r="4239" spans="4:4">
      <c r="D4239">
        <v>4237</v>
      </c>
    </row>
    <row r="4240" spans="4:4">
      <c r="D4240">
        <v>4238</v>
      </c>
    </row>
    <row r="4241" spans="4:4">
      <c r="D4241">
        <v>4239</v>
      </c>
    </row>
    <row r="4242" spans="4:4">
      <c r="D4242">
        <v>4240</v>
      </c>
    </row>
    <row r="4243" spans="4:4">
      <c r="D4243">
        <v>4241</v>
      </c>
    </row>
    <row r="4244" spans="4:4">
      <c r="D4244">
        <v>4242</v>
      </c>
    </row>
    <row r="4245" spans="4:4">
      <c r="D4245">
        <v>4243</v>
      </c>
    </row>
    <row r="4246" spans="4:4">
      <c r="D4246">
        <v>4244</v>
      </c>
    </row>
    <row r="4247" spans="4:4">
      <c r="D4247">
        <v>4245</v>
      </c>
    </row>
    <row r="4248" spans="4:4">
      <c r="D4248">
        <v>4246</v>
      </c>
    </row>
    <row r="4249" spans="4:4">
      <c r="D4249">
        <v>4247</v>
      </c>
    </row>
    <row r="4250" spans="4:4">
      <c r="D4250">
        <v>4248</v>
      </c>
    </row>
    <row r="4251" spans="4:4">
      <c r="D4251">
        <v>4249</v>
      </c>
    </row>
    <row r="4252" spans="4:4">
      <c r="D4252">
        <v>4250</v>
      </c>
    </row>
    <row r="4253" spans="4:4">
      <c r="D4253">
        <v>4251</v>
      </c>
    </row>
    <row r="4254" spans="4:4">
      <c r="D4254">
        <v>4252</v>
      </c>
    </row>
    <row r="4255" spans="4:4">
      <c r="D4255">
        <v>4253</v>
      </c>
    </row>
    <row r="4256" spans="4:4">
      <c r="D4256">
        <v>4254</v>
      </c>
    </row>
    <row r="4257" spans="4:4">
      <c r="D4257">
        <v>4255</v>
      </c>
    </row>
    <row r="4258" spans="4:4">
      <c r="D4258">
        <v>4256</v>
      </c>
    </row>
    <row r="4259" spans="4:4">
      <c r="D4259">
        <v>4257</v>
      </c>
    </row>
    <row r="4260" spans="4:4">
      <c r="D4260">
        <v>4258</v>
      </c>
    </row>
    <row r="4261" spans="4:4">
      <c r="D4261">
        <v>4259</v>
      </c>
    </row>
    <row r="4262" spans="4:4">
      <c r="D4262">
        <v>4260</v>
      </c>
    </row>
    <row r="4263" spans="4:4">
      <c r="D4263">
        <v>4261</v>
      </c>
    </row>
    <row r="4264" spans="4:4">
      <c r="D4264">
        <v>4262</v>
      </c>
    </row>
    <row r="4265" spans="4:4">
      <c r="D4265">
        <v>4263</v>
      </c>
    </row>
    <row r="4266" spans="4:4">
      <c r="D4266">
        <v>4264</v>
      </c>
    </row>
    <row r="4267" spans="4:4">
      <c r="D4267">
        <v>4265</v>
      </c>
    </row>
    <row r="4268" spans="4:4">
      <c r="D4268">
        <v>4266</v>
      </c>
    </row>
    <row r="4269" spans="4:4">
      <c r="D4269">
        <v>4267</v>
      </c>
    </row>
    <row r="4270" spans="4:4">
      <c r="D4270">
        <v>4268</v>
      </c>
    </row>
    <row r="4271" spans="4:4">
      <c r="D4271">
        <v>4269</v>
      </c>
    </row>
    <row r="4272" spans="4:4">
      <c r="D4272">
        <v>4270</v>
      </c>
    </row>
    <row r="4273" spans="4:4">
      <c r="D4273">
        <v>4271</v>
      </c>
    </row>
    <row r="4274" spans="4:4">
      <c r="D4274">
        <v>4272</v>
      </c>
    </row>
    <row r="4275" spans="4:4">
      <c r="D4275">
        <v>4273</v>
      </c>
    </row>
    <row r="4276" spans="4:4">
      <c r="D4276">
        <v>4274</v>
      </c>
    </row>
    <row r="4277" spans="4:4">
      <c r="D4277">
        <v>4275</v>
      </c>
    </row>
    <row r="4278" spans="4:4">
      <c r="D4278">
        <v>4276</v>
      </c>
    </row>
    <row r="4279" spans="4:4">
      <c r="D4279">
        <v>4277</v>
      </c>
    </row>
    <row r="4280" spans="4:4">
      <c r="D4280">
        <v>4278</v>
      </c>
    </row>
    <row r="4281" spans="4:4">
      <c r="D4281">
        <v>4279</v>
      </c>
    </row>
    <row r="4282" spans="4:4">
      <c r="D4282">
        <v>4280</v>
      </c>
    </row>
    <row r="4283" spans="4:4">
      <c r="D4283">
        <v>4281</v>
      </c>
    </row>
    <row r="4284" spans="4:4">
      <c r="D4284">
        <v>4282</v>
      </c>
    </row>
    <row r="4285" spans="4:4">
      <c r="D4285">
        <v>4283</v>
      </c>
    </row>
    <row r="4286" spans="4:4">
      <c r="D4286">
        <v>4284</v>
      </c>
    </row>
    <row r="4287" spans="4:4">
      <c r="D4287">
        <v>4285</v>
      </c>
    </row>
    <row r="4288" spans="4:4">
      <c r="D4288">
        <v>4286</v>
      </c>
    </row>
    <row r="4289" spans="4:4">
      <c r="D4289">
        <v>4287</v>
      </c>
    </row>
    <row r="4290" spans="4:4">
      <c r="D4290">
        <v>4288</v>
      </c>
    </row>
    <row r="4291" spans="4:4">
      <c r="D4291">
        <v>4289</v>
      </c>
    </row>
    <row r="4292" spans="4:4">
      <c r="D4292">
        <v>4290</v>
      </c>
    </row>
    <row r="4293" spans="4:4">
      <c r="D4293">
        <v>4291</v>
      </c>
    </row>
    <row r="4294" spans="4:4">
      <c r="D4294">
        <v>4292</v>
      </c>
    </row>
    <row r="4295" spans="4:4">
      <c r="D4295">
        <v>4293</v>
      </c>
    </row>
    <row r="4296" spans="4:4">
      <c r="D4296">
        <v>4294</v>
      </c>
    </row>
    <row r="4297" spans="4:4">
      <c r="D4297">
        <v>4295</v>
      </c>
    </row>
    <row r="4298" spans="4:4">
      <c r="D4298">
        <v>4296</v>
      </c>
    </row>
    <row r="4299" spans="4:4">
      <c r="D4299">
        <v>4297</v>
      </c>
    </row>
    <row r="4300" spans="4:4">
      <c r="D4300">
        <v>4298</v>
      </c>
    </row>
    <row r="4301" spans="4:4">
      <c r="D4301">
        <v>4299</v>
      </c>
    </row>
    <row r="4302" spans="4:4">
      <c r="D4302">
        <v>4300</v>
      </c>
    </row>
    <row r="4303" spans="4:4">
      <c r="D4303">
        <v>4301</v>
      </c>
    </row>
    <row r="4304" spans="4:4">
      <c r="D4304">
        <v>4302</v>
      </c>
    </row>
    <row r="4305" spans="4:4">
      <c r="D4305">
        <v>4303</v>
      </c>
    </row>
    <row r="4306" spans="4:4">
      <c r="D4306">
        <v>4304</v>
      </c>
    </row>
    <row r="4307" spans="4:4">
      <c r="D4307">
        <v>4305</v>
      </c>
    </row>
    <row r="4308" spans="4:4">
      <c r="D4308">
        <v>4306</v>
      </c>
    </row>
    <row r="4309" spans="4:4">
      <c r="D4309">
        <v>4307</v>
      </c>
    </row>
    <row r="4310" spans="4:4">
      <c r="D4310">
        <v>4308</v>
      </c>
    </row>
    <row r="4311" spans="4:4">
      <c r="D4311">
        <v>4309</v>
      </c>
    </row>
    <row r="4312" spans="4:4">
      <c r="D4312">
        <v>4310</v>
      </c>
    </row>
    <row r="4313" spans="4:4">
      <c r="D4313">
        <v>4311</v>
      </c>
    </row>
    <row r="4314" spans="4:4">
      <c r="D4314">
        <v>4312</v>
      </c>
    </row>
    <row r="4315" spans="4:4">
      <c r="D4315">
        <v>4313</v>
      </c>
    </row>
    <row r="4316" spans="4:4">
      <c r="D4316">
        <v>4314</v>
      </c>
    </row>
    <row r="4317" spans="4:4">
      <c r="D4317">
        <v>4315</v>
      </c>
    </row>
    <row r="4318" spans="4:4">
      <c r="D4318">
        <v>4316</v>
      </c>
    </row>
    <row r="4319" spans="4:4">
      <c r="D4319">
        <v>4317</v>
      </c>
    </row>
    <row r="4320" spans="4:4">
      <c r="D4320">
        <v>4318</v>
      </c>
    </row>
    <row r="4321" spans="4:4">
      <c r="D4321">
        <v>4319</v>
      </c>
    </row>
    <row r="4322" spans="4:4">
      <c r="D4322">
        <v>4320</v>
      </c>
    </row>
    <row r="4323" spans="4:4">
      <c r="D4323">
        <v>4321</v>
      </c>
    </row>
    <row r="4324" spans="4:4">
      <c r="D4324">
        <v>4322</v>
      </c>
    </row>
    <row r="4325" spans="4:4">
      <c r="D4325">
        <v>4323</v>
      </c>
    </row>
    <row r="4326" spans="4:4">
      <c r="D4326">
        <v>4324</v>
      </c>
    </row>
    <row r="4327" spans="4:4">
      <c r="D4327">
        <v>4325</v>
      </c>
    </row>
    <row r="4328" spans="4:4">
      <c r="D4328">
        <v>4326</v>
      </c>
    </row>
    <row r="4329" spans="4:4">
      <c r="D4329">
        <v>4327</v>
      </c>
    </row>
    <row r="4330" spans="4:4">
      <c r="D4330">
        <v>4328</v>
      </c>
    </row>
    <row r="4331" spans="4:4">
      <c r="D4331">
        <v>4329</v>
      </c>
    </row>
    <row r="4332" spans="4:4">
      <c r="D4332">
        <v>4330</v>
      </c>
    </row>
    <row r="4333" spans="4:4">
      <c r="D4333">
        <v>4331</v>
      </c>
    </row>
    <row r="4334" spans="4:4">
      <c r="D4334">
        <v>4332</v>
      </c>
    </row>
    <row r="4335" spans="4:4">
      <c r="D4335">
        <v>4333</v>
      </c>
    </row>
    <row r="4336" spans="4:4">
      <c r="D4336">
        <v>4334</v>
      </c>
    </row>
    <row r="4337" spans="4:4">
      <c r="D4337">
        <v>4335</v>
      </c>
    </row>
    <row r="4338" spans="4:4">
      <c r="D4338">
        <v>4336</v>
      </c>
    </row>
    <row r="4339" spans="4:4">
      <c r="D4339">
        <v>4337</v>
      </c>
    </row>
    <row r="4340" spans="4:4">
      <c r="D4340">
        <v>4338</v>
      </c>
    </row>
    <row r="4341" spans="4:4">
      <c r="D4341">
        <v>4339</v>
      </c>
    </row>
    <row r="4342" spans="4:4">
      <c r="D4342">
        <v>4340</v>
      </c>
    </row>
    <row r="4343" spans="4:4">
      <c r="D4343">
        <v>4341</v>
      </c>
    </row>
    <row r="4344" spans="4:4">
      <c r="D4344">
        <v>4342</v>
      </c>
    </row>
    <row r="4345" spans="4:4">
      <c r="D4345">
        <v>4343</v>
      </c>
    </row>
    <row r="4346" spans="4:4">
      <c r="D4346">
        <v>4344</v>
      </c>
    </row>
    <row r="4347" spans="4:4">
      <c r="D4347">
        <v>4345</v>
      </c>
    </row>
    <row r="4348" spans="4:4">
      <c r="D4348">
        <v>4346</v>
      </c>
    </row>
    <row r="4349" spans="4:4">
      <c r="D4349">
        <v>4347</v>
      </c>
    </row>
    <row r="4350" spans="4:4">
      <c r="D4350">
        <v>4348</v>
      </c>
    </row>
    <row r="4351" spans="4:4">
      <c r="D4351">
        <v>4349</v>
      </c>
    </row>
    <row r="4352" spans="4:4">
      <c r="D4352">
        <v>4350</v>
      </c>
    </row>
    <row r="4353" spans="4:4">
      <c r="D4353">
        <v>4351</v>
      </c>
    </row>
    <row r="4354" spans="4:4">
      <c r="D4354">
        <v>4352</v>
      </c>
    </row>
    <row r="4355" spans="4:4">
      <c r="D4355">
        <v>4353</v>
      </c>
    </row>
    <row r="4356" spans="4:4">
      <c r="D4356">
        <v>4354</v>
      </c>
    </row>
    <row r="4357" spans="4:4">
      <c r="D4357">
        <v>4355</v>
      </c>
    </row>
    <row r="4358" spans="4:4">
      <c r="D4358">
        <v>4356</v>
      </c>
    </row>
    <row r="4359" spans="4:4">
      <c r="D4359">
        <v>4357</v>
      </c>
    </row>
    <row r="4360" spans="4:4">
      <c r="D4360">
        <v>4358</v>
      </c>
    </row>
    <row r="4361" spans="4:4">
      <c r="D4361">
        <v>4359</v>
      </c>
    </row>
    <row r="4362" spans="4:4">
      <c r="D4362">
        <v>4360</v>
      </c>
    </row>
    <row r="4363" spans="4:4">
      <c r="D4363">
        <v>4361</v>
      </c>
    </row>
    <row r="4364" spans="4:4">
      <c r="D4364">
        <v>4362</v>
      </c>
    </row>
    <row r="4365" spans="4:4">
      <c r="D4365">
        <v>4363</v>
      </c>
    </row>
    <row r="4366" spans="4:4">
      <c r="D4366">
        <v>4364</v>
      </c>
    </row>
    <row r="4367" spans="4:4">
      <c r="D4367">
        <v>4365</v>
      </c>
    </row>
    <row r="4368" spans="4:4">
      <c r="D4368">
        <v>4366</v>
      </c>
    </row>
    <row r="4369" spans="4:4">
      <c r="D4369">
        <v>4367</v>
      </c>
    </row>
    <row r="4370" spans="4:4">
      <c r="D4370">
        <v>4368</v>
      </c>
    </row>
    <row r="4371" spans="4:4">
      <c r="D4371">
        <v>4369</v>
      </c>
    </row>
    <row r="4372" spans="4:4">
      <c r="D4372">
        <v>4370</v>
      </c>
    </row>
    <row r="4373" spans="4:4">
      <c r="D4373">
        <v>4371</v>
      </c>
    </row>
    <row r="4374" spans="4:4">
      <c r="D4374">
        <v>4372</v>
      </c>
    </row>
    <row r="4375" spans="4:4">
      <c r="D4375">
        <v>4373</v>
      </c>
    </row>
    <row r="4376" spans="4:4">
      <c r="D4376">
        <v>4374</v>
      </c>
    </row>
    <row r="4377" spans="4:4">
      <c r="D4377">
        <v>4375</v>
      </c>
    </row>
    <row r="4378" spans="4:4">
      <c r="D4378">
        <v>4376</v>
      </c>
    </row>
    <row r="4379" spans="4:4">
      <c r="D4379">
        <v>4377</v>
      </c>
    </row>
    <row r="4380" spans="4:4">
      <c r="D4380">
        <v>4378</v>
      </c>
    </row>
    <row r="4381" spans="4:4">
      <c r="D4381">
        <v>4379</v>
      </c>
    </row>
    <row r="4382" spans="4:4">
      <c r="D4382">
        <v>4380</v>
      </c>
    </row>
    <row r="4383" spans="4:4">
      <c r="D4383">
        <v>4381</v>
      </c>
    </row>
    <row r="4384" spans="4:4">
      <c r="D4384">
        <v>4382</v>
      </c>
    </row>
    <row r="4385" spans="4:4">
      <c r="D4385">
        <v>4383</v>
      </c>
    </row>
    <row r="4386" spans="4:4">
      <c r="D4386">
        <v>4384</v>
      </c>
    </row>
    <row r="4387" spans="4:4">
      <c r="D4387">
        <v>4385</v>
      </c>
    </row>
    <row r="4388" spans="4:4">
      <c r="D4388">
        <v>4386</v>
      </c>
    </row>
    <row r="4389" spans="4:4">
      <c r="D4389">
        <v>4387</v>
      </c>
    </row>
    <row r="4390" spans="4:4">
      <c r="D4390">
        <v>4388</v>
      </c>
    </row>
    <row r="4391" spans="4:4">
      <c r="D4391">
        <v>4389</v>
      </c>
    </row>
    <row r="4392" spans="4:4">
      <c r="D4392">
        <v>4390</v>
      </c>
    </row>
    <row r="4393" spans="4:4">
      <c r="D4393">
        <v>4391</v>
      </c>
    </row>
    <row r="4394" spans="4:4">
      <c r="D4394">
        <v>4392</v>
      </c>
    </row>
    <row r="4395" spans="4:4">
      <c r="D4395">
        <v>4393</v>
      </c>
    </row>
    <row r="4396" spans="4:4">
      <c r="D4396">
        <v>4394</v>
      </c>
    </row>
    <row r="4397" spans="4:4">
      <c r="D4397">
        <v>4395</v>
      </c>
    </row>
    <row r="4398" spans="4:4">
      <c r="D4398">
        <v>4396</v>
      </c>
    </row>
    <row r="4399" spans="4:4">
      <c r="D4399">
        <v>4397</v>
      </c>
    </row>
    <row r="4400" spans="4:4">
      <c r="D4400">
        <v>4398</v>
      </c>
    </row>
    <row r="4401" spans="4:4">
      <c r="D4401">
        <v>4399</v>
      </c>
    </row>
    <row r="4402" spans="4:4">
      <c r="D4402">
        <v>4400</v>
      </c>
    </row>
    <row r="4403" spans="4:4">
      <c r="D4403">
        <v>4401</v>
      </c>
    </row>
    <row r="4404" spans="4:4">
      <c r="D4404">
        <v>4402</v>
      </c>
    </row>
    <row r="4405" spans="4:4">
      <c r="D4405">
        <v>4403</v>
      </c>
    </row>
    <row r="4406" spans="4:4">
      <c r="D4406">
        <v>4404</v>
      </c>
    </row>
    <row r="4407" spans="4:4">
      <c r="D4407">
        <v>4405</v>
      </c>
    </row>
    <row r="4408" spans="4:4">
      <c r="D4408">
        <v>4406</v>
      </c>
    </row>
    <row r="4409" spans="4:4">
      <c r="D4409">
        <v>4407</v>
      </c>
    </row>
    <row r="4410" spans="4:4">
      <c r="D4410">
        <v>4408</v>
      </c>
    </row>
    <row r="4411" spans="4:4">
      <c r="D4411">
        <v>4409</v>
      </c>
    </row>
    <row r="4412" spans="4:4">
      <c r="D4412">
        <v>4410</v>
      </c>
    </row>
    <row r="4413" spans="4:4">
      <c r="D4413">
        <v>4411</v>
      </c>
    </row>
    <row r="4414" spans="4:4">
      <c r="D4414">
        <v>4412</v>
      </c>
    </row>
    <row r="4415" spans="4:4">
      <c r="D4415">
        <v>4413</v>
      </c>
    </row>
    <row r="4416" spans="4:4">
      <c r="D4416">
        <v>4414</v>
      </c>
    </row>
    <row r="4417" spans="4:4">
      <c r="D4417">
        <v>4415</v>
      </c>
    </row>
    <row r="4418" spans="4:4">
      <c r="D4418">
        <v>4416</v>
      </c>
    </row>
    <row r="4419" spans="4:4">
      <c r="D4419">
        <v>4417</v>
      </c>
    </row>
    <row r="4420" spans="4:4">
      <c r="D4420">
        <v>4418</v>
      </c>
    </row>
    <row r="4421" spans="4:4">
      <c r="D4421">
        <v>4419</v>
      </c>
    </row>
    <row r="4422" spans="4:4">
      <c r="D4422">
        <v>4420</v>
      </c>
    </row>
    <row r="4423" spans="4:4">
      <c r="D4423">
        <v>4421</v>
      </c>
    </row>
    <row r="4424" spans="4:4">
      <c r="D4424">
        <v>4422</v>
      </c>
    </row>
    <row r="4425" spans="4:4">
      <c r="D4425">
        <v>4423</v>
      </c>
    </row>
    <row r="4426" spans="4:4">
      <c r="D4426">
        <v>4424</v>
      </c>
    </row>
    <row r="4427" spans="4:4">
      <c r="D4427">
        <v>4425</v>
      </c>
    </row>
    <row r="4428" spans="4:4">
      <c r="D4428">
        <v>4426</v>
      </c>
    </row>
    <row r="4429" spans="4:4">
      <c r="D4429">
        <v>4427</v>
      </c>
    </row>
    <row r="4430" spans="4:4">
      <c r="D4430">
        <v>4428</v>
      </c>
    </row>
    <row r="4431" spans="4:4">
      <c r="D4431">
        <v>4429</v>
      </c>
    </row>
    <row r="4432" spans="4:4">
      <c r="D4432">
        <v>4430</v>
      </c>
    </row>
    <row r="4433" spans="4:4">
      <c r="D4433">
        <v>4431</v>
      </c>
    </row>
    <row r="4434" spans="4:4">
      <c r="D4434">
        <v>4432</v>
      </c>
    </row>
    <row r="4435" spans="4:4">
      <c r="D4435">
        <v>4433</v>
      </c>
    </row>
    <row r="4436" spans="4:4">
      <c r="D4436">
        <v>4434</v>
      </c>
    </row>
    <row r="4437" spans="4:4">
      <c r="D4437">
        <v>4435</v>
      </c>
    </row>
    <row r="4438" spans="4:4">
      <c r="D4438">
        <v>4436</v>
      </c>
    </row>
    <row r="4439" spans="4:4">
      <c r="D4439">
        <v>4437</v>
      </c>
    </row>
    <row r="4440" spans="4:4">
      <c r="D4440">
        <v>4438</v>
      </c>
    </row>
    <row r="4441" spans="4:4">
      <c r="D4441">
        <v>4439</v>
      </c>
    </row>
    <row r="4442" spans="4:4">
      <c r="D4442">
        <v>4440</v>
      </c>
    </row>
    <row r="4443" spans="4:4">
      <c r="D4443">
        <v>4441</v>
      </c>
    </row>
    <row r="4444" spans="4:4">
      <c r="D4444">
        <v>4442</v>
      </c>
    </row>
    <row r="4445" spans="4:4">
      <c r="D4445">
        <v>4443</v>
      </c>
    </row>
    <row r="4446" spans="4:4">
      <c r="D4446">
        <v>4444</v>
      </c>
    </row>
    <row r="4447" spans="4:4">
      <c r="D4447">
        <v>4445</v>
      </c>
    </row>
    <row r="4448" spans="4:4">
      <c r="D4448">
        <v>4446</v>
      </c>
    </row>
    <row r="4449" spans="4:4">
      <c r="D4449">
        <v>4447</v>
      </c>
    </row>
    <row r="4450" spans="4:4">
      <c r="D4450">
        <v>4448</v>
      </c>
    </row>
    <row r="4451" spans="4:4">
      <c r="D4451">
        <v>4449</v>
      </c>
    </row>
    <row r="4452" spans="4:4">
      <c r="D4452">
        <v>4450</v>
      </c>
    </row>
    <row r="4453" spans="4:4">
      <c r="D4453">
        <v>4451</v>
      </c>
    </row>
    <row r="4454" spans="4:4">
      <c r="D4454">
        <v>4452</v>
      </c>
    </row>
    <row r="4455" spans="4:4">
      <c r="D4455">
        <v>4453</v>
      </c>
    </row>
    <row r="4456" spans="4:4">
      <c r="D4456">
        <v>4454</v>
      </c>
    </row>
    <row r="4457" spans="4:4">
      <c r="D4457">
        <v>4455</v>
      </c>
    </row>
    <row r="4458" spans="4:4">
      <c r="D4458">
        <v>4456</v>
      </c>
    </row>
    <row r="4459" spans="4:4">
      <c r="D4459">
        <v>4457</v>
      </c>
    </row>
    <row r="4460" spans="4:4">
      <c r="D4460">
        <v>4458</v>
      </c>
    </row>
    <row r="4461" spans="4:4">
      <c r="D4461">
        <v>4459</v>
      </c>
    </row>
    <row r="4462" spans="4:4">
      <c r="D4462">
        <v>4460</v>
      </c>
    </row>
    <row r="4463" spans="4:4">
      <c r="D4463">
        <v>4461</v>
      </c>
    </row>
    <row r="4464" spans="4:4">
      <c r="D4464">
        <v>4462</v>
      </c>
    </row>
    <row r="4465" spans="4:4">
      <c r="D4465">
        <v>4463</v>
      </c>
    </row>
    <row r="4466" spans="4:4">
      <c r="D4466">
        <v>4464</v>
      </c>
    </row>
    <row r="4467" spans="4:4">
      <c r="D4467">
        <v>4465</v>
      </c>
    </row>
    <row r="4468" spans="4:4">
      <c r="D4468">
        <v>4466</v>
      </c>
    </row>
    <row r="4469" spans="4:4">
      <c r="D4469">
        <v>4467</v>
      </c>
    </row>
    <row r="4470" spans="4:4">
      <c r="D4470">
        <v>4468</v>
      </c>
    </row>
    <row r="4471" spans="4:4">
      <c r="D4471">
        <v>4469</v>
      </c>
    </row>
    <row r="4472" spans="4:4">
      <c r="D4472">
        <v>4470</v>
      </c>
    </row>
    <row r="4473" spans="4:4">
      <c r="D4473">
        <v>4471</v>
      </c>
    </row>
    <row r="4474" spans="4:4">
      <c r="D4474">
        <v>4472</v>
      </c>
    </row>
    <row r="4475" spans="4:4">
      <c r="D4475">
        <v>4473</v>
      </c>
    </row>
    <row r="4476" spans="4:4">
      <c r="D4476">
        <v>4474</v>
      </c>
    </row>
    <row r="4477" spans="4:4">
      <c r="D4477">
        <v>4475</v>
      </c>
    </row>
    <row r="4478" spans="4:4">
      <c r="D4478">
        <v>4476</v>
      </c>
    </row>
    <row r="4479" spans="4:4">
      <c r="D4479">
        <v>4477</v>
      </c>
    </row>
    <row r="4480" spans="4:4">
      <c r="D4480">
        <v>4478</v>
      </c>
    </row>
    <row r="4481" spans="4:4">
      <c r="D4481">
        <v>4479</v>
      </c>
    </row>
    <row r="4482" spans="4:4">
      <c r="D4482">
        <v>4480</v>
      </c>
    </row>
    <row r="4483" spans="4:4">
      <c r="D4483">
        <v>4481</v>
      </c>
    </row>
    <row r="4484" spans="4:4">
      <c r="D4484">
        <v>4482</v>
      </c>
    </row>
    <row r="4485" spans="4:4">
      <c r="D4485">
        <v>4483</v>
      </c>
    </row>
    <row r="4486" spans="4:4">
      <c r="D4486">
        <v>4484</v>
      </c>
    </row>
    <row r="4487" spans="4:4">
      <c r="D4487">
        <v>4485</v>
      </c>
    </row>
    <row r="4488" spans="4:4">
      <c r="D4488">
        <v>4486</v>
      </c>
    </row>
    <row r="4489" spans="4:4">
      <c r="D4489">
        <v>4487</v>
      </c>
    </row>
    <row r="4490" spans="4:4">
      <c r="D4490">
        <v>4488</v>
      </c>
    </row>
    <row r="4491" spans="4:4">
      <c r="D4491">
        <v>4489</v>
      </c>
    </row>
    <row r="4492" spans="4:4">
      <c r="D4492">
        <v>4490</v>
      </c>
    </row>
    <row r="4493" spans="4:4">
      <c r="D4493">
        <v>4491</v>
      </c>
    </row>
    <row r="4494" spans="4:4">
      <c r="D4494">
        <v>4492</v>
      </c>
    </row>
    <row r="4495" spans="4:4">
      <c r="D4495">
        <v>4493</v>
      </c>
    </row>
    <row r="4496" spans="4:4">
      <c r="D4496">
        <v>4494</v>
      </c>
    </row>
    <row r="4497" spans="4:4">
      <c r="D4497">
        <v>4495</v>
      </c>
    </row>
    <row r="4498" spans="4:4">
      <c r="D4498">
        <v>4496</v>
      </c>
    </row>
    <row r="4499" spans="4:4">
      <c r="D4499">
        <v>4497</v>
      </c>
    </row>
    <row r="4500" spans="4:4">
      <c r="D4500">
        <v>4498</v>
      </c>
    </row>
    <row r="4501" spans="4:4">
      <c r="D4501">
        <v>4499</v>
      </c>
    </row>
    <row r="4502" spans="4:4">
      <c r="D4502">
        <v>4500</v>
      </c>
    </row>
    <row r="4503" spans="4:4">
      <c r="D4503">
        <v>4501</v>
      </c>
    </row>
    <row r="4504" spans="4:4">
      <c r="D4504">
        <v>4502</v>
      </c>
    </row>
    <row r="4505" spans="4:4">
      <c r="D4505">
        <v>4503</v>
      </c>
    </row>
    <row r="4506" spans="4:4">
      <c r="D4506">
        <v>4504</v>
      </c>
    </row>
    <row r="4507" spans="4:4">
      <c r="D4507">
        <v>4505</v>
      </c>
    </row>
    <row r="4508" spans="4:4">
      <c r="D4508">
        <v>4506</v>
      </c>
    </row>
    <row r="4509" spans="4:4">
      <c r="D4509">
        <v>4507</v>
      </c>
    </row>
    <row r="4510" spans="4:4">
      <c r="D4510">
        <v>4508</v>
      </c>
    </row>
    <row r="4511" spans="4:4">
      <c r="D4511">
        <v>4509</v>
      </c>
    </row>
    <row r="4512" spans="4:4">
      <c r="D4512">
        <v>4510</v>
      </c>
    </row>
    <row r="4513" spans="4:4">
      <c r="D4513">
        <v>4511</v>
      </c>
    </row>
    <row r="4514" spans="4:4">
      <c r="D4514">
        <v>4512</v>
      </c>
    </row>
    <row r="4515" spans="4:4">
      <c r="D4515">
        <v>4513</v>
      </c>
    </row>
    <row r="4516" spans="4:4">
      <c r="D4516">
        <v>4514</v>
      </c>
    </row>
    <row r="4517" spans="4:4">
      <c r="D4517">
        <v>4515</v>
      </c>
    </row>
    <row r="4518" spans="4:4">
      <c r="D4518">
        <v>4516</v>
      </c>
    </row>
    <row r="4519" spans="4:4">
      <c r="D4519">
        <v>4517</v>
      </c>
    </row>
    <row r="4520" spans="4:4">
      <c r="D4520">
        <v>4518</v>
      </c>
    </row>
    <row r="4521" spans="4:4">
      <c r="D4521">
        <v>4519</v>
      </c>
    </row>
    <row r="4522" spans="4:4">
      <c r="D4522">
        <v>4520</v>
      </c>
    </row>
    <row r="4523" spans="4:4">
      <c r="D4523">
        <v>4521</v>
      </c>
    </row>
    <row r="4524" spans="4:4">
      <c r="D4524">
        <v>4522</v>
      </c>
    </row>
    <row r="4525" spans="4:4">
      <c r="D4525">
        <v>4523</v>
      </c>
    </row>
    <row r="4526" spans="4:4">
      <c r="D4526">
        <v>4524</v>
      </c>
    </row>
    <row r="4527" spans="4:4">
      <c r="D4527">
        <v>4525</v>
      </c>
    </row>
    <row r="4528" spans="4:4">
      <c r="D4528">
        <v>4526</v>
      </c>
    </row>
    <row r="4529" spans="4:4">
      <c r="D4529">
        <v>4527</v>
      </c>
    </row>
    <row r="4530" spans="4:4">
      <c r="D4530">
        <v>4528</v>
      </c>
    </row>
    <row r="4531" spans="4:4">
      <c r="D4531">
        <v>4529</v>
      </c>
    </row>
    <row r="4532" spans="4:4">
      <c r="D4532">
        <v>4530</v>
      </c>
    </row>
    <row r="4533" spans="4:4">
      <c r="D4533">
        <v>4531</v>
      </c>
    </row>
    <row r="4534" spans="4:4">
      <c r="D4534">
        <v>4532</v>
      </c>
    </row>
    <row r="4535" spans="4:4">
      <c r="D4535">
        <v>4533</v>
      </c>
    </row>
    <row r="4536" spans="4:4">
      <c r="D4536">
        <v>4534</v>
      </c>
    </row>
    <row r="4537" spans="4:4">
      <c r="D4537">
        <v>4535</v>
      </c>
    </row>
    <row r="4538" spans="4:4">
      <c r="D4538">
        <v>4536</v>
      </c>
    </row>
    <row r="4539" spans="4:4">
      <c r="D4539">
        <v>4537</v>
      </c>
    </row>
    <row r="4540" spans="4:4">
      <c r="D4540">
        <v>4538</v>
      </c>
    </row>
    <row r="4541" spans="4:4">
      <c r="D4541">
        <v>4539</v>
      </c>
    </row>
    <row r="4542" spans="4:4">
      <c r="D4542">
        <v>4540</v>
      </c>
    </row>
    <row r="4543" spans="4:4">
      <c r="D4543">
        <v>4541</v>
      </c>
    </row>
    <row r="4544" spans="4:4">
      <c r="D4544">
        <v>4542</v>
      </c>
    </row>
    <row r="4545" spans="4:4">
      <c r="D4545">
        <v>4543</v>
      </c>
    </row>
    <row r="4546" spans="4:4">
      <c r="D4546">
        <v>4544</v>
      </c>
    </row>
    <row r="4547" spans="4:4">
      <c r="D4547">
        <v>4545</v>
      </c>
    </row>
    <row r="4548" spans="4:4">
      <c r="D4548">
        <v>4546</v>
      </c>
    </row>
    <row r="4549" spans="4:4">
      <c r="D4549">
        <v>4547</v>
      </c>
    </row>
    <row r="4550" spans="4:4">
      <c r="D4550">
        <v>4548</v>
      </c>
    </row>
    <row r="4551" spans="4:4">
      <c r="D4551">
        <v>4549</v>
      </c>
    </row>
    <row r="4552" spans="4:4">
      <c r="D4552">
        <v>4550</v>
      </c>
    </row>
    <row r="4553" spans="4:4">
      <c r="D4553">
        <v>4551</v>
      </c>
    </row>
    <row r="4554" spans="4:4">
      <c r="D4554">
        <v>4552</v>
      </c>
    </row>
    <row r="4555" spans="4:4">
      <c r="D4555">
        <v>4553</v>
      </c>
    </row>
    <row r="4556" spans="4:4">
      <c r="D4556">
        <v>4554</v>
      </c>
    </row>
    <row r="4557" spans="4:4">
      <c r="D4557">
        <v>4555</v>
      </c>
    </row>
    <row r="4558" spans="4:4">
      <c r="D4558">
        <v>4556</v>
      </c>
    </row>
    <row r="4559" spans="4:4">
      <c r="D4559">
        <v>4557</v>
      </c>
    </row>
    <row r="4560" spans="4:4">
      <c r="D4560">
        <v>4558</v>
      </c>
    </row>
    <row r="4561" spans="4:4">
      <c r="D4561">
        <v>4559</v>
      </c>
    </row>
    <row r="4562" spans="4:4">
      <c r="D4562">
        <v>4560</v>
      </c>
    </row>
    <row r="4563" spans="4:4">
      <c r="D4563">
        <v>4561</v>
      </c>
    </row>
    <row r="4564" spans="4:4">
      <c r="D4564">
        <v>4562</v>
      </c>
    </row>
    <row r="4565" spans="4:4">
      <c r="D4565">
        <v>4563</v>
      </c>
    </row>
    <row r="4566" spans="4:4">
      <c r="D4566">
        <v>4564</v>
      </c>
    </row>
    <row r="4567" spans="4:4">
      <c r="D4567">
        <v>4565</v>
      </c>
    </row>
    <row r="4568" spans="4:4">
      <c r="D4568">
        <v>4566</v>
      </c>
    </row>
    <row r="4569" spans="4:4">
      <c r="D4569">
        <v>4567</v>
      </c>
    </row>
    <row r="4570" spans="4:4">
      <c r="D4570">
        <v>4568</v>
      </c>
    </row>
    <row r="4571" spans="4:4">
      <c r="D4571">
        <v>4569</v>
      </c>
    </row>
    <row r="4572" spans="4:4">
      <c r="D4572">
        <v>4570</v>
      </c>
    </row>
    <row r="4573" spans="4:4">
      <c r="D4573">
        <v>4571</v>
      </c>
    </row>
    <row r="4574" spans="4:4">
      <c r="D4574">
        <v>4572</v>
      </c>
    </row>
    <row r="4575" spans="4:4">
      <c r="D4575">
        <v>4573</v>
      </c>
    </row>
    <row r="4576" spans="4:4">
      <c r="D4576">
        <v>4574</v>
      </c>
    </row>
    <row r="4577" spans="4:4">
      <c r="D4577">
        <v>4575</v>
      </c>
    </row>
    <row r="4578" spans="4:4">
      <c r="D4578">
        <v>4576</v>
      </c>
    </row>
    <row r="4579" spans="4:4">
      <c r="D4579">
        <v>4577</v>
      </c>
    </row>
    <row r="4580" spans="4:4">
      <c r="D4580">
        <v>4578</v>
      </c>
    </row>
    <row r="4581" spans="4:4">
      <c r="D4581">
        <v>4579</v>
      </c>
    </row>
    <row r="4582" spans="4:4">
      <c r="D4582">
        <v>4580</v>
      </c>
    </row>
    <row r="4583" spans="4:4">
      <c r="D4583">
        <v>4581</v>
      </c>
    </row>
    <row r="4584" spans="4:4">
      <c r="D4584">
        <v>4582</v>
      </c>
    </row>
    <row r="4585" spans="4:4">
      <c r="D4585">
        <v>4583</v>
      </c>
    </row>
    <row r="4586" spans="4:4">
      <c r="D4586">
        <v>4584</v>
      </c>
    </row>
    <row r="4587" spans="4:4">
      <c r="D4587">
        <v>4585</v>
      </c>
    </row>
    <row r="4588" spans="4:4">
      <c r="D4588">
        <v>4586</v>
      </c>
    </row>
    <row r="4589" spans="4:4">
      <c r="D4589">
        <v>4587</v>
      </c>
    </row>
    <row r="4590" spans="4:4">
      <c r="D4590">
        <v>4588</v>
      </c>
    </row>
    <row r="4591" spans="4:4">
      <c r="D4591">
        <v>4589</v>
      </c>
    </row>
    <row r="4592" spans="4:4">
      <c r="D4592">
        <v>4590</v>
      </c>
    </row>
    <row r="4593" spans="4:4">
      <c r="D4593">
        <v>4591</v>
      </c>
    </row>
    <row r="4594" spans="4:4">
      <c r="D4594">
        <v>4592</v>
      </c>
    </row>
    <row r="4595" spans="4:4">
      <c r="D4595">
        <v>4593</v>
      </c>
    </row>
    <row r="4596" spans="4:4">
      <c r="D4596">
        <v>4594</v>
      </c>
    </row>
    <row r="4597" spans="4:4">
      <c r="D4597">
        <v>4595</v>
      </c>
    </row>
    <row r="4598" spans="4:4">
      <c r="D4598">
        <v>4596</v>
      </c>
    </row>
    <row r="4599" spans="4:4">
      <c r="D4599">
        <v>4597</v>
      </c>
    </row>
    <row r="4600" spans="4:4">
      <c r="D4600">
        <v>4598</v>
      </c>
    </row>
    <row r="4601" spans="4:4">
      <c r="D4601">
        <v>4599</v>
      </c>
    </row>
    <row r="4602" spans="4:4">
      <c r="D4602">
        <v>4600</v>
      </c>
    </row>
    <row r="4603" spans="4:4">
      <c r="D4603">
        <v>4601</v>
      </c>
    </row>
    <row r="4604" spans="4:4">
      <c r="D4604">
        <v>4602</v>
      </c>
    </row>
    <row r="4605" spans="4:4">
      <c r="D4605">
        <v>4603</v>
      </c>
    </row>
    <row r="4606" spans="4:4">
      <c r="D4606">
        <v>4604</v>
      </c>
    </row>
    <row r="4607" spans="4:4">
      <c r="D4607">
        <v>4605</v>
      </c>
    </row>
    <row r="4608" spans="4:4">
      <c r="D4608">
        <v>4606</v>
      </c>
    </row>
    <row r="4609" spans="4:4">
      <c r="D4609">
        <v>4607</v>
      </c>
    </row>
    <row r="4610" spans="4:4">
      <c r="D4610">
        <v>4608</v>
      </c>
    </row>
    <row r="4611" spans="4:4">
      <c r="D4611">
        <v>4609</v>
      </c>
    </row>
    <row r="4612" spans="4:4">
      <c r="D4612">
        <v>4610</v>
      </c>
    </row>
    <row r="4613" spans="4:4">
      <c r="D4613">
        <v>4611</v>
      </c>
    </row>
    <row r="4614" spans="4:4">
      <c r="D4614">
        <v>4612</v>
      </c>
    </row>
    <row r="4615" spans="4:4">
      <c r="D4615">
        <v>4613</v>
      </c>
    </row>
    <row r="4616" spans="4:4">
      <c r="D4616">
        <v>4614</v>
      </c>
    </row>
    <row r="4617" spans="4:4">
      <c r="D4617">
        <v>4615</v>
      </c>
    </row>
    <row r="4618" spans="4:4">
      <c r="D4618">
        <v>4616</v>
      </c>
    </row>
    <row r="4619" spans="4:4">
      <c r="D4619">
        <v>4617</v>
      </c>
    </row>
    <row r="4620" spans="4:4">
      <c r="D4620">
        <v>4618</v>
      </c>
    </row>
    <row r="4621" spans="4:4">
      <c r="D4621">
        <v>4619</v>
      </c>
    </row>
    <row r="4622" spans="4:4">
      <c r="D4622">
        <v>4620</v>
      </c>
    </row>
    <row r="4623" spans="4:4">
      <c r="D4623">
        <v>4621</v>
      </c>
    </row>
    <row r="4624" spans="4:4">
      <c r="D4624">
        <v>4622</v>
      </c>
    </row>
    <row r="4625" spans="4:4">
      <c r="D4625">
        <v>4623</v>
      </c>
    </row>
    <row r="4626" spans="4:4">
      <c r="D4626">
        <v>4624</v>
      </c>
    </row>
    <row r="4627" spans="4:4">
      <c r="D4627">
        <v>4625</v>
      </c>
    </row>
    <row r="4628" spans="4:4">
      <c r="D4628">
        <v>4626</v>
      </c>
    </row>
    <row r="4629" spans="4:4">
      <c r="D4629">
        <v>4627</v>
      </c>
    </row>
    <row r="4630" spans="4:4">
      <c r="D4630">
        <v>4628</v>
      </c>
    </row>
    <row r="4631" spans="4:4">
      <c r="D4631">
        <v>4629</v>
      </c>
    </row>
    <row r="4632" spans="4:4">
      <c r="D4632">
        <v>4630</v>
      </c>
    </row>
    <row r="4633" spans="4:4">
      <c r="D4633">
        <v>4631</v>
      </c>
    </row>
    <row r="4634" spans="4:4">
      <c r="D4634">
        <v>4632</v>
      </c>
    </row>
    <row r="4635" spans="4:4">
      <c r="D4635">
        <v>4633</v>
      </c>
    </row>
    <row r="4636" spans="4:4">
      <c r="D4636">
        <v>4634</v>
      </c>
    </row>
    <row r="4637" spans="4:4">
      <c r="D4637">
        <v>4635</v>
      </c>
    </row>
    <row r="4638" spans="4:4">
      <c r="D4638">
        <v>4636</v>
      </c>
    </row>
    <row r="4639" spans="4:4">
      <c r="D4639">
        <v>4637</v>
      </c>
    </row>
    <row r="4640" spans="4:4">
      <c r="D4640">
        <v>4638</v>
      </c>
    </row>
    <row r="4641" spans="4:4">
      <c r="D4641">
        <v>4639</v>
      </c>
    </row>
    <row r="4642" spans="4:4">
      <c r="D4642">
        <v>4640</v>
      </c>
    </row>
    <row r="4643" spans="4:4">
      <c r="D4643">
        <v>4641</v>
      </c>
    </row>
    <row r="4644" spans="4:4">
      <c r="D4644">
        <v>4642</v>
      </c>
    </row>
    <row r="4645" spans="4:4">
      <c r="D4645">
        <v>4643</v>
      </c>
    </row>
    <row r="4646" spans="4:4">
      <c r="D4646">
        <v>4644</v>
      </c>
    </row>
    <row r="4647" spans="4:4">
      <c r="D4647">
        <v>4645</v>
      </c>
    </row>
    <row r="4648" spans="4:4">
      <c r="D4648">
        <v>4646</v>
      </c>
    </row>
    <row r="4649" spans="4:4">
      <c r="D4649">
        <v>4647</v>
      </c>
    </row>
    <row r="4650" spans="4:4">
      <c r="D4650">
        <v>4648</v>
      </c>
    </row>
    <row r="4651" spans="4:4">
      <c r="D4651">
        <v>4649</v>
      </c>
    </row>
    <row r="4652" spans="4:4">
      <c r="D4652">
        <v>4650</v>
      </c>
    </row>
    <row r="4653" spans="4:4">
      <c r="D4653">
        <v>4651</v>
      </c>
    </row>
    <row r="4654" spans="4:4">
      <c r="D4654">
        <v>4652</v>
      </c>
    </row>
    <row r="4655" spans="4:4">
      <c r="D4655">
        <v>4653</v>
      </c>
    </row>
    <row r="4656" spans="4:4">
      <c r="D4656">
        <v>4654</v>
      </c>
    </row>
    <row r="4657" spans="4:4">
      <c r="D4657">
        <v>4655</v>
      </c>
    </row>
    <row r="4658" spans="4:4">
      <c r="D4658">
        <v>4656</v>
      </c>
    </row>
    <row r="4659" spans="4:4">
      <c r="D4659">
        <v>4657</v>
      </c>
    </row>
    <row r="4660" spans="4:4">
      <c r="D4660">
        <v>4658</v>
      </c>
    </row>
    <row r="4661" spans="4:4">
      <c r="D4661">
        <v>4659</v>
      </c>
    </row>
    <row r="4662" spans="4:4">
      <c r="D4662">
        <v>4660</v>
      </c>
    </row>
    <row r="4663" spans="4:4">
      <c r="D4663">
        <v>4661</v>
      </c>
    </row>
    <row r="4664" spans="4:4">
      <c r="D4664">
        <v>4662</v>
      </c>
    </row>
    <row r="4665" spans="4:4">
      <c r="D4665">
        <v>4663</v>
      </c>
    </row>
    <row r="4666" spans="4:4">
      <c r="D4666">
        <v>4664</v>
      </c>
    </row>
    <row r="4667" spans="4:4">
      <c r="D4667">
        <v>4665</v>
      </c>
    </row>
    <row r="4668" spans="4:4">
      <c r="D4668">
        <v>4666</v>
      </c>
    </row>
    <row r="4669" spans="4:4">
      <c r="D4669">
        <v>4667</v>
      </c>
    </row>
    <row r="4670" spans="4:4">
      <c r="D4670">
        <v>4668</v>
      </c>
    </row>
    <row r="4671" spans="4:4">
      <c r="D4671">
        <v>4669</v>
      </c>
    </row>
    <row r="4672" spans="4:4">
      <c r="D4672">
        <v>4670</v>
      </c>
    </row>
    <row r="4673" spans="4:4">
      <c r="D4673">
        <v>4671</v>
      </c>
    </row>
    <row r="4674" spans="4:4">
      <c r="D4674">
        <v>4672</v>
      </c>
    </row>
    <row r="4675" spans="4:4">
      <c r="D4675">
        <v>4673</v>
      </c>
    </row>
    <row r="4676" spans="4:4">
      <c r="D4676">
        <v>4674</v>
      </c>
    </row>
    <row r="4677" spans="4:4">
      <c r="D4677">
        <v>4675</v>
      </c>
    </row>
    <row r="4678" spans="4:4">
      <c r="D4678">
        <v>4676</v>
      </c>
    </row>
    <row r="4679" spans="4:4">
      <c r="D4679">
        <v>4677</v>
      </c>
    </row>
    <row r="4680" spans="4:4">
      <c r="D4680">
        <v>4678</v>
      </c>
    </row>
    <row r="4681" spans="4:4">
      <c r="D4681">
        <v>4679</v>
      </c>
    </row>
    <row r="4682" spans="4:4">
      <c r="D4682">
        <v>4680</v>
      </c>
    </row>
    <row r="4683" spans="4:4">
      <c r="D4683">
        <v>4681</v>
      </c>
    </row>
    <row r="4684" spans="4:4">
      <c r="D4684">
        <v>4682</v>
      </c>
    </row>
    <row r="4685" spans="4:4">
      <c r="D4685">
        <v>4683</v>
      </c>
    </row>
    <row r="4686" spans="4:4">
      <c r="D4686">
        <v>4684</v>
      </c>
    </row>
    <row r="4687" spans="4:4">
      <c r="D4687">
        <v>4685</v>
      </c>
    </row>
    <row r="4688" spans="4:4">
      <c r="D4688">
        <v>4686</v>
      </c>
    </row>
    <row r="4689" spans="4:4">
      <c r="D4689">
        <v>4687</v>
      </c>
    </row>
    <row r="4690" spans="4:4">
      <c r="D4690">
        <v>4688</v>
      </c>
    </row>
    <row r="4691" spans="4:4">
      <c r="D4691">
        <v>4689</v>
      </c>
    </row>
    <row r="4692" spans="4:4">
      <c r="D4692">
        <v>4690</v>
      </c>
    </row>
    <row r="4693" spans="4:4">
      <c r="D4693">
        <v>4691</v>
      </c>
    </row>
    <row r="4694" spans="4:4">
      <c r="D4694">
        <v>4692</v>
      </c>
    </row>
    <row r="4695" spans="4:4">
      <c r="D4695">
        <v>4693</v>
      </c>
    </row>
    <row r="4696" spans="4:4">
      <c r="D4696">
        <v>4694</v>
      </c>
    </row>
    <row r="4697" spans="4:4">
      <c r="D4697">
        <v>4695</v>
      </c>
    </row>
    <row r="4698" spans="4:4">
      <c r="D4698">
        <v>4696</v>
      </c>
    </row>
    <row r="4699" spans="4:4">
      <c r="D4699">
        <v>4697</v>
      </c>
    </row>
    <row r="4700" spans="4:4">
      <c r="D4700">
        <v>4698</v>
      </c>
    </row>
    <row r="4701" spans="4:4">
      <c r="D4701">
        <v>4699</v>
      </c>
    </row>
    <row r="4702" spans="4:4">
      <c r="D4702">
        <v>4700</v>
      </c>
    </row>
    <row r="4703" spans="4:4">
      <c r="D4703">
        <v>4701</v>
      </c>
    </row>
    <row r="4704" spans="4:4">
      <c r="D4704">
        <v>4702</v>
      </c>
    </row>
    <row r="4705" spans="4:4">
      <c r="D4705">
        <v>4703</v>
      </c>
    </row>
    <row r="4706" spans="4:4">
      <c r="D4706">
        <v>4704</v>
      </c>
    </row>
    <row r="4707" spans="4:4">
      <c r="D4707">
        <v>4705</v>
      </c>
    </row>
    <row r="4708" spans="4:4">
      <c r="D4708">
        <v>4706</v>
      </c>
    </row>
    <row r="4709" spans="4:4">
      <c r="D4709">
        <v>4707</v>
      </c>
    </row>
    <row r="4710" spans="4:4">
      <c r="D4710">
        <v>4708</v>
      </c>
    </row>
    <row r="4711" spans="4:4">
      <c r="D4711">
        <v>4709</v>
      </c>
    </row>
    <row r="4712" spans="4:4">
      <c r="D4712">
        <v>4710</v>
      </c>
    </row>
    <row r="4713" spans="4:4">
      <c r="D4713">
        <v>4711</v>
      </c>
    </row>
    <row r="4714" spans="4:4">
      <c r="D4714">
        <v>4712</v>
      </c>
    </row>
    <row r="4715" spans="4:4">
      <c r="D4715">
        <v>4713</v>
      </c>
    </row>
    <row r="4716" spans="4:4">
      <c r="D4716">
        <v>4714</v>
      </c>
    </row>
    <row r="4717" spans="4:4">
      <c r="D4717">
        <v>4715</v>
      </c>
    </row>
    <row r="4718" spans="4:4">
      <c r="D4718">
        <v>4716</v>
      </c>
    </row>
    <row r="4719" spans="4:4">
      <c r="D4719">
        <v>4717</v>
      </c>
    </row>
    <row r="4720" spans="4:4">
      <c r="D4720">
        <v>4718</v>
      </c>
    </row>
    <row r="4721" spans="4:4">
      <c r="D4721">
        <v>4719</v>
      </c>
    </row>
    <row r="4722" spans="4:4">
      <c r="D4722">
        <v>4720</v>
      </c>
    </row>
    <row r="4723" spans="4:4">
      <c r="D4723">
        <v>4721</v>
      </c>
    </row>
    <row r="4724" spans="4:4">
      <c r="D4724">
        <v>4722</v>
      </c>
    </row>
    <row r="4725" spans="4:4">
      <c r="D4725">
        <v>4723</v>
      </c>
    </row>
    <row r="4726" spans="4:4">
      <c r="D4726">
        <v>4724</v>
      </c>
    </row>
    <row r="4727" spans="4:4">
      <c r="D4727">
        <v>4725</v>
      </c>
    </row>
    <row r="4728" spans="4:4">
      <c r="D4728">
        <v>4726</v>
      </c>
    </row>
    <row r="4729" spans="4:4">
      <c r="D4729">
        <v>4727</v>
      </c>
    </row>
    <row r="4730" spans="4:4">
      <c r="D4730">
        <v>4728</v>
      </c>
    </row>
    <row r="4731" spans="4:4">
      <c r="D4731">
        <v>4729</v>
      </c>
    </row>
    <row r="4732" spans="4:4">
      <c r="D4732">
        <v>4730</v>
      </c>
    </row>
    <row r="4733" spans="4:4">
      <c r="D4733">
        <v>4731</v>
      </c>
    </row>
    <row r="4734" spans="4:4">
      <c r="D4734">
        <v>4732</v>
      </c>
    </row>
    <row r="4735" spans="4:4">
      <c r="D4735">
        <v>4733</v>
      </c>
    </row>
    <row r="4736" spans="4:4">
      <c r="D4736">
        <v>4734</v>
      </c>
    </row>
    <row r="4737" spans="4:4">
      <c r="D4737">
        <v>4735</v>
      </c>
    </row>
    <row r="4738" spans="4:4">
      <c r="D4738">
        <v>4736</v>
      </c>
    </row>
    <row r="4739" spans="4:4">
      <c r="D4739">
        <v>4737</v>
      </c>
    </row>
    <row r="4740" spans="4:4">
      <c r="D4740">
        <v>4738</v>
      </c>
    </row>
    <row r="4741" spans="4:4">
      <c r="D4741">
        <v>4739</v>
      </c>
    </row>
    <row r="4742" spans="4:4">
      <c r="D4742">
        <v>4740</v>
      </c>
    </row>
    <row r="4743" spans="4:4">
      <c r="D4743">
        <v>4741</v>
      </c>
    </row>
    <row r="4744" spans="4:4">
      <c r="D4744">
        <v>4742</v>
      </c>
    </row>
    <row r="4745" spans="4:4">
      <c r="D4745">
        <v>4743</v>
      </c>
    </row>
    <row r="4746" spans="4:4">
      <c r="D4746">
        <v>4744</v>
      </c>
    </row>
    <row r="4747" spans="4:4">
      <c r="D4747">
        <v>4745</v>
      </c>
    </row>
    <row r="4748" spans="4:4">
      <c r="D4748">
        <v>4746</v>
      </c>
    </row>
    <row r="4749" spans="4:4">
      <c r="D4749">
        <v>4747</v>
      </c>
    </row>
    <row r="4750" spans="4:4">
      <c r="D4750">
        <v>4748</v>
      </c>
    </row>
    <row r="4751" spans="4:4">
      <c r="D4751">
        <v>4749</v>
      </c>
    </row>
    <row r="4752" spans="4:4">
      <c r="D4752">
        <v>4750</v>
      </c>
    </row>
    <row r="4753" spans="4:4">
      <c r="D4753">
        <v>4751</v>
      </c>
    </row>
    <row r="4754" spans="4:4">
      <c r="D4754">
        <v>4752</v>
      </c>
    </row>
    <row r="4755" spans="4:4">
      <c r="D4755">
        <v>4753</v>
      </c>
    </row>
    <row r="4756" spans="4:4">
      <c r="D4756">
        <v>4754</v>
      </c>
    </row>
    <row r="4757" spans="4:4">
      <c r="D4757">
        <v>4755</v>
      </c>
    </row>
    <row r="4758" spans="4:4">
      <c r="D4758">
        <v>4756</v>
      </c>
    </row>
    <row r="4759" spans="4:4">
      <c r="D4759">
        <v>4757</v>
      </c>
    </row>
    <row r="4760" spans="4:4">
      <c r="D4760">
        <v>4758</v>
      </c>
    </row>
    <row r="4761" spans="4:4">
      <c r="D4761">
        <v>4759</v>
      </c>
    </row>
    <row r="4762" spans="4:4">
      <c r="D4762">
        <v>4760</v>
      </c>
    </row>
    <row r="4763" spans="4:4">
      <c r="D4763">
        <v>4761</v>
      </c>
    </row>
    <row r="4764" spans="4:4">
      <c r="D4764">
        <v>4762</v>
      </c>
    </row>
    <row r="4765" spans="4:4">
      <c r="D4765">
        <v>4763</v>
      </c>
    </row>
    <row r="4766" spans="4:4">
      <c r="D4766">
        <v>4764</v>
      </c>
    </row>
    <row r="4767" spans="4:4">
      <c r="D4767">
        <v>4765</v>
      </c>
    </row>
    <row r="4768" spans="4:4">
      <c r="D4768">
        <v>4766</v>
      </c>
    </row>
    <row r="4769" spans="4:4">
      <c r="D4769">
        <v>4767</v>
      </c>
    </row>
    <row r="4770" spans="4:4">
      <c r="D4770">
        <v>4768</v>
      </c>
    </row>
    <row r="4771" spans="4:4">
      <c r="D4771">
        <v>4769</v>
      </c>
    </row>
    <row r="4772" spans="4:4">
      <c r="D4772">
        <v>4770</v>
      </c>
    </row>
    <row r="4773" spans="4:4">
      <c r="D4773">
        <v>4771</v>
      </c>
    </row>
    <row r="4774" spans="4:4">
      <c r="D4774">
        <v>4772</v>
      </c>
    </row>
    <row r="4775" spans="4:4">
      <c r="D4775">
        <v>4773</v>
      </c>
    </row>
    <row r="4776" spans="4:4">
      <c r="D4776">
        <v>4774</v>
      </c>
    </row>
    <row r="4777" spans="4:4">
      <c r="D4777">
        <v>4775</v>
      </c>
    </row>
    <row r="4778" spans="4:4">
      <c r="D4778">
        <v>4776</v>
      </c>
    </row>
    <row r="4779" spans="4:4">
      <c r="D4779">
        <v>4777</v>
      </c>
    </row>
    <row r="4780" spans="4:4">
      <c r="D4780">
        <v>4778</v>
      </c>
    </row>
    <row r="4781" spans="4:4">
      <c r="D4781">
        <v>4779</v>
      </c>
    </row>
    <row r="4782" spans="4:4">
      <c r="D4782">
        <v>4780</v>
      </c>
    </row>
    <row r="4783" spans="4:4">
      <c r="D4783">
        <v>4781</v>
      </c>
    </row>
    <row r="4784" spans="4:4">
      <c r="D4784">
        <v>4782</v>
      </c>
    </row>
    <row r="4785" spans="4:4">
      <c r="D4785">
        <v>4783</v>
      </c>
    </row>
    <row r="4786" spans="4:4">
      <c r="D4786">
        <v>4784</v>
      </c>
    </row>
    <row r="4787" spans="4:4">
      <c r="D4787">
        <v>4785</v>
      </c>
    </row>
    <row r="4788" spans="4:4">
      <c r="D4788">
        <v>4786</v>
      </c>
    </row>
    <row r="4789" spans="4:4">
      <c r="D4789">
        <v>4787</v>
      </c>
    </row>
    <row r="4790" spans="4:4">
      <c r="D4790">
        <v>4788</v>
      </c>
    </row>
    <row r="4791" spans="4:4">
      <c r="D4791">
        <v>4789</v>
      </c>
    </row>
    <row r="4792" spans="4:4">
      <c r="D4792">
        <v>4790</v>
      </c>
    </row>
    <row r="4793" spans="4:4">
      <c r="D4793">
        <v>4791</v>
      </c>
    </row>
    <row r="4794" spans="4:4">
      <c r="D4794">
        <v>4792</v>
      </c>
    </row>
    <row r="4795" spans="4:4">
      <c r="D4795">
        <v>4793</v>
      </c>
    </row>
    <row r="4796" spans="4:4">
      <c r="D4796">
        <v>4794</v>
      </c>
    </row>
    <row r="4797" spans="4:4">
      <c r="D4797">
        <v>4795</v>
      </c>
    </row>
    <row r="4798" spans="4:4">
      <c r="D4798">
        <v>4796</v>
      </c>
    </row>
    <row r="4799" spans="4:4">
      <c r="D4799">
        <v>4797</v>
      </c>
    </row>
    <row r="4800" spans="4:4">
      <c r="D4800">
        <v>4798</v>
      </c>
    </row>
    <row r="4801" spans="4:4">
      <c r="D4801">
        <v>4799</v>
      </c>
    </row>
    <row r="4802" spans="4:4">
      <c r="D4802">
        <v>4800</v>
      </c>
    </row>
    <row r="4803" spans="4:4">
      <c r="D4803">
        <v>4801</v>
      </c>
    </row>
    <row r="4804" spans="4:4">
      <c r="D4804">
        <v>4802</v>
      </c>
    </row>
    <row r="4805" spans="4:4">
      <c r="D4805">
        <v>4803</v>
      </c>
    </row>
    <row r="4806" spans="4:4">
      <c r="D4806">
        <v>4804</v>
      </c>
    </row>
    <row r="4807" spans="4:4">
      <c r="D4807">
        <v>4805</v>
      </c>
    </row>
    <row r="4808" spans="4:4">
      <c r="D4808">
        <v>4806</v>
      </c>
    </row>
    <row r="4809" spans="4:4">
      <c r="D4809">
        <v>4807</v>
      </c>
    </row>
    <row r="4810" spans="4:4">
      <c r="D4810">
        <v>4808</v>
      </c>
    </row>
    <row r="4811" spans="4:4">
      <c r="D4811">
        <v>4809</v>
      </c>
    </row>
    <row r="4812" spans="4:4">
      <c r="D4812">
        <v>4810</v>
      </c>
    </row>
    <row r="4813" spans="4:4">
      <c r="D4813">
        <v>4811</v>
      </c>
    </row>
    <row r="4814" spans="4:4">
      <c r="D4814">
        <v>4812</v>
      </c>
    </row>
    <row r="4815" spans="4:4">
      <c r="D4815">
        <v>4813</v>
      </c>
    </row>
    <row r="4816" spans="4:4">
      <c r="D4816">
        <v>4814</v>
      </c>
    </row>
    <row r="4817" spans="4:4">
      <c r="D4817">
        <v>4815</v>
      </c>
    </row>
    <row r="4818" spans="4:4">
      <c r="D4818">
        <v>4816</v>
      </c>
    </row>
    <row r="4819" spans="4:4">
      <c r="D4819">
        <v>4817</v>
      </c>
    </row>
    <row r="4820" spans="4:4">
      <c r="D4820">
        <v>4818</v>
      </c>
    </row>
    <row r="4821" spans="4:4">
      <c r="D4821">
        <v>4819</v>
      </c>
    </row>
    <row r="4822" spans="4:4">
      <c r="D4822">
        <v>4820</v>
      </c>
    </row>
    <row r="4823" spans="4:4">
      <c r="D4823">
        <v>4821</v>
      </c>
    </row>
    <row r="4824" spans="4:4">
      <c r="D4824">
        <v>4822</v>
      </c>
    </row>
    <row r="4825" spans="4:4">
      <c r="D4825">
        <v>4823</v>
      </c>
    </row>
    <row r="4826" spans="4:4">
      <c r="D4826">
        <v>4824</v>
      </c>
    </row>
    <row r="4827" spans="4:4">
      <c r="D4827">
        <v>4825</v>
      </c>
    </row>
    <row r="4828" spans="4:4">
      <c r="D4828">
        <v>4826</v>
      </c>
    </row>
    <row r="4829" spans="4:4">
      <c r="D4829">
        <v>4827</v>
      </c>
    </row>
    <row r="4830" spans="4:4">
      <c r="D4830">
        <v>4828</v>
      </c>
    </row>
    <row r="4831" spans="4:4">
      <c r="D4831">
        <v>4829</v>
      </c>
    </row>
    <row r="4832" spans="4:4">
      <c r="D4832">
        <v>4830</v>
      </c>
    </row>
    <row r="4833" spans="4:4">
      <c r="D4833">
        <v>4831</v>
      </c>
    </row>
    <row r="4834" spans="4:4">
      <c r="D4834">
        <v>4832</v>
      </c>
    </row>
    <row r="4835" spans="4:4">
      <c r="D4835">
        <v>4833</v>
      </c>
    </row>
    <row r="4836" spans="4:4">
      <c r="D4836">
        <v>4834</v>
      </c>
    </row>
    <row r="4837" spans="4:4">
      <c r="D4837">
        <v>4835</v>
      </c>
    </row>
    <row r="4838" spans="4:4">
      <c r="D4838">
        <v>4836</v>
      </c>
    </row>
    <row r="4839" spans="4:4">
      <c r="D4839">
        <v>4837</v>
      </c>
    </row>
    <row r="4840" spans="4:4">
      <c r="D4840">
        <v>4838</v>
      </c>
    </row>
    <row r="4841" spans="4:4">
      <c r="D4841">
        <v>4839</v>
      </c>
    </row>
    <row r="4842" spans="4:4">
      <c r="D4842">
        <v>4840</v>
      </c>
    </row>
    <row r="4843" spans="4:4">
      <c r="D4843">
        <v>4841</v>
      </c>
    </row>
    <row r="4844" spans="4:4">
      <c r="D4844">
        <v>4842</v>
      </c>
    </row>
    <row r="4845" spans="4:4">
      <c r="D4845">
        <v>4843</v>
      </c>
    </row>
    <row r="4846" spans="4:4">
      <c r="D4846">
        <v>4844</v>
      </c>
    </row>
    <row r="4847" spans="4:4">
      <c r="D4847">
        <v>4845</v>
      </c>
    </row>
    <row r="4848" spans="4:4">
      <c r="D4848">
        <v>4846</v>
      </c>
    </row>
    <row r="4849" spans="4:4">
      <c r="D4849">
        <v>4847</v>
      </c>
    </row>
    <row r="4850" spans="4:4">
      <c r="D4850">
        <v>4848</v>
      </c>
    </row>
    <row r="4851" spans="4:4">
      <c r="D4851">
        <v>4849</v>
      </c>
    </row>
    <row r="4852" spans="4:4">
      <c r="D4852">
        <v>4850</v>
      </c>
    </row>
    <row r="4853" spans="4:4">
      <c r="D4853">
        <v>4851</v>
      </c>
    </row>
    <row r="4854" spans="4:4">
      <c r="D4854">
        <v>4852</v>
      </c>
    </row>
    <row r="4855" spans="4:4">
      <c r="D4855">
        <v>4853</v>
      </c>
    </row>
    <row r="4856" spans="4:4">
      <c r="D4856">
        <v>4854</v>
      </c>
    </row>
    <row r="4857" spans="4:4">
      <c r="D4857">
        <v>4855</v>
      </c>
    </row>
    <row r="4858" spans="4:4">
      <c r="D4858">
        <v>4856</v>
      </c>
    </row>
    <row r="4859" spans="4:4">
      <c r="D4859">
        <v>4857</v>
      </c>
    </row>
    <row r="4860" spans="4:4">
      <c r="D4860">
        <v>4858</v>
      </c>
    </row>
    <row r="4861" spans="4:4">
      <c r="D4861">
        <v>4859</v>
      </c>
    </row>
    <row r="4862" spans="4:4">
      <c r="D4862">
        <v>4860</v>
      </c>
    </row>
    <row r="4863" spans="4:4">
      <c r="D4863">
        <v>4861</v>
      </c>
    </row>
    <row r="4864" spans="4:4">
      <c r="D4864">
        <v>4862</v>
      </c>
    </row>
    <row r="4865" spans="4:4">
      <c r="D4865">
        <v>4863</v>
      </c>
    </row>
    <row r="4866" spans="4:4">
      <c r="D4866">
        <v>4864</v>
      </c>
    </row>
    <row r="4867" spans="4:4">
      <c r="D4867">
        <v>4865</v>
      </c>
    </row>
    <row r="4868" spans="4:4">
      <c r="D4868">
        <v>4866</v>
      </c>
    </row>
    <row r="4869" spans="4:4">
      <c r="D4869">
        <v>4867</v>
      </c>
    </row>
    <row r="4870" spans="4:4">
      <c r="D4870">
        <v>4868</v>
      </c>
    </row>
    <row r="4871" spans="4:4">
      <c r="D4871">
        <v>4869</v>
      </c>
    </row>
    <row r="4872" spans="4:4">
      <c r="D4872">
        <v>4870</v>
      </c>
    </row>
    <row r="4873" spans="4:4">
      <c r="D4873">
        <v>4871</v>
      </c>
    </row>
    <row r="4874" spans="4:4">
      <c r="D4874">
        <v>4872</v>
      </c>
    </row>
    <row r="4875" spans="4:4">
      <c r="D4875">
        <v>4873</v>
      </c>
    </row>
    <row r="4876" spans="4:4">
      <c r="D4876">
        <v>4874</v>
      </c>
    </row>
    <row r="4877" spans="4:4">
      <c r="D4877">
        <v>4875</v>
      </c>
    </row>
    <row r="4878" spans="4:4">
      <c r="D4878">
        <v>4876</v>
      </c>
    </row>
    <row r="4879" spans="4:4">
      <c r="D4879">
        <v>4877</v>
      </c>
    </row>
    <row r="4880" spans="4:4">
      <c r="D4880">
        <v>4878</v>
      </c>
    </row>
    <row r="4881" spans="4:4">
      <c r="D4881">
        <v>4879</v>
      </c>
    </row>
    <row r="4882" spans="4:4">
      <c r="D4882">
        <v>4880</v>
      </c>
    </row>
    <row r="4883" spans="4:4">
      <c r="D4883">
        <v>4881</v>
      </c>
    </row>
    <row r="4884" spans="4:4">
      <c r="D4884">
        <v>4882</v>
      </c>
    </row>
    <row r="4885" spans="4:4">
      <c r="D4885">
        <v>4883</v>
      </c>
    </row>
    <row r="4886" spans="4:4">
      <c r="D4886">
        <v>4884</v>
      </c>
    </row>
    <row r="4887" spans="4:4">
      <c r="D4887">
        <v>4885</v>
      </c>
    </row>
    <row r="4888" spans="4:4">
      <c r="D4888">
        <v>4886</v>
      </c>
    </row>
    <row r="4889" spans="4:4">
      <c r="D4889">
        <v>4887</v>
      </c>
    </row>
    <row r="4890" spans="4:4">
      <c r="D4890">
        <v>4888</v>
      </c>
    </row>
    <row r="4891" spans="4:4">
      <c r="D4891">
        <v>4889</v>
      </c>
    </row>
    <row r="4892" spans="4:4">
      <c r="D4892">
        <v>4890</v>
      </c>
    </row>
    <row r="4893" spans="4:4">
      <c r="D4893">
        <v>4891</v>
      </c>
    </row>
    <row r="4894" spans="4:4">
      <c r="D4894">
        <v>4892</v>
      </c>
    </row>
    <row r="4895" spans="4:4">
      <c r="D4895">
        <v>4893</v>
      </c>
    </row>
    <row r="4896" spans="4:4">
      <c r="D4896">
        <v>4894</v>
      </c>
    </row>
    <row r="4897" spans="4:4">
      <c r="D4897">
        <v>4895</v>
      </c>
    </row>
    <row r="4898" spans="4:4">
      <c r="D4898">
        <v>4896</v>
      </c>
    </row>
    <row r="4899" spans="4:4">
      <c r="D4899">
        <v>4897</v>
      </c>
    </row>
    <row r="4900" spans="4:4">
      <c r="D4900">
        <v>4898</v>
      </c>
    </row>
    <row r="4901" spans="4:4">
      <c r="D4901">
        <v>4899</v>
      </c>
    </row>
    <row r="4902" spans="4:4">
      <c r="D4902">
        <v>4900</v>
      </c>
    </row>
    <row r="4903" spans="4:4">
      <c r="D4903">
        <v>4901</v>
      </c>
    </row>
    <row r="4904" spans="4:4">
      <c r="D4904">
        <v>4902</v>
      </c>
    </row>
    <row r="4905" spans="4:4">
      <c r="D4905">
        <v>4903</v>
      </c>
    </row>
    <row r="4906" spans="4:4">
      <c r="D4906">
        <v>4904</v>
      </c>
    </row>
    <row r="4907" spans="4:4">
      <c r="D4907">
        <v>4905</v>
      </c>
    </row>
    <row r="4908" spans="4:4">
      <c r="D4908">
        <v>4906</v>
      </c>
    </row>
    <row r="4909" spans="4:4">
      <c r="D4909">
        <v>4907</v>
      </c>
    </row>
    <row r="4910" spans="4:4">
      <c r="D4910">
        <v>4908</v>
      </c>
    </row>
    <row r="4911" spans="4:4">
      <c r="D4911">
        <v>4909</v>
      </c>
    </row>
    <row r="4912" spans="4:4">
      <c r="D4912">
        <v>4910</v>
      </c>
    </row>
    <row r="4913" spans="4:4">
      <c r="D4913">
        <v>4911</v>
      </c>
    </row>
    <row r="4914" spans="4:4">
      <c r="D4914">
        <v>4912</v>
      </c>
    </row>
    <row r="4915" spans="4:4">
      <c r="D4915">
        <v>4913</v>
      </c>
    </row>
    <row r="4916" spans="4:4">
      <c r="D4916">
        <v>4914</v>
      </c>
    </row>
    <row r="4917" spans="4:4">
      <c r="D4917">
        <v>4915</v>
      </c>
    </row>
    <row r="4918" spans="4:4">
      <c r="D4918">
        <v>4916</v>
      </c>
    </row>
    <row r="4919" spans="4:4">
      <c r="D4919">
        <v>4917</v>
      </c>
    </row>
    <row r="4920" spans="4:4">
      <c r="D4920">
        <v>4918</v>
      </c>
    </row>
    <row r="4921" spans="4:4">
      <c r="D4921">
        <v>4919</v>
      </c>
    </row>
    <row r="4922" spans="4:4">
      <c r="D4922">
        <v>4920</v>
      </c>
    </row>
    <row r="4923" spans="4:4">
      <c r="D4923">
        <v>4921</v>
      </c>
    </row>
    <row r="4924" spans="4:4">
      <c r="D4924">
        <v>4922</v>
      </c>
    </row>
    <row r="4925" spans="4:4">
      <c r="D4925">
        <v>4923</v>
      </c>
    </row>
    <row r="4926" spans="4:4">
      <c r="D4926">
        <v>4924</v>
      </c>
    </row>
    <row r="4927" spans="4:4">
      <c r="D4927">
        <v>4925</v>
      </c>
    </row>
    <row r="4928" spans="4:4">
      <c r="D4928">
        <v>4926</v>
      </c>
    </row>
    <row r="4929" spans="4:4">
      <c r="D4929">
        <v>4927</v>
      </c>
    </row>
    <row r="4930" spans="4:4">
      <c r="D4930">
        <v>4928</v>
      </c>
    </row>
    <row r="4931" spans="4:4">
      <c r="D4931">
        <v>4929</v>
      </c>
    </row>
    <row r="4932" spans="4:4">
      <c r="D4932">
        <v>4930</v>
      </c>
    </row>
    <row r="4933" spans="4:4">
      <c r="D4933">
        <v>4931</v>
      </c>
    </row>
    <row r="4934" spans="4:4">
      <c r="D4934">
        <v>4932</v>
      </c>
    </row>
    <row r="4935" spans="4:4">
      <c r="D4935">
        <v>4933</v>
      </c>
    </row>
    <row r="4936" spans="4:4">
      <c r="D4936">
        <v>4934</v>
      </c>
    </row>
    <row r="4937" spans="4:4">
      <c r="D4937">
        <v>4935</v>
      </c>
    </row>
    <row r="4938" spans="4:4">
      <c r="D4938">
        <v>4936</v>
      </c>
    </row>
    <row r="4939" spans="4:4">
      <c r="D4939">
        <v>4937</v>
      </c>
    </row>
    <row r="4940" spans="4:4">
      <c r="D4940">
        <v>4938</v>
      </c>
    </row>
    <row r="4941" spans="4:4">
      <c r="D4941">
        <v>4939</v>
      </c>
    </row>
    <row r="4942" spans="4:4">
      <c r="D4942">
        <v>4940</v>
      </c>
    </row>
    <row r="4943" spans="4:4">
      <c r="D4943">
        <v>4941</v>
      </c>
    </row>
    <row r="4944" spans="4:4">
      <c r="D4944">
        <v>4942</v>
      </c>
    </row>
    <row r="4945" spans="4:4">
      <c r="D4945">
        <v>4943</v>
      </c>
    </row>
    <row r="4946" spans="4:4">
      <c r="D4946">
        <v>4944</v>
      </c>
    </row>
    <row r="4947" spans="4:4">
      <c r="D4947">
        <v>4945</v>
      </c>
    </row>
    <row r="4948" spans="4:4">
      <c r="D4948">
        <v>4946</v>
      </c>
    </row>
    <row r="4949" spans="4:4">
      <c r="D4949">
        <v>4947</v>
      </c>
    </row>
    <row r="4950" spans="4:4">
      <c r="D4950">
        <v>4948</v>
      </c>
    </row>
    <row r="4951" spans="4:4">
      <c r="D4951">
        <v>4949</v>
      </c>
    </row>
    <row r="4952" spans="4:4">
      <c r="D4952">
        <v>4950</v>
      </c>
    </row>
    <row r="4953" spans="4:4">
      <c r="D4953">
        <v>4951</v>
      </c>
    </row>
    <row r="4954" spans="4:4">
      <c r="D4954">
        <v>4952</v>
      </c>
    </row>
    <row r="4955" spans="4:4">
      <c r="D4955">
        <v>4953</v>
      </c>
    </row>
    <row r="4956" spans="4:4">
      <c r="D4956">
        <v>4954</v>
      </c>
    </row>
    <row r="4957" spans="4:4">
      <c r="D4957">
        <v>4955</v>
      </c>
    </row>
    <row r="4958" spans="4:4">
      <c r="D4958">
        <v>4956</v>
      </c>
    </row>
    <row r="4959" spans="4:4">
      <c r="D4959">
        <v>4957</v>
      </c>
    </row>
    <row r="4960" spans="4:4">
      <c r="D4960">
        <v>4958</v>
      </c>
    </row>
    <row r="4961" spans="4:4">
      <c r="D4961">
        <v>4959</v>
      </c>
    </row>
    <row r="4962" spans="4:4">
      <c r="D4962">
        <v>4960</v>
      </c>
    </row>
    <row r="4963" spans="4:4">
      <c r="D4963">
        <v>4961</v>
      </c>
    </row>
    <row r="4964" spans="4:4">
      <c r="D4964">
        <v>4962</v>
      </c>
    </row>
    <row r="4965" spans="4:4">
      <c r="D4965">
        <v>4963</v>
      </c>
    </row>
    <row r="4966" spans="4:4">
      <c r="D4966">
        <v>4964</v>
      </c>
    </row>
    <row r="4967" spans="4:4">
      <c r="D4967">
        <v>4965</v>
      </c>
    </row>
    <row r="4968" spans="4:4">
      <c r="D4968">
        <v>4966</v>
      </c>
    </row>
    <row r="4969" spans="4:4">
      <c r="D4969">
        <v>4967</v>
      </c>
    </row>
    <row r="4970" spans="4:4">
      <c r="D4970">
        <v>4968</v>
      </c>
    </row>
    <row r="4971" spans="4:4">
      <c r="D4971">
        <v>4969</v>
      </c>
    </row>
    <row r="4972" spans="4:4">
      <c r="D4972">
        <v>4970</v>
      </c>
    </row>
    <row r="4973" spans="4:4">
      <c r="D4973">
        <v>4971</v>
      </c>
    </row>
    <row r="4974" spans="4:4">
      <c r="D4974">
        <v>4972</v>
      </c>
    </row>
    <row r="4975" spans="4:4">
      <c r="D4975">
        <v>4973</v>
      </c>
    </row>
    <row r="4976" spans="4:4">
      <c r="D4976">
        <v>4974</v>
      </c>
    </row>
    <row r="4977" spans="4:4">
      <c r="D4977">
        <v>4975</v>
      </c>
    </row>
    <row r="4978" spans="4:4">
      <c r="D4978">
        <v>4976</v>
      </c>
    </row>
    <row r="4979" spans="4:4">
      <c r="D4979">
        <v>4977</v>
      </c>
    </row>
    <row r="4980" spans="4:4">
      <c r="D4980">
        <v>4978</v>
      </c>
    </row>
    <row r="4981" spans="4:4">
      <c r="D4981">
        <v>4979</v>
      </c>
    </row>
    <row r="4982" spans="4:4">
      <c r="D4982">
        <v>4980</v>
      </c>
    </row>
    <row r="4983" spans="4:4">
      <c r="D4983">
        <v>4981</v>
      </c>
    </row>
    <row r="4984" spans="4:4">
      <c r="D4984">
        <v>4982</v>
      </c>
    </row>
    <row r="4985" spans="4:4">
      <c r="D4985">
        <v>4983</v>
      </c>
    </row>
    <row r="4986" spans="4:4">
      <c r="D4986">
        <v>4984</v>
      </c>
    </row>
    <row r="4987" spans="4:4">
      <c r="D4987">
        <v>4985</v>
      </c>
    </row>
    <row r="4988" spans="4:4">
      <c r="D4988">
        <v>4986</v>
      </c>
    </row>
    <row r="4989" spans="4:4">
      <c r="D4989">
        <v>4987</v>
      </c>
    </row>
    <row r="4990" spans="4:4">
      <c r="D4990">
        <v>4988</v>
      </c>
    </row>
    <row r="4991" spans="4:4">
      <c r="D4991">
        <v>4989</v>
      </c>
    </row>
    <row r="4992" spans="4:4">
      <c r="D4992">
        <v>4990</v>
      </c>
    </row>
    <row r="4993" spans="4:4">
      <c r="D4993">
        <v>4991</v>
      </c>
    </row>
    <row r="4994" spans="4:4">
      <c r="D4994">
        <v>4992</v>
      </c>
    </row>
    <row r="4995" spans="4:4">
      <c r="D4995">
        <v>4993</v>
      </c>
    </row>
    <row r="4996" spans="4:4">
      <c r="D4996">
        <v>4994</v>
      </c>
    </row>
    <row r="4997" spans="4:4">
      <c r="D4997">
        <v>4995</v>
      </c>
    </row>
    <row r="4998" spans="4:4">
      <c r="D4998">
        <v>4996</v>
      </c>
    </row>
    <row r="4999" spans="4:4">
      <c r="D4999">
        <v>4997</v>
      </c>
    </row>
    <row r="5000" spans="4:4">
      <c r="D5000">
        <v>4998</v>
      </c>
    </row>
    <row r="5001" spans="4:4">
      <c r="D5001">
        <v>4999</v>
      </c>
    </row>
    <row r="5002" spans="4:4">
      <c r="D5002">
        <v>5000</v>
      </c>
    </row>
  </sheetData>
  <hyperlinks>
    <hyperlink ref="F3" r:id="rId1" xr:uid="{4BDCE9C7-EF0D-40EE-8115-746720392098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C5E97-B597-4D88-8496-FCD7AF57D6F7}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Info Sheet</vt:lpstr>
      <vt:lpstr>InsertModify</vt:lpstr>
      <vt:lpstr>KPI</vt:lpstr>
      <vt:lpstr>Graph</vt:lpstr>
      <vt:lpstr>Sheet4</vt:lpstr>
      <vt:lpstr>Table(related to graph)</vt:lpstr>
      <vt:lpstr>List(to hide)</vt:lpstr>
      <vt:lpstr>Sheet1</vt:lpstr>
      <vt:lpstr>ColumnNumber</vt:lpstr>
      <vt:lpstr>CommentData</vt:lpstr>
      <vt:lpstr>Contractor_name</vt:lpstr>
      <vt:lpstr>email</vt:lpstr>
      <vt:lpstr>End_Period</vt:lpstr>
      <vt:lpstr>End_Period_Input</vt:lpstr>
      <vt:lpstr>Hours_Input</vt:lpstr>
      <vt:lpstr>KPIs_input</vt:lpstr>
      <vt:lpstr>Len_Dropdown</vt:lpstr>
      <vt:lpstr>Message</vt:lpstr>
      <vt:lpstr>Months_between_dates</vt:lpstr>
      <vt:lpstr>OwnerModel</vt:lpstr>
      <vt:lpstr>Reference_for_Contractor</vt:lpstr>
      <vt:lpstr>Start_period</vt:lpstr>
      <vt:lpstr>Start_Period_INPUT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Francesco Napoli</cp:lastModifiedBy>
  <dcterms:created xsi:type="dcterms:W3CDTF">2021-09-13T10:53:07Z</dcterms:created>
  <dcterms:modified xsi:type="dcterms:W3CDTF">2021-10-02T09:59:10Z</dcterms:modified>
</cp:coreProperties>
</file>